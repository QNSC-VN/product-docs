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9ebb39d6d64c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11b00c37c4674640"/>
    <x:sheet xmlns:r="http://schemas.openxmlformats.org/officeDocument/2006/relationships" name="Phase Roadmap" sheetId="2" r:id="R77c55a1bf1824334"/>
    <x:sheet xmlns:r="http://schemas.openxmlformats.org/officeDocument/2006/relationships" name="BA Tasks" sheetId="3" r:id="Ra2c2e57ec78649c8"/>
    <x:sheet xmlns:r="http://schemas.openxmlformats.org/officeDocument/2006/relationships" name="DEV Tasks" sheetId="4" r:id="Ra7926415bcad4b25"/>
    <x:sheet xmlns:r="http://schemas.openxmlformats.org/officeDocument/2006/relationships" name="Decision Log" sheetId="5" r:id="R61db600075194c95"/>
    <x:sheet xmlns:r="http://schemas.openxmlformats.org/officeDocument/2006/relationships" name="Future Backlog" sheetId="6" r:id="R314dd3ab2ae44254"/>
    <x:sheet xmlns:r="http://schemas.openxmlformats.org/officeDocument/2006/relationships" name="Phase 6 Reports" sheetId="7" r:id="Re66d5c03b76045f8"/>
    <x:sheet xmlns:r="http://schemas.openxmlformats.org/officeDocument/2006/relationships" name="Release Tracking" sheetId="8" r:id="R118a70b0a9014e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200" formatCode="0"/>
  </x:numFmts>
  <x:fonts count="3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667085"/>
      <x:name val="Carlito"/>
    </x:font>
    <x:font>
      <x:b/>
      <x:sz val="10"/>
      <x:color rgb="FFFFFFFF"/>
      <x:name val="Carlito"/>
    </x:font>
    <x:font>
      <x:sz val="10"/>
      <x:color rgb="FF243447"/>
      <x:name val="Carlito"/>
    </x:font>
    <x:font>
      <x:b/>
      <x:sz val="10"/>
      <x:color rgb="FF2F6B2F"/>
      <x:name val="Carlito"/>
    </x:font>
    <x:font>
      <x:b/>
      <x:sz val="10"/>
      <x:color rgb="FF5F497A"/>
      <x:name val="Carlito"/>
    </x:font>
    <x:font>
      <x:b/>
      <x:sz val="10"/>
      <x:color rgb="FF555555"/>
      <x:name val="Carlito"/>
    </x:font>
    <x:font>
      <x:b/>
      <x:sz val="10"/>
      <x:color rgb="FF8A5A00"/>
      <x:name val="Carlito"/>
    </x:font>
    <x:font>
      <x:b/>
      <x:sz val="10"/>
      <x:color rgb="FF1F4E78"/>
      <x:name val="Carlito"/>
    </x:font>
    <x:font>
      <x:b/>
      <x:sz val="10"/>
      <x:color rgb="FF9C2F1B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sz val="11"/>
      <x:color rgb="FF243447"/>
      <x:name val="Carlito"/>
    </x:font>
    <x:font>
      <x:i/>
      <x:sz val="9"/>
      <x:color rgb="FF667085"/>
      <x:name val="Carlito"/>
    </x:font>
    <x:font>
      <x:sz val="11"/>
      <x:color rgb="FF344054"/>
      <x:name val="Carlito"/>
    </x:font>
    <x:font>
      <x:b/>
      <x:sz val="11"/>
      <x:color rgb="FF9C6500"/>
      <x:name val="Carlito"/>
    </x:font>
    <x:font>
      <x:b/>
      <x:sz val="11"/>
      <x:color rgb="FF595959"/>
      <x:name val="Carlito"/>
    </x:font>
    <x:font>
      <x:b/>
      <x:sz val="11"/>
      <x:color rgb="FF2F6B2F"/>
      <x:name val="Carlito"/>
    </x:font>
    <x:font>
      <x:b/>
      <x:sz val="12"/>
      <x:color rgb="FF17365D"/>
      <x:name val="Carlito"/>
    </x:font>
    <x:font>
      <x:sz val="10"/>
      <x:color rgb="FF7F6000"/>
      <x:name val="Carlito"/>
    </x:font>
    <x:font>
      <x:b/>
      <x:sz val="10"/>
      <x:color rgb="FF17365D"/>
      <x:name val="Carlito"/>
    </x:font>
    <x:font>
      <x:b/>
      <x:sz val="10"/>
      <x:color rgb="FF9C6500"/>
      <x:name val="Carlito"/>
    </x:font>
    <x:font>
      <x:b/>
      <x:sz val="10"/>
      <x:color rgb="FF667085"/>
      <x:name val="Carlito"/>
    </x:font>
    <x:font>
      <x:b/>
      <x:sz val="10"/>
      <x:color rgb="FF375623"/>
      <x:name val="Carlito"/>
    </x:font>
    <x:font>
      <x:sz val="10"/>
      <x:color rgb="FF243447"/>
      <x:name val="Aptos"/>
    </x:font>
    <x:font>
      <x:b/>
      <x:sz val="20"/>
      <x:color rgb="FFFFFFFF"/>
      <x:name val="Aptos Display"/>
    </x:font>
    <x:font>
      <x:i/>
      <x:sz val="10"/>
      <x:color rgb="FF33546F"/>
      <x:name val="Aptos"/>
    </x:font>
    <x:font>
      <x:b/>
      <x:sz val="11"/>
      <x:color rgb="FFFFFFFF"/>
      <x:name val="Aptos"/>
    </x:font>
    <x:font>
      <x:b/>
      <x:sz val="9"/>
      <x:color rgb="FF17365D"/>
      <x:name val="Aptos"/>
    </x:font>
    <x:font>
      <x:b/>
      <x:sz val="10"/>
      <x:color rgb="FF17365D"/>
      <x:name val="Aptos"/>
    </x:font>
    <x:font>
      <x:i/>
      <x:sz val="9"/>
      <x:color rgb="FF33546F"/>
      <x:name val="Aptos"/>
    </x:font>
    <x:font>
      <x:b/>
      <x:sz val="10"/>
      <x:color rgb="FF2E7D32"/>
      <x:name val="Carlito"/>
    </x:font>
    <x:font>
      <x:b/>
      <x:sz val="11"/>
      <x:color rgb="FF375623"/>
      <x:name val="Carlito"/>
    </x:font>
    <x:font>
      <x:b/>
      <x:sz val="10"/>
      <x:color rgb="FF375623"/>
      <x:name val="Aptos"/>
    </x:font>
  </x:fonts>
  <x:fills count="4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E4DFEC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1F4E78"/>
      </x:patternFill>
    </x:fill>
    <x:fill>
      <x:patternFill patternType="solid">
        <x:fgColor rgb="FFF3F6F9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AF3F8"/>
      </x:patternFill>
    </x:fill>
    <x:fill>
      <x:patternFill patternType="solid">
        <x:fgColor rgb="FF9C6500"/>
      </x:patternFill>
    </x:fill>
    <x:fill>
      <x:patternFill patternType="solid">
        <x:fgColor rgb="FFFFFDF5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DF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</x:fills>
  <x:borders count="19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</x:border>
    <x:border>
      <x:top style="thin">
        <x:color rgb="FFD0D5DD"/>
      </x:top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</x:border>
    <x:border>
      <x:right style="thin">
        <x:color rgb="FFD0D5DD"/>
      </x:right>
    </x:border>
    <x:border>
      <x:left style="thin">
        <x:color rgb="FFD0D5DD"/>
      </x:left>
      <x:bottom style="thin">
        <x:color rgb="FFD0D5DD"/>
      </x:bottom>
    </x:border>
    <x:border>
      <x:bottom style="thin">
        <x:color rgb="FFD0D5DD"/>
      </x:bottom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7E2"/>
      </x:left>
      <x:right style="thin">
        <x:color rgb="FFD0D7E2"/>
      </x:right>
      <x:top style="thin">
        <x:color rgb="FFD0D7E2"/>
      </x:top>
      <x:bottom style="thin">
        <x:color rgb="FFD0D7E2"/>
      </x:bottom>
    </x:border>
    <x:border>
      <x:left style="thin">
        <x:color rgb="FFE6B800"/>
      </x:left>
      <x:top style="thin">
        <x:color rgb="FFE6B800"/>
      </x:top>
      <x:bottom style="thin">
        <x:color rgb="FFE6B800"/>
      </x:bottom>
    </x:border>
    <x:border>
      <x:top style="thin">
        <x:color rgb="FFE6B800"/>
      </x:top>
      <x:bottom style="thin">
        <x:color rgb="FFE6B800"/>
      </x:bottom>
    </x:border>
    <x:border>
      <x:right style="thin">
        <x:color rgb="FFE6B800"/>
      </x:right>
      <x:top style="thin">
        <x:color rgb="FFE6B800"/>
      </x:top>
      <x:bottom style="thin">
        <x:color rgb="FFE6B800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AEB8C4"/>
      </x:left>
      <x:right style="thin">
        <x:color rgb="FFAEB8C4"/>
      </x:right>
      <x:top style="thin">
        <x:color rgb="FFAEB8C4"/>
      </x:top>
      <x:bottom style="thin">
        <x:color rgb="FFAEB8C4"/>
      </x:bottom>
    </x:border>
    <x:border>
      <x:left style="thin">
        <x:color rgb="FFB8C2CC"/>
      </x:left>
      <x:right style="thin">
        <x:color rgb="FFB8C2CC"/>
      </x:right>
      <x:top style="thin">
        <x:color rgb="FFB8C2CC"/>
      </x:top>
      <x:bottom style="thin">
        <x:color rgb="FFB8C2CC"/>
      </x:bottom>
    </x:border>
  </x:borders>
  <x:cellStyleXfs count="1">
    <x:xf numFmtId="0" fontId="0" fillId="0" borderId="0"/>
  </x:cellStyleXfs>
  <x:cellXfs count="240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center" wrapText="1"/>
    </x:xf>
    <x:xf numFmtId="0" fontId="3" fillId="4" borderId="1" xfId="0" applyAlignment="1">
      <x:alignment vertical="center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4" fillId="0" borderId="1" xfId="0" applyAlignment="1">
      <x:alignment vertical="top" wrapText="1"/>
    </x:xf>
    <x:xf numFmtId="164" fontId="4" fillId="0" borderId="1" xfId="0" applyAlignment="1">
      <x:alignment vertical="top" wrapText="1"/>
    </x:xf>
    <x:xf numFmtId="0" fontId="4" fillId="5" borderId="1" xfId="0" applyAlignment="1">
      <x:alignment vertical="top" wrapText="1"/>
    </x:xf>
    <x:xf numFmtId="0" fontId="5" fillId="5" borderId="1" xfId="0" applyAlignment="1">
      <x:alignment vertical="top" wrapText="1"/>
    </x:xf>
    <x:xf numFmtId="0" fontId="5" fillId="5" borderId="1" xfId="0" applyAlignment="1">
      <x:alignment horizontal="center" vertical="top" wrapText="1"/>
    </x:xf>
    <x:xf numFmtId="0" fontId="4" fillId="6" borderId="1" xfId="0" applyAlignment="1">
      <x:alignment vertical="top" wrapText="1"/>
    </x:xf>
    <x:xf numFmtId="0" fontId="6" fillId="6" borderId="1" xfId="0" applyAlignment="1">
      <x:alignment vertical="top" wrapText="1"/>
    </x:xf>
    <x:xf numFmtId="0" fontId="6" fillId="6" borderId="1" xfId="0" applyAlignment="1">
      <x:alignment horizontal="center" vertical="top" wrapText="1"/>
    </x:xf>
    <x:xf numFmtId="0" fontId="4" fillId="7" borderId="1" xfId="0" applyAlignment="1">
      <x:alignment vertical="top" wrapText="1"/>
    </x:xf>
    <x:xf numFmtId="0" fontId="7" fillId="7" borderId="1" xfId="0" applyAlignment="1">
      <x:alignment vertical="top" wrapText="1"/>
    </x:xf>
    <x:xf numFmtId="0" fontId="7" fillId="7" borderId="1" xfId="0" applyAlignment="1">
      <x:alignment horizontal="center" vertical="top" wrapText="1"/>
    </x:xf>
    <x:xf numFmtId="0" fontId="4" fillId="8" borderId="1" xfId="0" applyAlignment="1">
      <x:alignment vertical="top" wrapText="1"/>
    </x:xf>
    <x:xf numFmtId="0" fontId="8" fillId="8" borderId="1" xfId="0" applyAlignment="1">
      <x:alignment vertical="top" wrapText="1"/>
    </x:xf>
    <x:xf numFmtId="0" fontId="8" fillId="8" borderId="1" xfId="0" applyAlignment="1">
      <x:alignment horizontal="center" vertical="top" wrapText="1"/>
    </x:xf>
    <x:xf numFmtId="0" fontId="4" fillId="9" borderId="1" xfId="0" applyAlignment="1">
      <x:alignment vertical="top" wrapText="1"/>
    </x:xf>
    <x:xf numFmtId="0" fontId="9" fillId="9" borderId="1" xfId="0" applyAlignment="1">
      <x:alignment vertical="top" wrapText="1"/>
    </x:xf>
    <x:xf numFmtId="0" fontId="9" fillId="9" borderId="1" xfId="0" applyAlignment="1">
      <x:alignment horizontal="center" vertical="top" wrapText="1"/>
    </x:xf>
    <x:xf numFmtId="0" fontId="4" fillId="10" borderId="1" xfId="0" applyAlignment="1">
      <x:alignment vertical="top" wrapText="1"/>
    </x:xf>
    <x:xf numFmtId="0" fontId="10" fillId="10" borderId="1" xfId="0" applyAlignment="1">
      <x:alignment vertical="top" wrapText="1"/>
    </x:xf>
    <x:xf numFmtId="0" fontId="10" fillId="10" borderId="1" xfId="0" applyAlignment="1">
      <x:alignment horizontal="center" vertical="top" wrapText="1"/>
    </x:xf>
    <x:xf numFmtId="0" fontId="11" fillId="4" borderId="0" xfId="0"/>
    <x:xf numFmtId="0" fontId="11" fillId="4" borderId="0" xfId="0" applyAlignment="1">
      <x:alignment horizontal="center"/>
    </x:xf>
    <x:xf numFmtId="0" fontId="0" fillId="9" borderId="0" xfId="0"/>
    <x:xf numFmtId="0" fontId="12" fillId="9" borderId="0" xfId="0"/>
    <x:xf numFmtId="0" fontId="0" fillId="11" borderId="0" xfId="0"/>
    <x:xf numFmtId="0" fontId="13" fillId="11" borderId="0" xfId="0"/>
    <x:xf numFmtId="0" fontId="13" fillId="11" borderId="0" xfId="0" applyAlignment="1">
      <x:alignment wrapText="1"/>
    </x:xf>
    <x:xf numFmtId="0" fontId="13" fillId="11" borderId="0" xfId="0" applyAlignment="1">
      <x:alignment vertical="top" wrapText="1"/>
    </x:xf>
    <x:xf numFmtId="0" fontId="13" fillId="11" borderId="2" xfId="0" applyAlignment="1">
      <x:alignment vertical="top" wrapText="1"/>
    </x:xf>
    <x:xf numFmtId="0" fontId="13" fillId="11" borderId="3" xfId="0" applyAlignment="1">
      <x:alignment vertical="top" wrapText="1"/>
    </x:xf>
    <x:xf numFmtId="0" fontId="13" fillId="11" borderId="4" xfId="0" applyAlignment="1">
      <x:alignment vertical="top" wrapText="1"/>
    </x:xf>
    <x:xf numFmtId="0" fontId="13" fillId="11" borderId="5" xfId="0" applyAlignment="1">
      <x:alignment vertical="top" wrapText="1"/>
    </x:xf>
    <x:xf numFmtId="0" fontId="13" fillId="11" borderId="6" xfId="0" applyAlignment="1">
      <x:alignment vertical="top" wrapText="1"/>
    </x:xf>
    <x:xf numFmtId="0" fontId="13" fillId="11" borderId="7" xfId="0" applyAlignment="1">
      <x:alignment vertical="top" wrapText="1"/>
    </x:xf>
    <x:xf numFmtId="0" fontId="13" fillId="11" borderId="8" xfId="0" applyAlignment="1">
      <x:alignment vertical="top" wrapText="1"/>
    </x:xf>
    <x:xf numFmtId="0" fontId="13" fillId="11" borderId="9" xfId="0" applyAlignment="1">
      <x:alignment vertical="top" wrapText="1"/>
    </x:xf>
    <x:xf numFmtId="0" fontId="14" fillId="0" borderId="0" xfId="0"/>
    <x:xf numFmtId="0" fontId="14" fillId="0" borderId="0" xfId="0" applyAlignment="1">
      <x:alignment wrapText="1"/>
    </x:xf>
    <x:xf numFmtId="0" fontId="0" fillId="12" borderId="0" xfId="0"/>
    <x:xf numFmtId="0" fontId="15" fillId="12" borderId="0" xfId="0"/>
    <x:xf numFmtId="0" fontId="15" fillId="12" borderId="10" xfId="0"/>
    <x:xf numFmtId="0" fontId="15" fillId="12" borderId="10" xfId="0" applyAlignment="1">
      <x:alignment wrapText="1"/>
    </x:xf>
    <x:xf numFmtId="0" fontId="15" fillId="12" borderId="10" xfId="0" applyAlignment="1">
      <x:alignment vertical="top" wrapText="1"/>
    </x:xf>
    <x:xf numFmtId="0" fontId="15" fillId="13" borderId="10" xfId="0" applyAlignment="1">
      <x:alignment vertical="top" wrapText="1"/>
    </x:xf>
    <x:xf numFmtId="0" fontId="16" fillId="13" borderId="10" xfId="0" applyAlignment="1">
      <x:alignment vertical="top" wrapText="1"/>
    </x:xf>
    <x:xf numFmtId="0" fontId="15" fillId="14" borderId="10" xfId="0" applyAlignment="1">
      <x:alignment vertical="top" wrapText="1"/>
    </x:xf>
    <x:xf numFmtId="0" fontId="17" fillId="14" borderId="10" xfId="0" applyAlignment="1">
      <x:alignment vertical="top" wrapText="1"/>
    </x:xf>
    <x:xf numFmtId="164" fontId="15" fillId="12" borderId="10" xfId="0" applyAlignment="1">
      <x:alignment vertical="top" wrapText="1"/>
    </x:xf>
    <x:xf numFmtId="0" fontId="15" fillId="15" borderId="10" xfId="0" applyAlignment="1">
      <x:alignment vertical="top" wrapText="1"/>
    </x:xf>
    <x:xf numFmtId="0" fontId="18" fillId="15" borderId="10" xfId="0" applyAlignment="1">
      <x:alignment vertical="top" wrapText="1"/>
    </x:xf>
    <x:xf numFmtId="0" fontId="0" fillId="0" borderId="0" xfId="0" applyAlignment="1">
      <x:alignment wrapText="1"/>
    </x:xf>
    <x:xf numFmtId="0" fontId="13" fillId="11" borderId="1" xfId="0" applyAlignment="1">
      <x:alignment vertical="top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4" fillId="0" borderId="1" xfId="0" applyAlignment="1">
      <x:alignment vertical="top" wrapText="1"/>
    </x:xf>
    <x:xf numFmtId="164" fontId="15" fillId="12" borderId="10" xfId="0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0" fontId="3" fillId="18" borderId="1" xfId="0" applyNumberFormat="1" applyFont="1" applyFill="1" applyBorder="1"/>
    <x:xf numFmtId="0" fontId="3" fillId="18" borderId="1" xfId="0" applyNumberFormat="1" applyFont="1" applyFill="1" applyBorder="1" applyAlignment="1">
      <x:alignment horizontal="center"/>
    </x:xf>
    <x:xf numFmtId="0" fontId="3" fillId="18" borderId="1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19" fillId="19" borderId="0" xfId="0" applyNumberFormat="1" applyFont="1" applyFill="1" applyBorder="1"/>
    <x:xf numFmtId="0" fontId="19" fillId="19" borderId="1" xfId="0" applyNumberFormat="1" applyFont="1" applyFill="1" applyBorder="1"/>
    <x:xf numFmtId="200" fontId="19" fillId="19" borderId="1" xfId="0" applyNumberFormat="1" applyFont="1" applyFill="1" applyBorder="1"/>
    <x:xf numFmtId="200" fontId="19" fillId="19" borderId="1" xfId="0" applyNumberFormat="1" applyFont="1" applyFill="1" applyBorder="1" applyAlignment="1">
      <x:alignment horizontal="center"/>
    </x:xf>
    <x:xf numFmtId="200" fontId="19" fillId="19" borderId="1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20" fillId="20" borderId="0" xfId="0" applyNumberFormat="1" applyFont="1" applyFill="1" applyBorder="1"/>
    <x:xf numFmtId="0" fontId="20" fillId="20" borderId="11" xfId="0" applyNumberFormat="1" applyFont="1" applyFill="1" applyBorder="1"/>
    <x:xf numFmtId="0" fontId="20" fillId="20" borderId="12" xfId="0" applyNumberFormat="1" applyFont="1" applyFill="1" applyBorder="1"/>
    <x:xf numFmtId="0" fontId="20" fillId="20" borderId="13" xfId="0" applyNumberFormat="1" applyFont="1" applyFill="1" applyBorder="1"/>
    <x:xf numFmtId="0" fontId="20" fillId="20" borderId="11" xfId="0" applyNumberFormat="1" applyFont="1" applyFill="1" applyBorder="1" applyAlignment="1">
      <x:alignment wrapText="1"/>
    </x:xf>
    <x:xf numFmtId="0" fontId="20" fillId="20" borderId="12" xfId="0" applyNumberFormat="1" applyFont="1" applyFill="1" applyBorder="1" applyAlignment="1">
      <x:alignment wrapText="1"/>
    </x:xf>
    <x:xf numFmtId="0" fontId="20" fillId="20" borderId="13" xfId="0" applyNumberFormat="1" applyFont="1" applyFill="1" applyBorder="1" applyAlignment="1">
      <x:alignment wrapText="1"/>
    </x:xf>
    <x:xf numFmtId="0" fontId="20" fillId="20" borderId="11" xfId="0" applyNumberFormat="1" applyFont="1" applyFill="1" applyBorder="1" applyAlignment="1">
      <x:alignment vertical="center" wrapText="1"/>
    </x:xf>
    <x:xf numFmtId="0" fontId="20" fillId="20" borderId="12" xfId="0" applyNumberFormat="1" applyFont="1" applyFill="1" applyBorder="1" applyAlignment="1">
      <x:alignment vertical="center" wrapText="1"/>
    </x:xf>
    <x:xf numFmtId="0" fontId="20" fillId="20" borderId="13" xfId="0" applyNumberFormat="1" applyFont="1" applyFill="1" applyBorder="1" applyAlignment="1">
      <x:alignment vertical="center" wrapText="1"/>
    </x:xf>
    <x:xf numFmtId="0" fontId="3" fillId="18" borderId="1" xfId="0" applyNumberFormat="1" applyFont="1" applyFill="1" applyBorder="1" applyAlignment="1">
      <x:alignment wrapText="1"/>
    </x:xf>
    <x:xf numFmtId="0" fontId="3" fillId="18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21" fillId="0" borderId="1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14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4" fillId="21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7" fillId="22" borderId="1" xfId="0" applyNumberFormat="1" applyFont="1" applyFill="1" applyBorder="1" applyAlignment="1">
      <x:alignment horizontal="center" vertical="top" wrapText="1"/>
    </x:xf>
    <x:xf numFmtId="0" fontId="22" fillId="22" borderId="1" xfId="0" applyNumberFormat="1" applyFont="1" applyFill="1" applyBorder="1" applyAlignment="1">
      <x:alignment horizontal="center" vertical="top" wrapText="1"/>
    </x:xf>
    <x:xf numFmtId="0" fontId="22" fillId="22" borderId="1" xfId="0" applyNumberFormat="1" applyFont="1" applyFill="1" applyBorder="1" applyAlignment="1">
      <x:alignment horizontal="center" vertical="center" wrapText="1"/>
    </x:xf>
    <x:xf numFmtId="0" fontId="7" fillId="23" borderId="1" xfId="0" applyNumberFormat="1" applyFont="1" applyFill="1" applyBorder="1" applyAlignment="1">
      <x:alignment horizontal="center" vertical="top" wrapText="1"/>
    </x:xf>
    <x:xf numFmtId="0" fontId="23" fillId="23" borderId="1" xfId="0" applyNumberFormat="1" applyFont="1" applyFill="1" applyBorder="1" applyAlignment="1">
      <x:alignment horizontal="center" vertical="top" wrapText="1"/>
    </x:xf>
    <x:xf numFmtId="0" fontId="23" fillId="23" borderId="1" xfId="0" applyNumberFormat="1" applyFont="1" applyFill="1" applyBorder="1" applyAlignment="1">
      <x:alignment horizontal="center" vertical="center" wrapText="1"/>
    </x:xf>
    <x:xf numFmtId="164" fontId="4" fillId="0" borderId="1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14" fillId="23" borderId="0" xfId="0" applyNumberFormat="1" applyFont="1" applyFill="1" applyBorder="1"/>
    <x:xf numFmtId="0" fontId="14" fillId="23" borderId="0" xfId="0" applyNumberFormat="1" applyFont="1" applyFill="1" applyBorder="1" applyAlignment="1">
      <x:alignment wrapText="1"/>
    </x:xf>
    <x:xf numFmtId="0" fontId="14" fillId="23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1" xfId="0" applyNumberFormat="1" applyFont="1" applyFill="1" applyBorder="1"/>
    <x:xf numFmtId="0" fontId="3" fillId="24" borderId="1" xfId="0" applyNumberFormat="1" applyFont="1" applyFill="1" applyBorder="1" applyAlignment="1">
      <x:alignment horizontal="center"/>
    </x:xf>
    <x:xf numFmtId="0" fontId="3" fillId="24" borderId="1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/>
    <x:xf numFmtId="0" fontId="19" fillId="25" borderId="0" xfId="0" applyNumberFormat="1" applyFont="1" applyFill="1" applyBorder="1"/>
    <x:xf numFmtId="0" fontId="19" fillId="25" borderId="1" xfId="0" applyNumberFormat="1" applyFont="1" applyFill="1" applyBorder="1"/>
    <x:xf numFmtId="200" fontId="19" fillId="25" borderId="1" xfId="0" applyNumberFormat="1" applyFont="1" applyFill="1" applyBorder="1"/>
    <x:xf numFmtId="200" fontId="19" fillId="25" borderId="1" xfId="0" applyNumberFormat="1" applyFont="1" applyFill="1" applyBorder="1" applyAlignment="1">
      <x:alignment horizontal="center"/>
    </x:xf>
    <x:xf numFmtId="200" fontId="19" fillId="25" borderId="1" xfId="0" applyNumberFormat="1" applyFont="1" applyFill="1" applyBorder="1" applyAlignment="1">
      <x:alignment horizontal="center" vertical="center"/>
    </x:xf>
    <x:xf numFmtId="0" fontId="4" fillId="26" borderId="1" xfId="0" applyNumberFormat="1" applyFont="1" applyFill="1" applyBorder="1" applyAlignment="1">
      <x:alignment horizontal="center" vertical="center" wrapText="1"/>
    </x:xf>
    <x:xf numFmtId="0" fontId="24" fillId="26" borderId="1" xfId="0" applyNumberFormat="1" applyFont="1" applyFill="1" applyBorder="1" applyAlignment="1">
      <x:alignment horizontal="center" vertical="center" wrapText="1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2" fillId="28" borderId="0" xfId="0" applyNumberFormat="1" applyFont="1" applyFill="1" applyBorder="1" applyAlignment="1">
      <x:alignment vertical="center"/>
    </x:xf>
    <x:xf numFmtId="0" fontId="3" fillId="24" borderId="1" xfId="0" applyNumberFormat="1" applyFont="1" applyFill="1" applyBorder="1" applyAlignment="1">
      <x:alignment wrapText="1"/>
    </x:xf>
    <x:xf numFmtId="0" fontId="3" fillId="24" borderId="1" xfId="0" applyNumberFormat="1" applyFont="1" applyFill="1" applyBorder="1" applyAlignment="1">
      <x:alignment horizontal="center" wrapText="1"/>
    </x:xf>
    <x:xf numFmtId="0" fontId="3" fillId="24" borderId="1" xfId="0" applyNumberFormat="1" applyFont="1" applyFill="1" applyBorder="1" applyAlignment="1">
      <x:alignment horizontal="center" vertical="center" wrapText="1"/>
    </x:xf>
    <x:xf numFmtId="0" fontId="21" fillId="23" borderId="0" xfId="0" applyNumberFormat="1" applyFont="1" applyFill="1" applyBorder="1"/>
    <x:xf numFmtId="0" fontId="21" fillId="23" borderId="1" xfId="0" applyNumberFormat="1" applyFont="1" applyFill="1" applyBorder="1"/>
    <x:xf numFmtId="0" fontId="21" fillId="23" borderId="1" xfId="0" applyNumberFormat="1" applyFont="1" applyFill="1" applyBorder="1" applyAlignment="1">
      <x:alignment wrapText="1"/>
    </x:xf>
    <x:xf numFmtId="0" fontId="21" fillId="23" borderId="1" xfId="0" applyNumberFormat="1" applyFont="1" applyFill="1" applyBorder="1" applyAlignment="1">
      <x:alignment horizontal="center" wrapText="1"/>
    </x:xf>
    <x:xf numFmtId="0" fontId="21" fillId="23" borderId="1" xfId="0" applyNumberFormat="1" applyFont="1" applyFill="1" applyBorder="1" applyAlignment="1">
      <x:alignment horizontal="center" vertical="center" wrapText="1"/>
    </x:xf>
    <x:xf numFmtId="0" fontId="11" fillId="24" borderId="0" xfId="0" applyNumberFormat="1" applyFont="1" applyFill="1" applyBorder="1"/>
    <x:xf numFmtId="0" fontId="11" fillId="24" borderId="0" xfId="0" applyNumberFormat="1" applyFont="1" applyFill="1" applyBorder="1" applyAlignment="1">
      <x:alignment vertical="center"/>
    </x:xf>
    <x:xf numFmtId="0" fontId="4" fillId="24" borderId="1" xfId="0" applyNumberFormat="1" applyFont="1" applyFill="1" applyBorder="1" applyAlignment="1">
      <x:alignment vertical="top" wrapText="1"/>
    </x:xf>
    <x:xf numFmtId="0" fontId="3" fillId="24" borderId="1" xfId="0" applyNumberFormat="1" applyFont="1" applyFill="1" applyBorder="1" applyAlignment="1">
      <x:alignment vertical="top" wrapText="1"/>
    </x:xf>
    <x:xf numFmtId="0" fontId="3" fillId="24" borderId="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24" fillId="26" borderId="0" xfId="0" applyNumberFormat="1" applyFont="1" applyFill="1" applyBorder="1"/>
    <x:xf numFmtId="0" fontId="24" fillId="26" borderId="14" xfId="0" applyNumberFormat="1" applyFont="1" applyFill="1" applyBorder="1"/>
    <x:xf numFmtId="0" fontId="24" fillId="26" borderId="15" xfId="0" applyNumberFormat="1" applyFont="1" applyFill="1" applyBorder="1"/>
    <x:xf numFmtId="0" fontId="24" fillId="26" borderId="16" xfId="0" applyNumberFormat="1" applyFont="1" applyFill="1" applyBorder="1"/>
    <x:xf numFmtId="0" fontId="24" fillId="26" borderId="14" xfId="0" applyNumberFormat="1" applyFont="1" applyFill="1" applyBorder="1" applyAlignment="1">
      <x:alignment wrapText="1"/>
    </x:xf>
    <x:xf numFmtId="0" fontId="24" fillId="26" borderId="15" xfId="0" applyNumberFormat="1" applyFont="1" applyFill="1" applyBorder="1" applyAlignment="1">
      <x:alignment wrapText="1"/>
    </x:xf>
    <x:xf numFmtId="0" fontId="24" fillId="26" borderId="16" xfId="0" applyNumberFormat="1" applyFont="1" applyFill="1" applyBorder="1" applyAlignment="1">
      <x:alignment wrapText="1"/>
    </x:xf>
    <x:xf numFmtId="0" fontId="24" fillId="26" borderId="14" xfId="0" applyNumberFormat="1" applyFont="1" applyFill="1" applyBorder="1" applyAlignment="1">
      <x:alignment vertical="center" wrapText="1"/>
    </x:xf>
    <x:xf numFmtId="0" fontId="24" fillId="26" borderId="15" xfId="0" applyNumberFormat="1" applyFont="1" applyFill="1" applyBorder="1" applyAlignment="1">
      <x:alignment vertical="center" wrapText="1"/>
    </x:xf>
    <x:xf numFmtId="0" fontId="24" fillId="26" borderId="16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11" fillId="29" borderId="0" xfId="0" applyNumberFormat="1" applyFont="1" applyFill="1" applyBorder="1"/>
    <x:xf numFmtId="0" fontId="11" fillId="29" borderId="0" xfId="0" applyNumberFormat="1" applyFont="1" applyFill="1" applyBorder="1" applyAlignment="1">
      <x:alignment vertical="center"/>
    </x:xf>
    <x:xf numFmtId="0" fontId="4" fillId="29" borderId="1" xfId="0" applyNumberFormat="1" applyFont="1" applyFill="1" applyBorder="1" applyAlignment="1">
      <x:alignment vertical="top" wrapText="1"/>
    </x:xf>
    <x:xf numFmtId="0" fontId="3" fillId="29" borderId="1" xfId="0" applyNumberFormat="1" applyFont="1" applyFill="1" applyBorder="1" applyAlignment="1">
      <x:alignment vertical="top" wrapText="1"/>
    </x:xf>
    <x:xf numFmtId="0" fontId="3" fillId="29" borderId="1" xfId="0" applyNumberFormat="1" applyFont="1" applyFill="1" applyBorder="1" applyAlignment="1">
      <x:alignment vertical="center" wrapText="1"/>
    </x:xf>
    <x:xf numFmtId="0" fontId="4" fillId="30" borderId="1" xfId="0" applyNumberFormat="1" applyFont="1" applyFill="1" applyBorder="1" applyAlignment="1">
      <x:alignment vertical="top" wrapText="1"/>
    </x:xf>
    <x:xf numFmtId="0" fontId="4" fillId="22" borderId="1" xfId="0" applyNumberFormat="1" applyFont="1" applyFill="1" applyBorder="1" applyAlignment="1">
      <x:alignment vertical="top" wrapText="1"/>
    </x:xf>
    <x:xf numFmtId="0" fontId="22" fillId="22" borderId="1" xfId="0" applyNumberFormat="1" applyFont="1" applyFill="1" applyBorder="1" applyAlignment="1">
      <x:alignment vertical="top" wrapText="1"/>
    </x:xf>
    <x:xf numFmtId="0" fontId="22" fillId="31" borderId="1" xfId="0" applyNumberFormat="1" applyFont="1" applyFill="1" applyBorder="1" applyAlignment="1">
      <x:alignment horizontal="center" vertical="center" wrapText="1"/>
    </x:xf>
    <x:xf numFmtId="0" fontId="4" fillId="32" borderId="1" xfId="0" applyNumberFormat="1" applyFont="1" applyFill="1" applyBorder="1" applyAlignment="1">
      <x:alignment horizontal="center" vertical="center" wrapText="1"/>
    </x:xf>
    <x:xf numFmtId="0" fontId="9" fillId="32" borderId="1" xfId="0" applyNumberFormat="1" applyFont="1" applyFill="1" applyBorder="1" applyAlignment="1">
      <x:alignment horizontal="center" vertical="center" wrapText="1"/>
    </x:xf>
    <x:xf numFmtId="0" fontId="4" fillId="31" borderId="1" xfId="0" applyNumberFormat="1" applyFont="1" applyFill="1" applyBorder="1" applyAlignment="1">
      <x:alignment horizontal="center" vertical="center" wrapText="1"/>
    </x:xf>
    <x:xf numFmtId="0" fontId="4" fillId="33" borderId="1" xfId="0" applyNumberFormat="1" applyFont="1" applyFill="1" applyBorder="1" applyAlignment="1">
      <x:alignment horizontal="center" vertical="center" wrapText="1"/>
    </x:xf>
    <x:xf numFmtId="0" fontId="24" fillId="33" borderId="1" xfId="0" applyNumberFormat="1" applyFont="1" applyFill="1" applyBorder="1" applyAlignment="1">
      <x:alignment horizontal="center" vertical="center" wrapText="1"/>
    </x:xf>
    <x:xf numFmtId="0" fontId="22" fillId="33" borderId="1" xfId="0" applyNumberFormat="1" applyFont="1" applyFill="1" applyBorder="1" applyAlignment="1">
      <x:alignment horizontal="center" vertical="center" wrapText="1"/>
    </x:xf>
    <x:xf numFmtId="0" fontId="4" fillId="34" borderId="1" xfId="0" applyNumberFormat="1" applyFont="1" applyFill="1" applyBorder="1" applyAlignment="1">
      <x:alignment vertical="top" wrapText="1"/>
    </x:xf>
    <x:xf numFmtId="0" fontId="25" fillId="0" borderId="0" xfId="0" applyNumberFormat="1" applyFont="1" applyFill="1" applyBorder="1"/>
    <x:xf numFmtId="0" fontId="25" fillId="0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vertical="center" wrapText="1"/>
    </x:xf>
    <x:xf numFmtId="0" fontId="25" fillId="35" borderId="0" xfId="0" applyNumberFormat="1" applyFont="1" applyFill="1" applyBorder="1" applyAlignment="1">
      <x:alignment vertical="center" wrapText="1"/>
    </x:xf>
    <x:xf numFmtId="0" fontId="26" fillId="35" borderId="0" xfId="0" applyNumberFormat="1" applyFont="1" applyFill="1" applyBorder="1" applyAlignment="1">
      <x:alignment vertical="center" wrapText="1"/>
    </x:xf>
    <x:xf numFmtId="0" fontId="25" fillId="36" borderId="0" xfId="0" applyNumberFormat="1" applyFont="1" applyFill="1" applyBorder="1" applyAlignment="1">
      <x:alignment vertical="center" wrapText="1"/>
    </x:xf>
    <x:xf numFmtId="0" fontId="27" fillId="36" borderId="0" xfId="0" applyNumberFormat="1" applyFont="1" applyFill="1" applyBorder="1" applyAlignment="1">
      <x:alignment vertical="center" wrapText="1"/>
    </x:xf>
    <x:xf numFmtId="0" fontId="25" fillId="37" borderId="0" xfId="0" applyNumberFormat="1" applyFont="1" applyFill="1" applyBorder="1" applyAlignment="1">
      <x:alignment vertical="center" wrapText="1"/>
    </x:xf>
    <x:xf numFmtId="0" fontId="28" fillId="37" borderId="0" xfId="0" applyNumberFormat="1" applyFont="1" applyFill="1" applyBorder="1" applyAlignment="1">
      <x:alignment vertical="center" wrapText="1"/>
    </x:xf>
    <x:xf numFmtId="0" fontId="25" fillId="38" borderId="0" xfId="0" applyNumberFormat="1" applyFont="1" applyFill="1" applyBorder="1" applyAlignment="1">
      <x:alignment vertical="center" wrapText="1"/>
    </x:xf>
    <x:xf numFmtId="0" fontId="29" fillId="38" borderId="0" xfId="0" applyNumberFormat="1" applyFont="1" applyFill="1" applyBorder="1" applyAlignment="1">
      <x:alignment vertical="center" wrapText="1"/>
    </x:xf>
    <x:xf numFmtId="0" fontId="29" fillId="38" borderId="17" xfId="0" applyNumberFormat="1" applyFont="1" applyFill="1" applyBorder="1" applyAlignment="1">
      <x:alignment vertical="center" wrapText="1"/>
    </x:xf>
    <x:xf numFmtId="0" fontId="25" fillId="0" borderId="1" xfId="0" applyNumberFormat="1" applyFont="1" applyFill="1" applyBorder="1" applyAlignment="1">
      <x:alignment vertical="center" wrapText="1"/>
    </x:xf>
    <x:xf numFmtId="0" fontId="25" fillId="0" borderId="18" xfId="0" applyNumberFormat="1" applyFont="1" applyFill="1" applyBorder="1" applyAlignment="1">
      <x:alignment vertical="center" wrapText="1"/>
    </x:xf>
    <x:xf numFmtId="0" fontId="30" fillId="0" borderId="18" xfId="0" applyNumberFormat="1" applyFont="1" applyFill="1" applyBorder="1" applyAlignment="1">
      <x:alignment vertical="center" wrapText="1"/>
    </x:xf>
    <x:xf numFmtId="0" fontId="25" fillId="39" borderId="18" xfId="0" applyNumberFormat="1" applyFont="1" applyFill="1" applyBorder="1" applyAlignment="1">
      <x:alignment vertical="center" wrapText="1"/>
    </x:xf>
    <x:xf numFmtId="0" fontId="25" fillId="39" borderId="1" xfId="0" applyNumberFormat="1" applyFont="1" applyFill="1" applyBorder="1" applyAlignment="1">
      <x:alignment vertical="center" wrapText="1"/>
    </x:xf>
    <x:xf numFmtId="0" fontId="25" fillId="0" borderId="1" xfId="0" applyNumberFormat="1" applyFont="1" applyFill="1" applyBorder="1" applyAlignment="1">
      <x:alignment horizontal="center" vertical="center" wrapText="1"/>
    </x:xf>
    <x:xf numFmtId="0" fontId="25" fillId="39" borderId="1" xfId="0" applyNumberFormat="1" applyFont="1" applyFill="1" applyBorder="1" applyAlignment="1">
      <x:alignment horizontal="center" vertical="center" wrapText="1"/>
    </x:xf>
    <x:xf numFmtId="0" fontId="25" fillId="40" borderId="0" xfId="0" applyNumberFormat="1" applyFont="1" applyFill="1" applyBorder="1" applyAlignment="1">
      <x:alignment vertical="center" wrapText="1"/>
    </x:xf>
    <x:xf numFmtId="0" fontId="31" fillId="40" borderId="0" xfId="0" applyNumberFormat="1" applyFont="1" applyFill="1" applyBorder="1" applyAlignment="1">
      <x:alignment vertical="center" wrapText="1"/>
    </x:xf>
    <x:xf numFmtId="0" fontId="24" fillId="41" borderId="1" xfId="0" applyNumberFormat="1" applyFont="1" applyFill="1" applyBorder="1" applyAlignment="1">
      <x:alignment horizontal="center" vertical="center" wrapText="1"/>
    </x:xf>
    <x:xf numFmtId="0" fontId="32" fillId="41" borderId="1" xfId="0" applyNumberFormat="1" applyFont="1" applyFill="1" applyBorder="1" applyAlignment="1">
      <x:alignment horizontal="center" vertical="center" wrapText="1"/>
    </x:xf>
    <x:xf numFmtId="0" fontId="0" fillId="39" borderId="0" xfId="0" applyNumberFormat="1" applyFont="1" applyFill="1" applyBorder="1"/>
    <x:xf numFmtId="0" fontId="16" fillId="39" borderId="0" xfId="0" applyNumberFormat="1" applyFont="1" applyFill="1" applyBorder="1"/>
    <x:xf numFmtId="0" fontId="22" fillId="41" borderId="1" xfId="0" applyNumberFormat="1" applyFont="1" applyFill="1" applyBorder="1" applyAlignment="1">
      <x:alignment horizontal="center" vertical="center" wrapText="1"/>
    </x:xf>
    <x:xf numFmtId="0" fontId="4" fillId="41" borderId="1" xfId="0" applyNumberFormat="1" applyFont="1" applyFill="1" applyBorder="1" applyAlignment="1">
      <x:alignment horizontal="center" vertical="center" wrapText="1"/>
    </x:xf>
    <x:xf numFmtId="0" fontId="4" fillId="42" borderId="1" xfId="0" applyNumberFormat="1" applyFont="1" applyFill="1" applyBorder="1" applyAlignment="1">
      <x:alignment horizontal="center" vertical="center" wrapText="1"/>
    </x:xf>
    <x:xf numFmtId="0" fontId="9" fillId="42" borderId="1" xfId="0" applyNumberFormat="1" applyFont="1" applyFill="1" applyBorder="1" applyAlignment="1">
      <x:alignment horizontal="center" vertical="center" wrapText="1"/>
    </x:xf>
    <x:xf numFmtId="0" fontId="4" fillId="43" borderId="1" xfId="0" applyNumberFormat="1" applyFont="1" applyFill="1" applyBorder="1" applyAlignment="1">
      <x:alignment horizontal="center" vertical="center" wrapText="1"/>
    </x:xf>
    <x:xf numFmtId="0" fontId="24" fillId="43" borderId="1" xfId="0" applyNumberFormat="1" applyFont="1" applyFill="1" applyBorder="1" applyAlignment="1">
      <x:alignment horizontal="center" vertical="center" wrapText="1"/>
    </x:xf>
    <x:xf numFmtId="0" fontId="32" fillId="43" borderId="1" xfId="0" applyNumberFormat="1" applyFont="1" applyFill="1" applyBorder="1" applyAlignment="1">
      <x:alignment horizontal="center" vertical="center" wrapText="1"/>
    </x:xf>
    <x:xf numFmtId="0" fontId="16" fillId="43" borderId="0" xfId="0" applyNumberFormat="1" applyFont="1" applyFill="1" applyBorder="1"/>
    <x:xf numFmtId="0" fontId="0" fillId="43" borderId="0" xfId="0" applyNumberFormat="1" applyFont="1" applyFill="1" applyBorder="1"/>
    <x:xf numFmtId="0" fontId="33" fillId="43" borderId="0" xfId="0" applyNumberFormat="1" applyFont="1" applyFill="1" applyBorder="1"/>
    <x:xf numFmtId="0" fontId="33" fillId="43" borderId="0" xfId="0" applyNumberFormat="1" applyFont="1" applyFill="1" applyBorder="1" applyAlignment="1">
      <x:alignment horizontal="center"/>
    </x:xf>
    <x:xf numFmtId="0" fontId="33" fillId="43" borderId="0" xfId="0" applyNumberFormat="1" applyFont="1" applyFill="1" applyBorder="1" applyAlignment="1">
      <x:alignment horizontal="center" vertical="center"/>
    </x:xf>
    <x:xf numFmtId="0" fontId="22" fillId="43" borderId="1" xfId="0" applyNumberFormat="1" applyFont="1" applyFill="1" applyBorder="1" applyAlignment="1">
      <x:alignment horizontal="center" vertical="center" wrapText="1"/>
    </x:xf>
    <x:xf numFmtId="0" fontId="9" fillId="43" borderId="1" xfId="0" applyNumberFormat="1" applyFont="1" applyFill="1" applyBorder="1" applyAlignment="1">
      <x:alignment horizontal="center" vertical="center" wrapText="1"/>
    </x:xf>
    <x:xf numFmtId="0" fontId="4" fillId="44" borderId="1" xfId="0" applyNumberFormat="1" applyFont="1" applyFill="1" applyBorder="1" applyAlignment="1">
      <x:alignment horizontal="center" vertical="center" wrapText="1"/>
    </x:xf>
    <x:xf numFmtId="0" fontId="9" fillId="44" borderId="1" xfId="0" applyNumberFormat="1" applyFont="1" applyFill="1" applyBorder="1" applyAlignment="1">
      <x:alignment horizontal="center" vertical="center" wrapText="1"/>
    </x:xf>
    <x:xf numFmtId="0" fontId="25" fillId="43" borderId="18" xfId="0" applyNumberFormat="1" applyFont="1" applyFill="1" applyBorder="1" applyAlignment="1">
      <x:alignment vertical="center" wrapText="1"/>
    </x:xf>
    <x:xf numFmtId="0" fontId="34" fillId="43" borderId="18" xfId="0" applyNumberFormat="1" applyFont="1" applyFill="1" applyBorder="1" applyAlignment="1">
      <x:alignment vertical="center" wrapText="1"/>
    </x:xf>
    <x:xf numFmtId="0" fontId="34" fillId="43" borderId="18" xfId="0" applyNumberFormat="1" applyFont="1" applyFill="1" applyBorder="1" applyAlignment="1">
      <x:alignment horizontal="center" vertical="center" wrapText="1"/>
    </x:xf>
    <x:xf numFmtId="0" fontId="25" fillId="43" borderId="1" xfId="0" applyNumberFormat="1" applyFont="1" applyFill="1" applyBorder="1" applyAlignment="1">
      <x:alignment horizontal="center" vertical="center" wrapText="1"/>
    </x:xf>
    <x:xf numFmtId="0" fontId="34" fillId="43" borderId="1" xfId="0" applyNumberFormat="1" applyFont="1" applyFill="1" applyBorder="1" applyAlignment="1">
      <x:alignment horizontal="center" vertical="center" wrapText="1"/>
    </x:xf>
    <x:xf numFmtId="0" fontId="25" fillId="43" borderId="0" xfId="0" applyNumberFormat="1" applyFont="1" applyFill="1" applyBorder="1" applyAlignment="1">
      <x:alignment vertical="center" wrapText="1"/>
    </x:xf>
    <x:xf numFmtId="0" fontId="34" fillId="43" borderId="0" xfId="0" applyNumberFormat="1" applyFont="1" applyFill="1" applyBorder="1" applyAlignment="1">
      <x:alignment vertical="center" wrapText="1"/>
    </x:xf>
    <x:xf numFmtId="0" fontId="34" fillId="4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5">
    <x:dxf>
      <x:font>
        <x:b/>
        <x:color rgb="FF60497A"/>
      </x:font>
      <x:fill>
        <x:patternFill>
          <x:bgColor rgb="FFE4DFE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A23B00"/>
      </x:font>
      <x:fill>
        <x:patternFill>
          <x:bgColor rgb="FFFCE4D6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667085"/>
      </x:font>
      <x:fill>
        <x:patternFill>
          <x:bgColor rgb="FFF2F2F2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667085"/>
      </x:font>
      <x:fill>
        <x:patternFill>
          <x:bgColor rgb="FFF2F2F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b448a9d6d84a46" /><Relationship Type="http://schemas.openxmlformats.org/officeDocument/2006/relationships/theme" Target="/xl/theme/theme1.xml" Id="Rab2dc3407ef74592" /><Relationship Type="http://schemas.openxmlformats.org/officeDocument/2006/relationships/sharedStrings" Target="/xl/sharedStrings.xml" Id="Re538de5154e24432" /><Relationship Type="http://schemas.openxmlformats.org/officeDocument/2006/relationships/worksheet" Target="/xl/worksheets/sheet1.xml" Id="R11b00c37c4674640" /><Relationship Type="http://schemas.openxmlformats.org/officeDocument/2006/relationships/worksheet" Target="/xl/worksheets/sheet2.xml" Id="R77c55a1bf1824334" /><Relationship Type="http://schemas.openxmlformats.org/officeDocument/2006/relationships/worksheet" Target="/xl/worksheets/sheet3.xml" Id="Ra2c2e57ec78649c8" /><Relationship Type="http://schemas.openxmlformats.org/officeDocument/2006/relationships/worksheet" Target="/xl/worksheets/sheet4.xml" Id="Ra7926415bcad4b25" /><Relationship Type="http://schemas.openxmlformats.org/officeDocument/2006/relationships/worksheet" Target="/xl/worksheets/sheet5.xml" Id="R61db600075194c95" /><Relationship Type="http://schemas.openxmlformats.org/officeDocument/2006/relationships/worksheet" Target="/xl/worksheets/sheet6.xml" Id="R314dd3ab2ae44254" /><Relationship Type="http://schemas.openxmlformats.org/officeDocument/2006/relationships/worksheet" Target="/xl/worksheets/sheet7.xml" Id="Re66d5c03b76045f8" /><Relationship Type="http://schemas.openxmlformats.org/officeDocument/2006/relationships/worksheet" Target="/xl/worksheets/sheet8.xml" Id="R118a70b0a9014e4a" /></Relationships>
</file>

<file path=xl/tables/table1.xml><?xml version="1.0" encoding="utf-8"?>
<x:table xmlns:x="http://schemas.openxmlformats.org/spreadsheetml/2006/main" id="1" name="FutureBacklogTable" displayName="FutureBacklogTable" ref="A8:J44" headerRowCount="1" totalsRowCount="0" totalsRowShown="0">
  <x:autoFilter ref="A8:J44"/>
  <x:tableColumns count="10">
    <x:tableColumn id="1" name="Backlog ID"/>
    <x:tableColumn id="2" name="Origin"/>
    <x:tableColumn id="3" name="Area"/>
    <x:tableColumn id="4" name="Future Item / Decision"/>
    <x:tableColumn id="5" name="Classification"/>
    <x:tableColumn id="6" name="Current Status"/>
    <x:tableColumn id="7" name="Business Direction / Decision Needed"/>
    <x:tableColumn id="8" name="Dependency / Trigger"/>
    <x:tableColumn id="9" name="Next BA Action"/>
    <x:tableColumn id="10" name="Primary Source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.xml" Id="Rb12394d8987346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7" customWidth="1"/>
    <x:col min="2" max="2" width="10" customWidth="1"/>
    <x:col min="3" max="3" width="24" customWidth="1"/>
    <x:col min="4" max="4" width="10" customWidth="1"/>
    <x:col min="5" max="5" width="24" customWidth="1"/>
    <x:col min="6" max="6" width="10" customWidth="1"/>
    <x:col min="7" max="7" width="26" customWidth="1"/>
    <x:col min="8" max="8" width="10" customWidth="1"/>
    <x:col min="9" max="9" width="30" customWidth="1"/>
    <x:col min="10" max="10" width="6" customWidth="1"/>
  </x:cols>
  <x:sheetData>
    <x:row r="1" ht="32" customHeight="1">
      <x:c r="A1" s="3" t="inlineStr">
        <x:is>
          <x:t xml:space="preserve">MINI RALLY — PRODUCT EXECUTION PLAN</x:t>
        </x:is>
      </x:c>
    </x:row>
    <x:row r="2" ht="27" customHeight="1">
      <x:c r="A2" s="6" t="str">
        <x:v>Single planning workbook | Baseline: 2026-07-31 | Phase 5 closed | Phase 6 Reports and Portfolio &gt; Release Tracking BA/mockup approved; DEV implementation excluded</x:v>
      </x:c>
    </x:row>
    <x:row r="4" ht="26" customHeight="1">
      <x:c r="A4" s="36" t="inlineStr">
        <x:is>
          <x:t xml:space="preserve">BA Tasks</x:t>
        </x:is>
      </x:c>
      <x:c r="D4" s="36" t="inlineStr">
        <x:is>
          <x:t xml:space="preserve">DEV Tasks</x:t>
        </x:is>
      </x:c>
      <x:c r="G4" s="36" t="inlineStr">
        <x:is>
          <x:t xml:space="preserve">Product Gate</x:t>
        </x:is>
      </x:c>
    </x:row>
    <x:row r="5" ht="48" customHeight="1">
      <x:c r="A5" s="15" t="inlineStr">
        <x:is>
          <x:t xml:space="preserve">Total</x:t>
        </x:is>
      </x:c>
      <x:c r="B5" s="15" t="n">
        <x:f>COUNTA('BA Tasks'!$A$5:$A$200)</x:f>
        <x:v>38</x:v>
      </x:c>
      <x:c r="D5" s="15" t="inlineStr">
        <x:is>
          <x:t xml:space="preserve">Total</x:t>
        </x:is>
      </x:c>
      <x:c r="E5" s="15" t="n">
        <x:f>COUNTA('DEV Tasks'!$A$5:$A$200)</x:f>
        <x:v>35</x:v>
      </x:c>
      <x:c r="G5" s="15" t="inlineStr">
        <x:is>
          <x:t xml:space="preserve">BA baseline</x:t>
        </x:is>
      </x:c>
      <x:c r="H5" s="118" t="str">
        <x:v>Phase 0-5 BA/mockup baseline closed; Phase 6 Reports and Release Tracking approved for DEV handoff</x:v>
      </x:c>
      <x:c r="I5" s="119"/>
    </x:row>
    <x:row r="6" ht="48" customHeight="1">
      <x:c r="A6" s="15" t="inlineStr">
        <x:is>
          <x:t xml:space="preserve">Done</x:t>
        </x:is>
      </x:c>
      <x:c r="B6" s="15" t="n">
        <x:f>COUNTIF('BA Tasks'!$H$5:$H$200,"Done")</x:f>
        <x:v>31</x:v>
      </x:c>
      <x:c r="D6" s="15" t="inlineStr">
        <x:is>
          <x:t xml:space="preserve">Done</x:t>
        </x:is>
      </x:c>
      <x:c r="E6" s="15" t="n">
        <x:f>COUNTIF('DEV Tasks'!$H$5:$H$200,"Done")</x:f>
        <x:v>0</x:v>
      </x:c>
      <x:c r="G6" s="15" t="inlineStr">
        <x:is>
          <x:t xml:space="preserve">DEV current</x:t>
        </x:is>
      </x:c>
      <x:c r="H6" s="118" t="str">
        <x:v>Production implementation, persistence, history, authorization and automated tests remain DEV-owned</x:v>
      </x:c>
      <x:c r="I6" s="119"/>
    </x:row>
    <x:row r="7" ht="48" customHeight="1">
      <x:c r="A7" s="15" t="inlineStr">
        <x:is>
          <x:t xml:space="preserve">Open</x:t>
        </x:is>
      </x:c>
      <x:c r="B7" s="15" t="n">
        <x:f>B5-B6</x:f>
        <x:v>7</x:v>
      </x:c>
      <x:c r="D7" s="15" t="inlineStr">
        <x:is>
          <x:t xml:space="preserve">Open</x:t>
        </x:is>
      </x:c>
      <x:c r="E7" s="15" t="n">
        <x:f>E5-E6</x:f>
        <x:v>35</x:v>
      </x:c>
      <x:c r="G7" s="15" t="inlineStr">
        <x:is>
          <x:t xml:space="preserve">Next gate</x:t>
        </x:is>
      </x:c>
      <x:c r="H7" s="118" t="str">
        <x:v>DEV may implement from the Phase 6 report contract and Release Tracking SRS</x:v>
      </x:c>
      <x:c r="I7" s="119"/>
    </x:row>
    <x:row r="9">
      <x:c r="A9" s="38" t="inlineStr">
        <x:is>
          <x:t xml:space="preserve">HOW TO USE THIS WORKBOOK</x:t>
        </x:is>
      </x:c>
    </x:row>
    <x:row r="10">
      <x:c r="A10" s="66" t="str">
        <x:v>1. BA owns business rules, SRS/mockup alignment and acceptance.
2. Closed Phase 5 remains Portfolio Items plus Capacity Planning.
3. Reports has exactly Iteration Burndown, Velocity and Team Capacity.
4. Release Tracking is a separate Portfolio surface and the final Portfolio menu item.
5. Dependencies is Future Backlog FB-P6-001; DEV owns production implementation and verification.</x:v>
      </x:c>
      <x:c r="B10" s="67" t="n"/>
      <x:c r="C10" s="67" t="n"/>
      <x:c r="D10" s="67" t="n"/>
      <x:c r="E10" s="67" t="n"/>
      <x:c r="F10" s="67" t="n"/>
      <x:c r="G10" s="67" t="n"/>
      <x:c r="H10" s="67" t="n"/>
      <x:c r="I10" s="67" t="n"/>
      <x:c r="J10" s="68" t="n"/>
    </x:row>
    <x:row r="11">
      <x:c r="A11" s="69" t="n"/>
      <x:c r="J11" s="70" t="n"/>
    </x:row>
    <x:row r="12">
      <x:c r="A12" s="69" t="n"/>
      <x:c r="J12" s="70" t="n"/>
    </x:row>
    <x:row r="13">
      <x:c r="A13" s="69" t="n"/>
      <x:c r="J13" s="70" t="n"/>
    </x:row>
    <x:row r="14">
      <x:c r="A14" s="71" t="n"/>
      <x:c r="B14" s="72" t="n"/>
      <x:c r="C14" s="72" t="n"/>
      <x:c r="D14" s="72" t="n"/>
      <x:c r="E14" s="72" t="n"/>
      <x:c r="F14" s="72" t="n"/>
      <x:c r="G14" s="72" t="n"/>
      <x:c r="H14" s="72" t="n"/>
      <x:c r="I14" s="72" t="n"/>
      <x:c r="J14" s="73" t="n"/>
    </x:row>
    <x:row r="16" ht="32" customHeight="1">
      <x:c r="A16" s="11" t="str">
        <x:v>Phase 6 Closed</x:v>
      </x:c>
      <x:c r="B16" s="11" t="str">
        <x:v>1</x:v>
      </x:c>
      <x:c r="C16" s="11" t="str">
        <x:v>Report Contracts</x:v>
      </x:c>
      <x:c r="D16" s="11" t="str">
        <x:v>2</x:v>
      </x:c>
      <x:c r="E16" s="11" t="str">
        <x:v>Release Tracking SRS</x:v>
      </x:c>
      <x:c r="F16" s="11" t="str">
        <x:v>3</x:v>
      </x:c>
      <x:c r="G16" s="11" t="str">
        <x:v>Mockup Approved</x:v>
      </x:c>
      <x:c r="H16" s="11" t="str">
        <x:v>4</x:v>
      </x:c>
      <x:c r="I16" s="11" t="str">
        <x:v>DEV Handoff</x:v>
      </x:c>
      <x:c r="J16" s="11" t="n"/>
    </x:row>
    <x:row r="18" ht="30" customHeight="1">
      <x:c r="A18" s="52" t="str">
        <x:v>Sources of truth: RECONCILED_SOURCE_OF_TRUTH.md; Phase 6/PHASE6_REPORTS_BUSINESS_AND_DATA_CONTRACT.md; Phase 6/01_Release_Tracking/SRS.md. BA/mockup readiness does not claim production readiness.</x:v>
      </x:c>
    </x:row>
  </x:sheetData>
  <x:mergeCells>
    <x:mergeCell ref="A4:B4"/>
    <x:mergeCell ref="G4:H4"/>
    <x:mergeCell ref="A1:J1"/>
    <x:mergeCell ref="A9:J9"/>
    <x:mergeCell ref="A18:J18"/>
    <x:mergeCell ref="D4:E4"/>
    <x:mergeCell ref="A10:J14"/>
    <x:mergeCell ref="A2:J2"/>
    <x:mergeCell ref="H5:I5"/>
    <x:mergeCell ref="H6:I6"/>
    <x:mergeCell ref="H7:I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18" customWidth="1"/>
    <x:col min="3" max="3" width="45" customWidth="1"/>
    <x:col min="4" max="4" width="16" customWidth="1"/>
    <x:col min="5" max="5" width="16" customWidth="1"/>
    <x:col min="6" max="6" width="15" customWidth="1"/>
    <x:col min="7" max="7" width="13" customWidth="1"/>
    <x:col min="8" max="8" width="13" customWidth="1"/>
    <x:col min="9" max="9" width="46" customWidth="1"/>
    <x:col min="10" max="10" width="35" customWidth="1"/>
  </x:cols>
  <x:sheetData>
    <x:row r="1" ht="32" customHeight="1">
      <x:c r="A1" s="3" t="inlineStr">
        <x:is>
          <x:t xml:space="preserve">MINI RALLY — PHASE ROADMAP</x:t>
        </x:is>
      </x:c>
    </x:row>
    <x:row r="2" ht="27" customHeight="1">
      <x:c r="A2" s="6" t="str">
        <x:v>Product baseline 2026-07-31 | Phase 5 BA/mockup closed | Phase 6 Reports and Release Tracking BA/mockup approved</x:v>
      </x:c>
    </x:row>
    <x:row r="4" ht="32" customHeight="1">
      <x:c r="A4" s="11" t="inlineStr">
        <x:is>
          <x:t xml:space="preserve">Phase</x:t>
        </x:is>
      </x:c>
      <x:c r="B4" s="11" t="inlineStr">
        <x:is>
          <x:t xml:space="preserve">Theme</x:t>
        </x:is>
      </x:c>
      <x:c r="C4" s="11" t="inlineStr">
        <x:is>
          <x:t xml:space="preserve">Scope</x:t>
        </x:is>
      </x:c>
      <x:c r="D4" s="11" t="inlineStr">
        <x:is>
          <x:t xml:space="preserve">BA Status</x:t>
        </x:is>
      </x:c>
      <x:c r="E4" s="11" t="inlineStr">
        <x:is>
          <x:t xml:space="preserve">DEV Status</x:t>
        </x:is>
      </x:c>
      <x:c r="F4" s="11" t="inlineStr">
        <x:is>
          <x:t xml:space="preserve">Current Gate</x:t>
        </x:is>
      </x:c>
      <x:c r="G4" s="11" t="inlineStr">
        <x:is>
          <x:t xml:space="preserve">Target Start</x:t>
        </x:is>
      </x:c>
      <x:c r="H4" s="11" t="inlineStr">
        <x:is>
          <x:t xml:space="preserve">Target End</x:t>
        </x:is>
      </x:c>
      <x:c r="I4" s="11" t="inlineStr">
        <x:is>
          <x:t xml:space="preserve">Exit Criteria</x:t>
        </x:is>
      </x:c>
      <x:c r="J4" s="11" t="inlineStr">
        <x:is>
          <x:t xml:space="preserve">Next Action</x:t>
        </x:is>
      </x:c>
    </x:row>
    <x:row r="5" ht="58" customHeight="1">
      <x:c r="A5" s="15" t="inlineStr">
        <x:is>
          <x:t xml:space="preserve">Phase 0</x:t>
        </x:is>
      </x:c>
      <x:c r="B5" s="15" t="inlineStr">
        <x:is>
          <x:t xml:space="preserve">Foundation</x:t>
        </x:is>
      </x:c>
      <x:c r="C5" s="15" t="inlineStr">
        <x:is>
          <x:t xml:space="preserve">App shell, authentication, workspace and project context</x:t>
        </x:is>
      </x:c>
      <x:c r="D5" s="19" t="inlineStr">
        <x:is>
          <x:t xml:space="preserve">Done</x:t>
        </x:is>
      </x:c>
      <x:c r="E5" s="28" t="inlineStr">
        <x:is>
          <x:t xml:space="preserve">In Progress</x:t>
        </x:is>
      </x:c>
      <x:c r="F5" s="15" t="inlineStr">
        <x:is>
          <x:t xml:space="preserve">DevInt</x:t>
        </x:is>
      </x:c>
      <x:c r="G5" s="74" t="n">
        <x:v>46223</x:v>
      </x:c>
      <x:c r="H5" s="74" t="n">
        <x:v>46227</x:v>
      </x:c>
      <x:c r="I5" s="15" t="inlineStr">
        <x:is>
          <x:t xml:space="preserve">P0 documents and mockup reconciled; DevInt result recorded</x:t>
        </x:is>
      </x:c>
      <x:c r="J5" s="15" t="inlineStr">
        <x:is>
          <x:t xml:space="preserve">Close confirmed DevInt gaps</x:t>
        </x:is>
      </x:c>
    </x:row>
    <x:row r="6" ht="58" customHeight="1">
      <x:c r="A6" s="15" t="inlineStr">
        <x:is>
          <x:t xml:space="preserve">Phase 1</x:t>
        </x:is>
      </x:c>
      <x:c r="B6" s="15" t="inlineStr">
        <x:is>
          <x:t xml:space="preserve">Core backlog</x:t>
        </x:is>
      </x:c>
      <x:c r="C6" s="15" t="inlineStr">
        <x:is>
          <x:t xml:space="preserve">Projects, Teams/Users in Settings, backlog, work item and task management</x:t>
        </x:is>
      </x:c>
      <x:c r="D6" s="19" t="inlineStr">
        <x:is>
          <x:t xml:space="preserve">Done</x:t>
        </x:is>
      </x:c>
      <x:c r="E6" s="28" t="inlineStr">
        <x:is>
          <x:t xml:space="preserve">In Progress</x:t>
        </x:is>
      </x:c>
      <x:c r="F6" s="15" t="inlineStr">
        <x:is>
          <x:t xml:space="preserve">DevInt</x:t>
        </x:is>
      </x:c>
      <x:c r="G6" s="74" t="n">
        <x:v>46223</x:v>
      </x:c>
      <x:c r="H6" s="74" t="n">
        <x:v>46234</x:v>
      </x:c>
      <x:c r="I6" s="15" t="inlineStr">
        <x:is>
          <x:t xml:space="preserve">One consistent work-item flow and task roll-up behavior</x:t>
        </x:is>
      </x:c>
      <x:c r="J6" s="15" t="inlineStr">
        <x:is>
          <x:t xml:space="preserve">Close task/status and navigation gaps</x:t>
        </x:is>
      </x:c>
    </x:row>
    <x:row r="7" ht="58" customHeight="1">
      <x:c r="A7" s="15" t="inlineStr">
        <x:is>
          <x:t xml:space="preserve">Phase 2</x:t>
        </x:is>
      </x:c>
      <x:c r="B7" s="15" t="inlineStr">
        <x:is>
          <x:t xml:space="preserve">Iteration planning</x:t>
        </x:is>
      </x:c>
      <x:c r="C7" s="15" t="inlineStr">
        <x:is>
          <x:t xml:space="preserve">Iteration lifecycle, backlog assignment and iteration status metrics</x:t>
        </x:is>
      </x:c>
      <x:c r="D7" s="19" t="inlineStr">
        <x:is>
          <x:t xml:space="preserve">Done</x:t>
        </x:is>
      </x:c>
      <x:c r="E7" s="28" t="inlineStr">
        <x:is>
          <x:t xml:space="preserve">In Progress</x:t>
        </x:is>
      </x:c>
      <x:c r="F7" s="15" t="inlineStr">
        <x:is>
          <x:t xml:space="preserve">DevInt</x:t>
        </x:is>
      </x:c>
      <x:c r="G7" s="74" t="n">
        <x:v>46230</x:v>
      </x:c>
      <x:c r="H7" s="74" t="n">
        <x:v>46241</x:v>
      </x:c>
      <x:c r="I7" s="15" t="inlineStr">
        <x:is>
          <x:t xml:space="preserve">Planning/Committed/Accepted rules pass UAT</x:t>
        </x:is>
      </x:c>
      <x:c r="J7" s="15" t="inlineStr">
        <x:is>
          <x:t xml:space="preserve">Close iteration and totals gaps</x:t>
        </x:is>
      </x:c>
    </x:row>
    <x:row r="8" ht="58" customHeight="1">
      <x:c r="A8" s="15" t="inlineStr">
        <x:is>
          <x:t xml:space="preserve">Phase 3</x:t>
        </x:is>
      </x:c>
      <x:c r="B8" s="15" t="inlineStr">
        <x:is>
          <x:t xml:space="preserve">Execution &amp; quality</x:t>
        </x:is>
      </x:c>
      <x:c r="C8" s="15" t="inlineStr">
        <x:is>
          <x:t xml:space="preserve">Team Status, Release/Milestone management and Defect flow</x:t>
        </x:is>
      </x:c>
      <x:c r="D8" s="19" t="inlineStr">
        <x:is>
          <x:t xml:space="preserve">Done</x:t>
        </x:is>
      </x:c>
      <x:c r="E8" s="28" t="inlineStr">
        <x:is>
          <x:t xml:space="preserve">In Progress</x:t>
        </x:is>
      </x:c>
      <x:c r="F8" s="15" t="inlineStr">
        <x:is>
          <x:t xml:space="preserve">DevInt</x:t>
        </x:is>
      </x:c>
      <x:c r="G8" s="74" t="n">
        <x:v>46237</x:v>
      </x:c>
      <x:c r="H8" s="74" t="n">
        <x:v>46248</x:v>
      </x:c>
      <x:c r="I8" s="15" t="inlineStr">
        <x:is>
          <x:t xml:space="preserve">Confirmed Phase 3 business rules pass DevInt</x:t>
        </x:is>
      </x:c>
      <x:c r="J8" s="15" t="inlineStr">
        <x:is>
          <x:t xml:space="preserve">Close Release/Milestone and Quality gaps</x:t>
        </x:is>
      </x:c>
    </x:row>
    <x:row r="9" ht="58" customHeight="1">
      <x:c r="A9" s="15" t="inlineStr">
        <x:is>
          <x:t xml:space="preserve">Phase 4</x:t>
        </x:is>
      </x:c>
      <x:c r="B9" s="15" t="inlineStr">
        <x:is>
          <x:t xml:space="preserve">Governance</x:t>
        </x:is>
      </x:c>
      <x:c r="C9" s="15" t="str">
        <x:v>Notifications, roles/permissions, settings and audit</x:v>
      </x:c>
      <x:c r="D9" s="19" t="str">
        <x:v>Done</x:v>
      </x:c>
      <x:c r="E9" s="31" t="str">
        <x:v>Ready</x:v>
      </x:c>
      <x:c r="F9" s="15" t="str">
        <x:v>UAT Prep</x:v>
      </x:c>
      <x:c r="G9" s="74" t="n">
        <x:v>46244</x:v>
      </x:c>
      <x:c r="H9" s="74" t="n">
        <x:v>46262</x:v>
      </x:c>
      <x:c r="I9" s="15" t="str">
        <x:v>Phase 4 implementation matches SRS/mockup and permissions matrix</x:v>
      </x:c>
      <x:c r="J9" s="15" t="str">
        <x:v>Start implementation and DevInt</x:v>
      </x:c>
    </x:row>
    <x:row r="10" ht="58" customHeight="1">
      <x:c r="A10" s="15" t="inlineStr">
        <x:is>
          <x:t xml:space="preserve">Phase 5</x:t>
        </x:is>
      </x:c>
      <x:c r="B10" s="15" t="inlineStr">
        <x:is>
          <x:t xml:space="preserve">Portfolio</x:t>
        </x:is>
      </x:c>
      <x:c r="C10" s="15" t="str">
        <x:v>Portfolio Items and Capacity Planning; Release Planning/Tracking excluded</x:v>
      </x:c>
      <x:c r="D10" s="22" t="str">
        <x:v>Done</x:v>
      </x:c>
      <x:c r="E10" s="34" t="str">
        <x:v>Ready</x:v>
      </x:c>
      <x:c r="F10" s="15" t="str">
        <x:v>DEV Handoff</x:v>
      </x:c>
      <x:c r="G10" s="74" t="n">
        <x:v>46229</x:v>
      </x:c>
      <x:c r="H10" s="74" t="n">
        <x:v>46231</x:v>
      </x:c>
      <x:c r="I10" s="15" t="str">
        <x:v>P5.1/P5.2 BA accepted; scope/tests/workbook reconciled; Phase 5 DEV handoff created</x:v>
      </x:c>
      <x:c r="J10" s="15" t="str">
        <x:v>Start production analysis from Phase 5 DEV handoff</x:v>
      </x:c>
    </x:row>
    <x:row r="11" ht="64" customHeight="1">
      <x:c r="A11" s="76" t="str">
        <x:v>Phase 6</x:v>
      </x:c>
      <x:c r="B11" s="76" t="str">
        <x:v>Reporting &amp; release insight</x:v>
      </x:c>
      <x:c r="C11" s="76" t="str">
        <x:v>Reports: Iteration Burndown, Velocity and Team Capacity; separate Portfolio &gt; Release Tracking</x:v>
      </x:c>
      <x:c r="D11" s="183" t="str">
        <x:v>Done</x:v>
      </x:c>
      <x:c r="E11" s="125" t="str">
        <x:v>DEV Owned</x:v>
      </x:c>
      <x:c r="F11" s="76" t="str">
        <x:v>DEV Handoff</x:v>
      </x:c>
      <x:c r="G11" s="126"/>
      <x:c r="H11" s="126"/>
      <x:c r="I11" s="76" t="str">
        <x:v>Report contracts and Release Tracking SRS/mockup are aligned with no open BA decision</x:v>
      </x:c>
      <x:c r="J11" s="76" t="str">
        <x:v>DEV implementation and production QA</x:v>
      </x:c>
    </x:row>
    <x:row r="12" ht="64" customHeight="1">
      <x:c r="A12" s="117" t="str">
        <x:v>Future</x:v>
      </x:c>
      <x:c r="B12" s="117" t="str">
        <x:v>Deferred scope</x:v>
      </x:c>
      <x:c r="C12" s="117" t="str">
        <x:v>Team/Iteration boards, Release Planning, Theme/deeper hierarchy, Release dependency analysis and multi-Release planning scenarios</x:v>
      </x:c>
      <x:c r="D12" s="117" t="str">
        <x:v>Future Backlog</x:v>
      </x:c>
      <x:c r="E12" s="117" t="str">
        <x:v>Future Backlog</x:v>
      </x:c>
      <x:c r="F12" s="117" t="str">
        <x:v>Backlog</x:v>
      </x:c>
      <x:c r="G12" s="117"/>
      <x:c r="H12" s="117"/>
      <x:c r="I12" s="117" t="str">
        <x:v>Only promoted after BA/PO confirmation</x:v>
      </x:c>
      <x:c r="J12" s="117" t="str">
        <x:v>Quarterly product review</x:v>
      </x:c>
    </x:row>
    <x:row r="14" ht="24" customHeight="1">
      <x:c r="A14" s="130" t="str">
        <x:v>Phase 6 is BA/mockup approved and DEV-handoff ready. Production data history, APIs, authorization, performance, tests and deployment remain DEV responsibilities.</x:v>
      </x:c>
      <x:c r="B14" s="130"/>
      <x:c r="C14" s="130"/>
      <x:c r="D14" s="130"/>
      <x:c r="E14" s="130"/>
      <x:c r="F14" s="130"/>
      <x:c r="G14" s="130"/>
      <x:c r="H14" s="130"/>
      <x:c r="I14" s="130"/>
      <x:c r="J14" s="130"/>
    </x:row>
  </x:sheetData>
  <x:mergeCells>
    <x:mergeCell ref="A1:J1"/>
    <x:mergeCell ref="A2:J2"/>
    <x:mergeCell ref="A14:J14"/>
  </x:mergeCells>
  <x:dataValidations count="3">
    <x:dataValidation type="list" allowBlank="0" showDropDown="0" showInputMessage="0" showErrorMessage="0" sqref="D5:E11">
      <x:formula1>"Done,In Progress,Ready,Planned,Future Backlog,Needs BA"</x:formula1>
    </x:dataValidation>
    <x:dataValidation type="list" sqref="D5:D12">
      <x:formula1>"Done,Ready,Draft Proposal,Decision Pending,Future Backlog"</x:formula1>
    </x:dataValidation>
    <x:dataValidation type="list" sqref="E5:E12">
      <x:formula1>"In Progress,Ready,DEV Owned,Future Backlog"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0" customWidth="1"/>
    <x:col min="3" max="3" width="22" customWidth="1"/>
    <x:col min="4" max="4" width="42" customWidth="1"/>
    <x:col min="5" max="5" width="35" customWidth="1"/>
    <x:col min="6" max="6" width="24" customWidth="1"/>
    <x:col min="7" max="7" width="10" customWidth="1"/>
    <x:col min="8" max="8" width="16" customWidth="1"/>
    <x:col min="9" max="9" width="15" customWidth="1"/>
    <x:col min="10" max="10" width="13" customWidth="1"/>
    <x:col min="11" max="11" width="13" customWidth="1"/>
    <x:col min="12" max="12" width="46" customWidth="1"/>
    <x:col min="13" max="13" width="25" customWidth="1"/>
    <x:col min="14" max="14" width="34" customWidth="1"/>
  </x:cols>
  <x:sheetData>
    <x:row r="1" ht="32" customHeight="1">
      <x:c r="A1" s="3" t="inlineStr">
        <x:is>
          <x:t xml:space="preserve">MINI RALLY — BA EXECUTION PLAN</x:t>
        </x:is>
      </x:c>
    </x:row>
    <x:row r="2" ht="27" customHeight="1">
      <x:c r="A2" s="6" t="inlineStr">
        <x:is>
          <x:t xml:space="preserve">Business analysis, SRS, mockup, UAT and governance tasks</x:t>
        </x:is>
      </x:c>
    </x:row>
    <x:row r="3"/>
    <x:row r="4" ht="32" customHeight="1">
      <x:c r="A4" s="11" t="inlineStr">
        <x:is>
          <x:t xml:space="preserve">Task ID</x:t>
        </x:is>
      </x:c>
      <x:c r="B4" s="11" t="inlineStr">
        <x:is>
          <x:t xml:space="preserve">Phase</x:t>
        </x:is>
      </x:c>
      <x:c r="C4" s="11" t="inlineStr">
        <x:is>
          <x:t xml:space="preserve">Workstream</x:t>
        </x:is>
      </x:c>
      <x:c r="D4" s="11" t="inlineStr">
        <x:is>
          <x:t xml:space="preserve">Task / Outcome</x:t>
        </x:is>
      </x:c>
      <x:c r="E4" s="11" t="inlineStr">
        <x:is>
          <x:t xml:space="preserve">Deliverable / Source</x:t>
        </x:is>
      </x:c>
      <x:c r="F4" s="11" t="inlineStr">
        <x:is>
          <x:t xml:space="preserve">Dependency</x:t>
        </x:is>
      </x:c>
      <x:c r="G4" s="11" t="inlineStr">
        <x:is>
          <x:t xml:space="preserve">Priority</x:t>
        </x:is>
      </x:c>
      <x:c r="H4" s="11" t="inlineStr">
        <x:is>
          <x:t xml:space="preserve">Status</x:t>
        </x:is>
      </x:c>
      <x:c r="I4" s="11" t="inlineStr">
        <x:is>
          <x:t xml:space="preserve">Owner Role</x:t>
        </x:is>
      </x:c>
      <x:c r="J4" s="11" t="inlineStr">
        <x:is>
          <x:t xml:space="preserve">Target Start</x:t>
        </x:is>
      </x:c>
      <x:c r="K4" s="11" t="inlineStr">
        <x:is>
          <x:t xml:space="preserve">Target End</x:t>
        </x:is>
      </x:c>
      <x:c r="L4" s="11" t="inlineStr">
        <x:is>
          <x:t xml:space="preserve">Acceptance / Definition of Done</x:t>
        </x:is>
      </x:c>
      <x:c r="M4" s="11" t="inlineStr">
        <x:is>
          <x:t xml:space="preserve">Next Gate</x:t>
        </x:is>
      </x:c>
      <x:c r="N4" s="11" t="inlineStr">
        <x:is>
          <x:t xml:space="preserve">Notes</x:t>
        </x:is>
      </x:c>
    </x:row>
    <x:row r="5" ht="46" customHeight="1">
      <x:c r="A5" s="15" t="inlineStr">
        <x:is>
          <x:t xml:space="preserve">BA-0001</x:t>
        </x:is>
      </x:c>
      <x:c r="B5" s="15" t="inlineStr">
        <x:is>
          <x:t xml:space="preserve">Phase 0</x:t>
        </x:is>
      </x:c>
      <x:c r="C5" s="15" t="inlineStr">
        <x:is>
          <x:t xml:space="preserve">Foundation</x:t>
        </x:is>
      </x:c>
      <x:c r="D5" s="15" t="inlineStr">
        <x:is>
          <x:t xml:space="preserve">Confirm app shell, authentication, workspace and project-context behavior</x:t>
        </x:is>
      </x:c>
      <x:c r="E5" s="15" t="inlineStr">
        <x:is>
          <x:t xml:space="preserve">Phase 0 SRS + mockup checklist</x:t>
        </x:is>
      </x:c>
      <x:c r="F5" s="15" t="inlineStr">
        <x:is>
          <x:t xml:space="preserve">None</x:t>
        </x:is>
      </x:c>
      <x:c r="G5" s="15" t="inlineStr">
        <x:is>
          <x:t xml:space="preserve">P0</x:t>
        </x:is>
      </x:c>
      <x:c r="H5" s="19" t="inlineStr">
        <x:is>
          <x:t xml:space="preserve">Done</x:t>
        </x:is>
      </x:c>
      <x:c r="I5" s="15" t="inlineStr">
        <x:is>
          <x:t xml:space="preserve">BA</x:t>
        </x:is>
      </x:c>
      <x:c r="J5" s="74" t="n">
        <x:v>46221</x:v>
      </x:c>
      <x:c r="K5" s="74" t="n">
        <x:v>46223</x:v>
      </x:c>
      <x:c r="L5" s="15" t="inlineStr">
        <x:is>
          <x:t xml:space="preserve">All Phase 0 screens use the same context and navigation model</x:t>
        </x:is>
      </x:c>
      <x:c r="M5" s="15" t="inlineStr">
        <x:is>
          <x:t xml:space="preserve">DevInt verification</x:t>
        </x:is>
      </x:c>
      <x:c r="N5" s="15" t="inlineStr">
        <x:is>
          <x:t xml:space="preserve">Reconciled baseline</x:t>
        </x:is>
      </x:c>
    </x:row>
    <x:row r="6" ht="46" customHeight="1">
      <x:c r="A6" s="15" t="inlineStr">
        <x:is>
          <x:t xml:space="preserve">BA-0002</x:t>
        </x:is>
      </x:c>
      <x:c r="B6" s="15" t="inlineStr">
        <x:is>
          <x:t xml:space="preserve">Phase 0</x:t>
        </x:is>
      </x:c>
      <x:c r="C6" s="15" t="inlineStr">
        <x:is>
          <x:t xml:space="preserve">Project</x:t>
        </x:is>
      </x:c>
      <x:c r="D6" s="15" t="inlineStr">
        <x:is>
          <x:t xml:space="preserve">Confirm multi-project model and project-level context</x:t>
        </x:is>
      </x:c>
      <x:c r="E6" s="15" t="inlineStr">
        <x:is>
          <x:t xml:space="preserve">Project SRS</x:t>
        </x:is>
      </x:c>
      <x:c r="F6" s="15" t="inlineStr">
        <x:is>
          <x:t xml:space="preserve">BA-0001</x:t>
        </x:is>
      </x:c>
      <x:c r="G6" s="15" t="inlineStr">
        <x:is>
          <x:t xml:space="preserve">P0</x:t>
        </x:is>
      </x:c>
      <x:c r="H6" s="19" t="inlineStr">
        <x:is>
          <x:t xml:space="preserve">Done</x:t>
        </x:is>
      </x:c>
      <x:c r="I6" s="15" t="inlineStr">
        <x:is>
          <x:t xml:space="preserve">BA</x:t>
        </x:is>
      </x:c>
      <x:c r="J6" s="74" t="n">
        <x:v>46221</x:v>
      </x:c>
      <x:c r="K6" s="74" t="n">
        <x:v>46223</x:v>
      </x:c>
      <x:c r="L6" s="15" t="inlineStr">
        <x:is>
          <x:t xml:space="preserve">User can manage multiple projects without cross-project data ambiguity</x:t>
        </x:is>
      </x:c>
      <x:c r="M6" s="15" t="inlineStr">
        <x:is>
          <x:t xml:space="preserve">DevInt verification</x:t>
        </x:is>
      </x:c>
      <x:c r="N6" s="15" t="inlineStr">
        <x:is>
          <x:t xml:space="preserve">Teams and users are managed under Settings</x:t>
        </x:is>
      </x:c>
    </x:row>
    <x:row r="7" ht="46" customHeight="1">
      <x:c r="A7" s="15" t="inlineStr">
        <x:is>
          <x:t xml:space="preserve">BA-0003</x:t>
        </x:is>
      </x:c>
      <x:c r="B7" s="15" t="inlineStr">
        <x:is>
          <x:t xml:space="preserve">Phase 0</x:t>
        </x:is>
      </x:c>
      <x:c r="C7" s="15" t="inlineStr">
        <x:is>
          <x:t xml:space="preserve">Testing</x:t>
        </x:is>
      </x:c>
      <x:c r="D7" s="15" t="inlineStr">
        <x:is>
          <x:t xml:space="preserve">Maintain Phase 0 business scenarios and traceability</x:t>
        </x:is>
      </x:c>
      <x:c r="E7" s="15" t="inlineStr">
        <x:is>
          <x:t xml:space="preserve">07_Test Business/specs/PHASE0_TEST_SCENARIOS.md</x:t>
        </x:is>
      </x:c>
      <x:c r="F7" s="15" t="inlineStr">
        <x:is>
          <x:t xml:space="preserve">BA-0001</x:t>
        </x:is>
      </x:c>
      <x:c r="G7" s="15" t="inlineStr">
        <x:is>
          <x:t xml:space="preserve">P1</x:t>
        </x:is>
      </x:c>
      <x:c r="H7" s="19" t="inlineStr">
        <x:is>
          <x:t xml:space="preserve">Done</x:t>
        </x:is>
      </x:c>
      <x:c r="I7" s="15" t="inlineStr">
        <x:is>
          <x:t xml:space="preserve">BA/UAT</x:t>
        </x:is>
      </x:c>
      <x:c r="J7" s="74" t="n">
        <x:v>46222</x:v>
      </x:c>
      <x:c r="K7" s="74" t="n">
        <x:v>46223</x:v>
      </x:c>
      <x:c r="L7" s="15" t="inlineStr">
        <x:is>
          <x:t xml:space="preserve">All Phase 0 requirements have positive and negative cases</x:t>
        </x:is>
      </x:c>
      <x:c r="M7" s="15" t="inlineStr">
        <x:is>
          <x:t xml:space="preserve">Execute UAT</x:t>
        </x:is>
      </x:c>
      <x:c r="N7" s="15" t="str"/>
    </x:row>
    <x:row r="8" ht="46" customHeight="1">
      <x:c r="A8" s="15" t="inlineStr">
        <x:is>
          <x:t xml:space="preserve">BA-0101</x:t>
        </x:is>
      </x:c>
      <x:c r="B8" s="15" t="inlineStr">
        <x:is>
          <x:t xml:space="preserve">Phase 1</x:t>
        </x:is>
      </x:c>
      <x:c r="C8" s="15" t="inlineStr">
        <x:is>
          <x:t xml:space="preserve">Backlog</x:t>
        </x:is>
      </x:c>
      <x:c r="D8" s="15" t="inlineStr">
        <x:is>
          <x:t xml:space="preserve">Confirm shared work-item identity across Backlog and Iteration screens</x:t>
        </x:is>
      </x:c>
      <x:c r="E8" s="15" t="inlineStr">
        <x:is>
          <x:t xml:space="preserve">Backlog and Work Item SRS</x:t>
        </x:is>
      </x:c>
      <x:c r="F8" s="15" t="inlineStr">
        <x:is>
          <x:t xml:space="preserve">BA-0002</x:t>
        </x:is>
      </x:c>
      <x:c r="G8" s="15" t="inlineStr">
        <x:is>
          <x:t xml:space="preserve">P0</x:t>
        </x:is>
      </x:c>
      <x:c r="H8" s="19" t="inlineStr">
        <x:is>
          <x:t xml:space="preserve">Done</x:t>
        </x:is>
      </x:c>
      <x:c r="I8" s="15" t="inlineStr">
        <x:is>
          <x:t xml:space="preserve">BA</x:t>
        </x:is>
      </x:c>
      <x:c r="J8" s="74" t="n">
        <x:v>46221</x:v>
      </x:c>
      <x:c r="K8" s="74" t="n">
        <x:v>46223</x:v>
      </x:c>
      <x:c r="L8" s="15" t="inlineStr">
        <x:is>
          <x:t xml:space="preserve">Changing a work item in one screen is reflected everywhere</x:t>
        </x:is>
      </x:c>
      <x:c r="M8" s="15" t="inlineStr">
        <x:is>
          <x:t xml:space="preserve">DevInt verification</x:t>
        </x:is>
      </x:c>
      <x:c r="N8" s="15" t="str"/>
    </x:row>
    <x:row r="9" ht="46" customHeight="1">
      <x:c r="A9" s="15" t="inlineStr">
        <x:is>
          <x:t xml:space="preserve">BA-0102</x:t>
        </x:is>
      </x:c>
      <x:c r="B9" s="15" t="inlineStr">
        <x:is>
          <x:t xml:space="preserve">Phase 1</x:t>
        </x:is>
      </x:c>
      <x:c r="C9" s="15" t="inlineStr">
        <x:is>
          <x:t xml:space="preserve">Work Item State</x:t>
        </x:is>
      </x:c>
      <x:c r="D9" s="15" t="inlineStr">
        <x:is>
          <x:t xml:space="preserve">Confirm Schedule State and Flow State use one mirrored lifecycle</x:t>
        </x:is>
      </x:c>
      <x:c r="E9" s="15" t="inlineStr">
        <x:is>
          <x:t xml:space="preserve">RECONCILED_SOURCE_OF_TRUTH.md</x:t>
        </x:is>
      </x:c>
      <x:c r="F9" s="15" t="inlineStr">
        <x:is>
          <x:t xml:space="preserve">BA-0101</x:t>
        </x:is>
      </x:c>
      <x:c r="G9" s="15" t="inlineStr">
        <x:is>
          <x:t xml:space="preserve">P0</x:t>
        </x:is>
      </x:c>
      <x:c r="H9" s="19" t="inlineStr">
        <x:is>
          <x:t xml:space="preserve">Done</x:t>
        </x:is>
      </x:c>
      <x:c r="I9" s="15" t="inlineStr">
        <x:is>
          <x:t xml:space="preserve">BA</x:t>
        </x:is>
      </x:c>
      <x:c r="J9" s="74" t="n">
        <x:v>46221</x:v>
      </x:c>
      <x:c r="K9" s="74" t="n">
        <x:v>46223</x:v>
      </x:c>
      <x:c r="L9" s="15" t="inlineStr">
        <x:is>
          <x:t xml:space="preserve">Idea, Defined, In-Progress, Completed, Accepted, Release; default Idea</x:t>
        </x:is>
      </x:c>
      <x:c r="M9" s="15" t="inlineStr">
        <x:is>
          <x:t xml:space="preserve">DevInt verification</x:t>
        </x:is>
      </x:c>
      <x:c r="N9" s="15" t="inlineStr">
        <x:is>
          <x:t xml:space="preserve">Defect State remains separate</x:t>
        </x:is>
      </x:c>
    </x:row>
    <x:row r="10" ht="46" customHeight="1">
      <x:c r="A10" s="15" t="inlineStr">
        <x:is>
          <x:t xml:space="preserve">BA-0103</x:t>
        </x:is>
      </x:c>
      <x:c r="B10" s="15" t="inlineStr">
        <x:is>
          <x:t xml:space="preserve">Phase 1</x:t>
        </x:is>
      </x:c>
      <x:c r="C10" s="15" t="inlineStr">
        <x:is>
          <x:t xml:space="preserve">Tasks</x:t>
        </x:is>
      </x:c>
      <x:c r="D10" s="15" t="inlineStr">
        <x:is>
          <x:t xml:space="preserve">Confirm task lifecycle and parent roll-up/reopen rules</x:t>
        </x:is>
      </x:c>
      <x:c r="E10" s="15" t="inlineStr">
        <x:is>
          <x:t xml:space="preserve">Task Management SRS</x:t>
        </x:is>
      </x:c>
      <x:c r="F10" s="15" t="inlineStr">
        <x:is>
          <x:t xml:space="preserve">BA-0102</x:t>
        </x:is>
      </x:c>
      <x:c r="G10" s="15" t="inlineStr">
        <x:is>
          <x:t xml:space="preserve">P0</x:t>
        </x:is>
      </x:c>
      <x:c r="H10" s="19" t="inlineStr">
        <x:is>
          <x:t xml:space="preserve">Done</x:t>
        </x:is>
      </x:c>
      <x:c r="I10" s="15" t="inlineStr">
        <x:is>
          <x:t xml:space="preserve">BA</x:t>
        </x:is>
      </x:c>
      <x:c r="J10" s="74" t="n">
        <x:v>46221</x:v>
      </x:c>
      <x:c r="K10" s="74" t="n">
        <x:v>46223</x:v>
      </x:c>
      <x:c r="L10" s="15" t="inlineStr">
        <x:is>
          <x:t xml:space="preserve">All tasks Completed -&gt; parent Completed; reopening one -&gt; parent In-Progress</x:t>
        </x:is>
      </x:c>
      <x:c r="M10" s="15" t="inlineStr">
        <x:is>
          <x:t xml:space="preserve">DevInt verification</x:t>
        </x:is>
      </x:c>
      <x:c r="N10" s="15" t="inlineStr">
        <x:is>
          <x:t xml:space="preserve">Manual parent status remains allowed</x:t>
        </x:is>
      </x:c>
    </x:row>
    <x:row r="11" ht="46" customHeight="1">
      <x:c r="A11" s="15" t="inlineStr">
        <x:is>
          <x:t xml:space="preserve">BA-0104</x:t>
        </x:is>
      </x:c>
      <x:c r="B11" s="15" t="inlineStr">
        <x:is>
          <x:t xml:space="preserve">Phase 1</x:t>
        </x:is>
      </x:c>
      <x:c r="C11" s="15" t="inlineStr">
        <x:is>
          <x:t xml:space="preserve">Settings</x:t>
        </x:is>
      </x:c>
      <x:c r="D11" s="15" t="inlineStr">
        <x:is>
          <x:t xml:space="preserve">Move Teams and User Management under Settings gear</x:t>
        </x:is>
      </x:c>
      <x:c r="E11" s="15" t="inlineStr">
        <x:is>
          <x:t xml:space="preserve">Manage Projects/Teams/Users SRS + mockup</x:t>
        </x:is>
      </x:c>
      <x:c r="F11" s="15" t="inlineStr">
        <x:is>
          <x:t xml:space="preserve">BA-0002</x:t>
        </x:is>
      </x:c>
      <x:c r="G11" s="15" t="inlineStr">
        <x:is>
          <x:t xml:space="preserve">P1</x:t>
        </x:is>
      </x:c>
      <x:c r="H11" s="19" t="inlineStr">
        <x:is>
          <x:t xml:space="preserve">Done</x:t>
        </x:is>
      </x:c>
      <x:c r="I11" s="15" t="inlineStr">
        <x:is>
          <x:t xml:space="preserve">BA</x:t>
        </x:is>
      </x:c>
      <x:c r="J11" s="74" t="n">
        <x:v>46222</x:v>
      </x:c>
      <x:c r="K11" s="74" t="n">
        <x:v>46223</x:v>
      </x:c>
      <x:c r="L11" s="15" t="inlineStr">
        <x:is>
          <x:t xml:space="preserve">Manage Projects contains Projects only; admin entities are under Settings</x:t>
        </x:is>
      </x:c>
      <x:c r="M11" s="15" t="inlineStr">
        <x:is>
          <x:t xml:space="preserve">DevInt verification</x:t>
        </x:is>
      </x:c>
      <x:c r="N11" s="15" t="str"/>
    </x:row>
    <x:row r="12" ht="46" customHeight="1">
      <x:c r="A12" s="15" t="inlineStr">
        <x:is>
          <x:t xml:space="preserve">BA-0105</x:t>
        </x:is>
      </x:c>
      <x:c r="B12" s="15" t="inlineStr">
        <x:is>
          <x:t xml:space="preserve">Phase 1</x:t>
        </x:is>
      </x:c>
      <x:c r="C12" s="15" t="inlineStr">
        <x:is>
          <x:t xml:space="preserve">Testing</x:t>
        </x:is>
      </x:c>
      <x:c r="D12" s="15" t="inlineStr">
        <x:is>
          <x:t xml:space="preserve">Maintain Phase 1 UAT and traceability pack</x:t>
        </x:is>
      </x:c>
      <x:c r="E12" s="15" t="inlineStr">
        <x:is>
          <x:t xml:space="preserve">07_Test Business/specs/PHASE1_TEST_SCENARIOS.md</x:t>
        </x:is>
      </x:c>
      <x:c r="F12" s="15" t="inlineStr">
        <x:is>
          <x:t xml:space="preserve">BA-0101..0104</x:t>
        </x:is>
      </x:c>
      <x:c r="G12" s="15" t="inlineStr">
        <x:is>
          <x:t xml:space="preserve">P1</x:t>
        </x:is>
      </x:c>
      <x:c r="H12" s="19" t="inlineStr">
        <x:is>
          <x:t xml:space="preserve">Done</x:t>
        </x:is>
      </x:c>
      <x:c r="I12" s="15" t="inlineStr">
        <x:is>
          <x:t xml:space="preserve">BA/UAT</x:t>
        </x:is>
      </x:c>
      <x:c r="J12" s="74" t="n">
        <x:v>46222</x:v>
      </x:c>
      <x:c r="K12" s="74" t="n">
        <x:v>46223</x:v>
      </x:c>
      <x:c r="L12" s="15" t="inlineStr">
        <x:is>
          <x:t xml:space="preserve">Business scenarios cover create/edit/status/task roll-up</x:t>
        </x:is>
      </x:c>
      <x:c r="M12" s="15" t="inlineStr">
        <x:is>
          <x:t xml:space="preserve">Execute UAT</x:t>
        </x:is>
      </x:c>
      <x:c r="N12" s="15" t="str"/>
    </x:row>
    <x:row r="13" ht="46" customHeight="1">
      <x:c r="A13" s="15" t="inlineStr">
        <x:is>
          <x:t xml:space="preserve">BA-0201</x:t>
        </x:is>
      </x:c>
      <x:c r="B13" s="15" t="inlineStr">
        <x:is>
          <x:t xml:space="preserve">Phase 2</x:t>
        </x:is>
      </x:c>
      <x:c r="C13" s="15" t="inlineStr">
        <x:is>
          <x:t xml:space="preserve">Iteration Lifecycle</x:t>
        </x:is>
      </x:c>
      <x:c r="D13" s="15" t="inlineStr">
        <x:is>
          <x:t xml:space="preserve">Confirm Planning -&gt; Committed -&gt; Accepted behavior</x:t>
        </x:is>
      </x:c>
      <x:c r="E13" s="15" t="inlineStr">
        <x:is>
          <x:t xml:space="preserve">Iterations SRS</x:t>
        </x:is>
      </x:c>
      <x:c r="F13" s="15" t="inlineStr">
        <x:is>
          <x:t xml:space="preserve">BA-0101</x:t>
        </x:is>
      </x:c>
      <x:c r="G13" s="15" t="inlineStr">
        <x:is>
          <x:t xml:space="preserve">P0</x:t>
        </x:is>
      </x:c>
      <x:c r="H13" s="19" t="inlineStr">
        <x:is>
          <x:t xml:space="preserve">Done</x:t>
        </x:is>
      </x:c>
      <x:c r="I13" s="15" t="inlineStr">
        <x:is>
          <x:t xml:space="preserve">BA</x:t>
        </x:is>
      </x:c>
      <x:c r="J13" s="74" t="n">
        <x:v>46221</x:v>
      </x:c>
      <x:c r="K13" s="74" t="n">
        <x:v>46223</x:v>
      </x:c>
      <x:c r="L13" s="15" t="inlineStr">
        <x:is>
          <x:t xml:space="preserve">Default Planning; user can manually change; auto-accept is convenience only</x:t>
        </x:is>
      </x:c>
      <x:c r="M13" s="15" t="inlineStr">
        <x:is>
          <x:t xml:space="preserve">DevInt verification</x:t>
        </x:is>
      </x:c>
      <x:c r="N13" s="15" t="inlineStr">
        <x:is>
          <x:t xml:space="preserve">No lock on committed sprint</x:t>
        </x:is>
      </x:c>
    </x:row>
    <x:row r="14" ht="46" customHeight="1">
      <x:c r="A14" s="15" t="inlineStr">
        <x:is>
          <x:t xml:space="preserve">BA-0202</x:t>
        </x:is>
      </x:c>
      <x:c r="B14" s="15" t="inlineStr">
        <x:is>
          <x:t xml:space="preserve">Phase 2</x:t>
        </x:is>
      </x:c>
      <x:c r="C14" s="15" t="inlineStr">
        <x:is>
          <x:t xml:space="preserve">Scope</x:t>
        </x:is>
      </x:c>
      <x:c r="D14" s="15" t="inlineStr">
        <x:is>
          <x:t xml:space="preserve">Confirm backlog assignment does not auto-commit and scope can change during sprint</x:t>
        </x:is>
      </x:c>
      <x:c r="E14" s="15" t="inlineStr">
        <x:is>
          <x:t xml:space="preserve">Iterations SRS</x:t>
        </x:is>
      </x:c>
      <x:c r="F14" s="15" t="inlineStr">
        <x:is>
          <x:t xml:space="preserve">BA-0201</x:t>
        </x:is>
      </x:c>
      <x:c r="G14" s="15" t="inlineStr">
        <x:is>
          <x:t xml:space="preserve">P0</x:t>
        </x:is>
      </x:c>
      <x:c r="H14" s="19" t="inlineStr">
        <x:is>
          <x:t xml:space="preserve">Done</x:t>
        </x:is>
      </x:c>
      <x:c r="I14" s="15" t="inlineStr">
        <x:is>
          <x:t xml:space="preserve">BA</x:t>
        </x:is>
      </x:c>
      <x:c r="J14" s="74" t="n">
        <x:v>46221</x:v>
      </x:c>
      <x:c r="K14" s="74" t="n">
        <x:v>46223</x:v>
      </x:c>
      <x:c r="L14" s="15" t="inlineStr">
        <x:is>
          <x:t xml:space="preserve">US/DE can be added while iteration runs; board does not auto-move cards</x:t>
        </x:is>
      </x:c>
      <x:c r="M14" s="15" t="inlineStr">
        <x:is>
          <x:t xml:space="preserve">DevInt verification</x:t>
        </x:is>
      </x:c>
      <x:c r="N14" s="15" t="str"/>
    </x:row>
    <x:row r="15" ht="46" customHeight="1">
      <x:c r="A15" s="15" t="inlineStr">
        <x:is>
          <x:t xml:space="preserve">BA-0203</x:t>
        </x:is>
      </x:c>
      <x:c r="B15" s="15" t="inlineStr">
        <x:is>
          <x:t xml:space="preserve">Phase 2</x:t>
        </x:is>
      </x:c>
      <x:c r="C15" s="15" t="inlineStr">
        <x:is>
          <x:t xml:space="preserve">Iteration Metrics</x:t>
        </x:is>
      </x:c>
      <x:c r="D15" s="15" t="inlineStr">
        <x:is>
          <x:t xml:space="preserve">Confirm Task Active and Totals definitions</x:t>
        </x:is>
      </x:c>
      <x:c r="E15" s="15" t="inlineStr">
        <x:is>
          <x:t xml:space="preserve">Iteration Status SRS + mockup</x:t>
        </x:is>
      </x:c>
      <x:c r="F15" s="15" t="inlineStr">
        <x:is>
          <x:t xml:space="preserve">BA-0103</x:t>
        </x:is>
      </x:c>
      <x:c r="G15" s="15" t="inlineStr">
        <x:is>
          <x:t xml:space="preserve">P0</x:t>
        </x:is>
      </x:c>
      <x:c r="H15" s="19" t="inlineStr">
        <x:is>
          <x:t xml:space="preserve">Done</x:t>
        </x:is>
      </x:c>
      <x:c r="I15" s="15" t="inlineStr">
        <x:is>
          <x:t xml:space="preserve">BA</x:t>
        </x:is>
      </x:c>
      <x:c r="J15" s="74" t="n">
        <x:v>46221</x:v>
      </x:c>
      <x:c r="K15" s="74" t="n">
        <x:v>46223</x:v>
      </x:c>
      <x:c r="L15" s="15" t="inlineStr">
        <x:is>
          <x:t xml:space="preserve">Task Active counts all tasks under iteration US/DE; totals show Plan Estimate, Task Estimate, To Do</x:t>
        </x:is>
      </x:c>
      <x:c r="M15" s="15" t="inlineStr">
        <x:is>
          <x:t xml:space="preserve">DevInt verification</x:t>
        </x:is>
      </x:c>
      <x:c r="N15" s="15" t="inlineStr">
        <x:is>
          <x:t xml:space="preserve">List view only</x:t>
        </x:is>
      </x:c>
    </x:row>
    <x:row r="16" ht="46" customHeight="1">
      <x:c r="A16" s="15" t="inlineStr">
        <x:is>
          <x:t xml:space="preserve">BA-0204</x:t>
        </x:is>
      </x:c>
      <x:c r="B16" s="15" t="inlineStr">
        <x:is>
          <x:t xml:space="preserve">Phase 2</x:t>
        </x:is>
      </x:c>
      <x:c r="C16" s="15" t="inlineStr">
        <x:is>
          <x:t xml:space="preserve">Testing</x:t>
        </x:is>
      </x:c>
      <x:c r="D16" s="15" t="inlineStr">
        <x:is>
          <x:t xml:space="preserve">Review Phase 2 DevInt results one screen at a time</x:t>
        </x:is>
      </x:c>
      <x:c r="E16" s="15" t="inlineStr">
        <x:is>
          <x:t xml:space="preserve">06_Dev testing align tracker</x:t>
        </x:is>
      </x:c>
      <x:c r="F16" s="15" t="inlineStr">
        <x:is>
          <x:t xml:space="preserve">BA-0201..0203</x:t>
        </x:is>
      </x:c>
      <x:c r="G16" s="15" t="inlineStr">
        <x:is>
          <x:t xml:space="preserve">P0</x:t>
        </x:is>
      </x:c>
      <x:c r="H16" s="28" t="inlineStr">
        <x:is>
          <x:t xml:space="preserve">In Progress</x:t>
        </x:is>
      </x:c>
      <x:c r="I16" s="15" t="inlineStr">
        <x:is>
          <x:t xml:space="preserve">BA/UAT</x:t>
        </x:is>
      </x:c>
      <x:c r="J16" s="74" t="n">
        <x:v>46230</x:v>
      </x:c>
      <x:c r="K16" s="74" t="n">
        <x:v>46241</x:v>
      </x:c>
      <x:c r="L16" s="15" t="inlineStr">
        <x:is>
          <x:t xml:space="preserve">Each gap has Match/Gap, decision, owner and retest evidence</x:t>
        </x:is>
      </x:c>
      <x:c r="M16" s="15" t="inlineStr">
        <x:is>
          <x:t xml:space="preserve">BA gap confirmation</x:t>
        </x:is>
      </x:c>
      <x:c r="N16" s="15" t="inlineStr">
        <x:is>
          <x:t xml:space="preserve">Do not batch-confirm unknown gaps</x:t>
        </x:is>
      </x:c>
    </x:row>
    <x:row r="17" ht="46" customHeight="1">
      <x:c r="A17" s="15" t="inlineStr">
        <x:is>
          <x:t xml:space="preserve">BA-0301</x:t>
        </x:is>
      </x:c>
      <x:c r="B17" s="15" t="inlineStr">
        <x:is>
          <x:t xml:space="preserve">Phase 3</x:t>
        </x:is>
      </x:c>
      <x:c r="C17" s="15" t="inlineStr">
        <x:is>
          <x:t xml:space="preserve">Release/Milestone</x:t>
        </x:is>
      </x:c>
      <x:c r="D17" s="15" t="inlineStr">
        <x:is>
          <x:t xml:space="preserve">Confirm Release and Milestone are independent M:N entities</x:t>
        </x:is>
      </x:c>
      <x:c r="E17" s="15" t="inlineStr">
        <x:is>
          <x:t xml:space="preserve">Release and Milestone SRS</x:t>
        </x:is>
      </x:c>
      <x:c r="F17" s="15" t="inlineStr">
        <x:is>
          <x:t xml:space="preserve">BA-0101</x:t>
        </x:is>
      </x:c>
      <x:c r="G17" s="15" t="inlineStr">
        <x:is>
          <x:t xml:space="preserve">P0</x:t>
        </x:is>
      </x:c>
      <x:c r="H17" s="19" t="inlineStr">
        <x:is>
          <x:t xml:space="preserve">Done</x:t>
        </x:is>
      </x:c>
      <x:c r="I17" s="15" t="inlineStr">
        <x:is>
          <x:t xml:space="preserve">BA</x:t>
        </x:is>
      </x:c>
      <x:c r="J17" s="74" t="n">
        <x:v>46221</x:v>
      </x:c>
      <x:c r="K17" s="74" t="n">
        <x:v>46223</x:v>
      </x:c>
      <x:c r="L17" s="15" t="inlineStr">
        <x:is>
          <x:t xml:space="preserve">Either entity can be created first; linkage is optional and non-hierarchical</x:t>
        </x:is>
      </x:c>
      <x:c r="M17" s="15" t="inlineStr">
        <x:is>
          <x:t xml:space="preserve">DevInt verification</x:t>
        </x:is>
      </x:c>
      <x:c r="N17" s="15" t="str"/>
    </x:row>
    <x:row r="18" ht="46" customHeight="1">
      <x:c r="A18" s="15" t="inlineStr">
        <x:is>
          <x:t xml:space="preserve">BA-0302</x:t>
        </x:is>
      </x:c>
      <x:c r="B18" s="15" t="inlineStr">
        <x:is>
          <x:t xml:space="preserve">Phase 3</x:t>
        </x:is>
      </x:c>
      <x:c r="C18" s="15" t="inlineStr">
        <x:is>
          <x:t xml:space="preserve">Work Item Links</x:t>
        </x:is>
      </x:c>
      <x:c r="D18" s="15" t="inlineStr">
        <x:is>
          <x:t xml:space="preserve">Confirm work item supports zero/one Release and zero/many Milestones</x:t>
        </x:is>
      </x:c>
      <x:c r="E18" s="15" t="inlineStr">
        <x:is>
          <x:t xml:space="preserve">RECONCILED_SOURCE_OF_TRUTH.md</x:t>
        </x:is>
      </x:c>
      <x:c r="F18" s="15" t="inlineStr">
        <x:is>
          <x:t xml:space="preserve">BA-0301</x:t>
        </x:is>
      </x:c>
      <x:c r="G18" s="15" t="inlineStr">
        <x:is>
          <x:t xml:space="preserve">P0</x:t>
        </x:is>
      </x:c>
      <x:c r="H18" s="19" t="inlineStr">
        <x:is>
          <x:t xml:space="preserve">Done</x:t>
        </x:is>
      </x:c>
      <x:c r="I18" s="15" t="inlineStr">
        <x:is>
          <x:t xml:space="preserve">BA</x:t>
        </x:is>
      </x:c>
      <x:c r="J18" s="74" t="n">
        <x:v>46221</x:v>
      </x:c>
      <x:c r="K18" s="74" t="n">
        <x:v>46223</x:v>
      </x:c>
      <x:c r="L18" s="15" t="inlineStr">
        <x:is>
          <x:t xml:space="preserve">Release dropdown and related milestone dropdown follow confirmed cardinality</x:t>
        </x:is>
      </x:c>
      <x:c r="M18" s="15" t="inlineStr">
        <x:is>
          <x:t xml:space="preserve">DevInt verification</x:t>
        </x:is>
      </x:c>
      <x:c r="N18" s="15" t="inlineStr">
        <x:is>
          <x:t xml:space="preserve">Only related milestones are suggested</x:t>
        </x:is>
      </x:c>
    </x:row>
    <x:row r="19" ht="46" customHeight="1">
      <x:c r="A19" s="15" t="inlineStr">
        <x:is>
          <x:t xml:space="preserve">BA-0303</x:t>
        </x:is>
      </x:c>
      <x:c r="B19" s="15" t="inlineStr">
        <x:is>
          <x:t xml:space="preserve">Phase 3</x:t>
        </x:is>
      </x:c>
      <x:c r="C19" s="15" t="inlineStr">
        <x:is>
          <x:t xml:space="preserve">Milestone Dates</x:t>
        </x:is>
      </x:c>
      <x:c r="D19" s="15" t="inlineStr">
        <x:is>
          <x:t xml:space="preserve">Confirm manual and release-derived milestone date modes</x:t>
        </x:is>
      </x:c>
      <x:c r="E19" s="15" t="inlineStr">
        <x:is>
          <x:t xml:space="preserve">Milestone SRS</x:t>
        </x:is>
      </x:c>
      <x:c r="F19" s="15" t="inlineStr">
        <x:is>
          <x:t xml:space="preserve">BA-0301</x:t>
        </x:is>
      </x:c>
      <x:c r="G19" s="15" t="inlineStr">
        <x:is>
          <x:t xml:space="preserve">P0</x:t>
        </x:is>
      </x:c>
      <x:c r="H19" s="19" t="inlineStr">
        <x:is>
          <x:t xml:space="preserve">Done</x:t>
        </x:is>
      </x:c>
      <x:c r="I19" s="15" t="inlineStr">
        <x:is>
          <x:t xml:space="preserve">BA</x:t>
        </x:is>
      </x:c>
      <x:c r="J19" s="74" t="n">
        <x:v>46221</x:v>
      </x:c>
      <x:c r="K19" s="74" t="n">
        <x:v>46223</x:v>
      </x:c>
      <x:c r="L19" s="15" t="inlineStr">
        <x:is>
          <x:t xml:space="preserve">No releases: manual dates; linked releases: MIN start and MAX end, read-only</x:t>
        </x:is>
      </x:c>
      <x:c r="M19" s="15" t="inlineStr">
        <x:is>
          <x:t xml:space="preserve">DevInt verification</x:t>
        </x:is>
      </x:c>
      <x:c r="N19" s="15" t="inlineStr">
        <x:is>
          <x:t xml:space="preserve">Removing all release links restores manual editing</x:t>
        </x:is>
      </x:c>
    </x:row>
    <x:row r="20" ht="46" customHeight="1">
      <x:c r="A20" s="15" t="inlineStr">
        <x:is>
          <x:t xml:space="preserve">BA-0304</x:t>
        </x:is>
      </x:c>
      <x:c r="B20" s="15" t="inlineStr">
        <x:is>
          <x:t xml:space="preserve">Phase 3</x:t>
        </x:is>
      </x:c>
      <x:c r="C20" s="15" t="inlineStr">
        <x:is>
          <x:t xml:space="preserve">Team Status</x:t>
        </x:is>
      </x:c>
      <x:c r="D20" s="15" t="inlineStr">
        <x:is>
          <x:t xml:space="preserve">Confirm inline task editing and totals</x:t>
        </x:is>
      </x:c>
      <x:c r="E20" s="15" t="inlineStr">
        <x:is>
          <x:t xml:space="preserve">Team Status SRS + mockup</x:t>
        </x:is>
      </x:c>
      <x:c r="F20" s="15" t="inlineStr">
        <x:is>
          <x:t xml:space="preserve">BA-0103</x:t>
        </x:is>
      </x:c>
      <x:c r="G20" s="15" t="inlineStr">
        <x:is>
          <x:t xml:space="preserve">P1</x:t>
        </x:is>
      </x:c>
      <x:c r="H20" s="19" t="inlineStr">
        <x:is>
          <x:t xml:space="preserve">Done</x:t>
        </x:is>
      </x:c>
      <x:c r="I20" s="15" t="inlineStr">
        <x:is>
          <x:t xml:space="preserve">BA</x:t>
        </x:is>
      </x:c>
      <x:c r="J20" s="74" t="n">
        <x:v>46222</x:v>
      </x:c>
      <x:c r="K20" s="74" t="n">
        <x:v>46223</x:v>
      </x:c>
      <x:c r="L20" s="15" t="inlineStr">
        <x:is>
          <x:t xml:space="preserve">Task Dashboard edits inline and reflects shared task data</x:t>
        </x:is>
      </x:c>
      <x:c r="M20" s="15" t="inlineStr">
        <x:is>
          <x:t xml:space="preserve">DevInt verification</x:t>
        </x:is>
      </x:c>
      <x:c r="N20" s="15" t="inlineStr">
        <x:is>
          <x:t xml:space="preserve">Team/Iteration Board deferred</x:t>
        </x:is>
      </x:c>
    </x:row>
    <x:row r="21" ht="46" customHeight="1">
      <x:c r="A21" s="15" t="inlineStr">
        <x:is>
          <x:t xml:space="preserve">BA-0305</x:t>
        </x:is>
      </x:c>
      <x:c r="B21" s="15" t="inlineStr">
        <x:is>
          <x:t xml:space="preserve">Phase 3</x:t>
        </x:is>
      </x:c>
      <x:c r="C21" s="15" t="inlineStr">
        <x:is>
          <x:t xml:space="preserve">Quality</x:t>
        </x:is>
      </x:c>
      <x:c r="D21" s="15" t="inlineStr">
        <x:is>
          <x:t xml:space="preserve">Confirm Defect keeps Defect State plus mirrored work-item states</x:t>
        </x:is>
      </x:c>
      <x:c r="E21" s="15" t="inlineStr">
        <x:is>
          <x:t xml:space="preserve">Quality/Defect SRS</x:t>
        </x:is>
      </x:c>
      <x:c r="F21" s="15" t="inlineStr">
        <x:is>
          <x:t xml:space="preserve">BA-0102</x:t>
        </x:is>
      </x:c>
      <x:c r="G21" s="15" t="inlineStr">
        <x:is>
          <x:t xml:space="preserve">P1</x:t>
        </x:is>
      </x:c>
      <x:c r="H21" s="19" t="inlineStr">
        <x:is>
          <x:t xml:space="preserve">Done</x:t>
        </x:is>
      </x:c>
      <x:c r="I21" s="15" t="inlineStr">
        <x:is>
          <x:t xml:space="preserve">BA</x:t>
        </x:is>
      </x:c>
      <x:c r="J21" s="74" t="n">
        <x:v>46222</x:v>
      </x:c>
      <x:c r="K21" s="74" t="n">
        <x:v>46223</x:v>
      </x:c>
      <x:c r="L21" s="15" t="inlineStr">
        <x:is>
          <x:t xml:space="preserve">Defect State is distinct; Flow/Schedule lifecycle remains common</x:t>
        </x:is>
      </x:c>
      <x:c r="M21" s="15" t="inlineStr">
        <x:is>
          <x:t xml:space="preserve">DevInt verification</x:t>
        </x:is>
      </x:c>
      <x:c r="N21" s="15" t="str"/>
    </x:row>
    <x:row r="22" ht="46" customHeight="1">
      <x:c r="A22" s="15" t="inlineStr">
        <x:is>
          <x:t xml:space="preserve">BA-0306</x:t>
        </x:is>
      </x:c>
      <x:c r="B22" s="15" t="inlineStr">
        <x:is>
          <x:t xml:space="preserve">Phase 3</x:t>
        </x:is>
      </x:c>
      <x:c r="C22" s="15" t="inlineStr">
        <x:is>
          <x:t xml:space="preserve">Testing</x:t>
        </x:is>
      </x:c>
      <x:c r="D22" s="15" t="inlineStr">
        <x:is>
          <x:t xml:space="preserve">Review Phase 3 DevInt gaps and accept fixes</x:t>
        </x:is>
      </x:c>
      <x:c r="E22" s="15" t="inlineStr">
        <x:is>
          <x:t xml:space="preserve">06_Dev testing align tracker</x:t>
        </x:is>
      </x:c>
      <x:c r="F22" s="15" t="inlineStr">
        <x:is>
          <x:t xml:space="preserve">BA-0301..0305</x:t>
        </x:is>
      </x:c>
      <x:c r="G22" s="15" t="inlineStr">
        <x:is>
          <x:t xml:space="preserve">P0</x:t>
        </x:is>
      </x:c>
      <x:c r="H22" s="28" t="inlineStr">
        <x:is>
          <x:t xml:space="preserve">In Progress</x:t>
        </x:is>
      </x:c>
      <x:c r="I22" s="15" t="inlineStr">
        <x:is>
          <x:t xml:space="preserve">BA/UAT</x:t>
        </x:is>
      </x:c>
      <x:c r="J22" s="74" t="n">
        <x:v>46237</x:v>
      </x:c>
      <x:c r="K22" s="74" t="n">
        <x:v>46248</x:v>
      </x:c>
      <x:c r="L22" s="15" t="inlineStr">
        <x:is>
          <x:t xml:space="preserve">Release, Milestone, Team Status and Quality scenarios pass retest</x:t>
        </x:is>
      </x:c>
      <x:c r="M22" s="15" t="inlineStr">
        <x:is>
          <x:t xml:space="preserve">BA gap confirmation</x:t>
        </x:is>
      </x:c>
      <x:c r="N22" s="15" t="str"/>
    </x:row>
    <x:row r="23" ht="46" customHeight="1">
      <x:c r="A23" s="15" t="inlineStr">
        <x:is>
          <x:t xml:space="preserve">BA-0401</x:t>
        </x:is>
      </x:c>
      <x:c r="B23" s="15" t="inlineStr">
        <x:is>
          <x:t xml:space="preserve">Phase 4</x:t>
        </x:is>
      </x:c>
      <x:c r="C23" s="15" t="inlineStr">
        <x:is>
          <x:t xml:space="preserve">Notifications</x:t>
        </x:is>
      </x:c>
      <x:c r="D23" s="15" t="inlineStr">
        <x:is>
          <x:t xml:space="preserve">Maintain confirmed notification SRS and mockup</x:t>
        </x:is>
      </x:c>
      <x:c r="E23" s="15" t="inlineStr">
        <x:is>
          <x:t xml:space="preserve">Phase 4 Notification SRS/checklist</x:t>
        </x:is>
      </x:c>
      <x:c r="F23" s="15" t="inlineStr">
        <x:is>
          <x:t xml:space="preserve">Phase 0-3 baseline</x:t>
        </x:is>
      </x:c>
      <x:c r="G23" s="15" t="inlineStr">
        <x:is>
          <x:t xml:space="preserve">P1</x:t>
        </x:is>
      </x:c>
      <x:c r="H23" s="19" t="inlineStr">
        <x:is>
          <x:t xml:space="preserve">Done</x:t>
        </x:is>
      </x:c>
      <x:c r="I23" s="15" t="inlineStr">
        <x:is>
          <x:t xml:space="preserve">BA</x:t>
        </x:is>
      </x:c>
      <x:c r="J23" s="74" t="n">
        <x:v>46221</x:v>
      </x:c>
      <x:c r="K23" s="74" t="n">
        <x:v>46223</x:v>
      </x:c>
      <x:c r="L23" s="15" t="inlineStr">
        <x:is>
          <x:t xml:space="preserve">Notification triggers, read state and navigation targets are testable</x:t>
        </x:is>
      </x:c>
      <x:c r="M23" s="15" t="inlineStr">
        <x:is>
          <x:t xml:space="preserve">DEV implementation</x:t>
        </x:is>
      </x:c>
      <x:c r="N23" s="15" t="str"/>
    </x:row>
    <x:row r="24" ht="46" customHeight="1">
      <x:c r="A24" s="15" t="inlineStr">
        <x:is>
          <x:t xml:space="preserve">BA-0402</x:t>
        </x:is>
      </x:c>
      <x:c r="B24" s="15" t="inlineStr">
        <x:is>
          <x:t xml:space="preserve">Phase 4</x:t>
        </x:is>
      </x:c>
      <x:c r="C24" s="15" t="inlineStr">
        <x:is>
          <x:t xml:space="preserve">RBAC</x:t>
        </x:is>
      </x:c>
      <x:c r="D24" s="15" t="inlineStr">
        <x:is>
          <x:t xml:space="preserve">Maintain roles/permissions matrix and UX rules</x:t>
        </x:is>
      </x:c>
      <x:c r="E24" s="15" t="inlineStr">
        <x:is>
          <x:t xml:space="preserve">Roles &amp; Permissions SRS</x:t>
        </x:is>
      </x:c>
      <x:c r="F24" s="15" t="inlineStr">
        <x:is>
          <x:t xml:space="preserve">BA-0002</x:t>
        </x:is>
      </x:c>
      <x:c r="G24" s="15" t="inlineStr">
        <x:is>
          <x:t xml:space="preserve">P0</x:t>
        </x:is>
      </x:c>
      <x:c r="H24" s="19" t="inlineStr">
        <x:is>
          <x:t xml:space="preserve">Done</x:t>
        </x:is>
      </x:c>
      <x:c r="I24" s="15" t="inlineStr">
        <x:is>
          <x:t xml:space="preserve">BA</x:t>
        </x:is>
      </x:c>
      <x:c r="J24" s="74" t="n">
        <x:v>46221</x:v>
      </x:c>
      <x:c r="K24" s="74" t="n">
        <x:v>46223</x:v>
      </x:c>
      <x:c r="L24" s="15" t="inlineStr">
        <x:is>
          <x:t xml:space="preserve">Every action and screen has explicit permission behavior</x:t>
        </x:is>
      </x:c>
      <x:c r="M24" s="15" t="inlineStr">
        <x:is>
          <x:t xml:space="preserve">DEV implementation</x:t>
        </x:is>
      </x:c>
      <x:c r="N24" s="15" t="str"/>
    </x:row>
    <x:row r="25" ht="46" customHeight="1">
      <x:c r="A25" s="15" t="inlineStr">
        <x:is>
          <x:t xml:space="preserve">BA-0403</x:t>
        </x:is>
      </x:c>
      <x:c r="B25" s="15" t="inlineStr">
        <x:is>
          <x:t xml:space="preserve">Phase 4</x:t>
        </x:is>
      </x:c>
      <x:c r="C25" s="15" t="inlineStr">
        <x:is>
          <x:t xml:space="preserve">Settings/Audit</x:t>
        </x:is>
      </x:c>
      <x:c r="D25" s="15" t="inlineStr">
        <x:is>
          <x:t xml:space="preserve">Maintain Settings and Audit scope</x:t>
        </x:is>
      </x:c>
      <x:c r="E25" s="15" t="inlineStr">
        <x:is>
          <x:t xml:space="preserve">Settings &amp; Audit SRS</x:t>
        </x:is>
      </x:c>
      <x:c r="F25" s="15" t="inlineStr">
        <x:is>
          <x:t xml:space="preserve">BA-0402</x:t>
        </x:is>
      </x:c>
      <x:c r="G25" s="15" t="inlineStr">
        <x:is>
          <x:t xml:space="preserve">P1</x:t>
        </x:is>
      </x:c>
      <x:c r="H25" s="19" t="inlineStr">
        <x:is>
          <x:t xml:space="preserve">Done</x:t>
        </x:is>
      </x:c>
      <x:c r="I25" s="15" t="inlineStr">
        <x:is>
          <x:t xml:space="preserve">BA</x:t>
        </x:is>
      </x:c>
      <x:c r="J25" s="74" t="n">
        <x:v>46221</x:v>
      </x:c>
      <x:c r="K25" s="74" t="n">
        <x:v>46223</x:v>
      </x:c>
      <x:c r="L25" s="15" t="inlineStr">
        <x:is>
          <x:t xml:space="preserve">Configuration changes and auditable actions are defined</x:t>
        </x:is>
      </x:c>
      <x:c r="M25" s="15" t="inlineStr">
        <x:is>
          <x:t xml:space="preserve">DEV implementation</x:t>
        </x:is>
      </x:c>
      <x:c r="N25" s="15" t="str"/>
    </x:row>
    <x:row r="26" ht="46" customHeight="1">
      <x:c r="A26" s="15" t="inlineStr">
        <x:is>
          <x:t xml:space="preserve">BA-0404</x:t>
        </x:is>
      </x:c>
      <x:c r="B26" s="15" t="inlineStr">
        <x:is>
          <x:t xml:space="preserve">Phase 4</x:t>
        </x:is>
      </x:c>
      <x:c r="C26" s="15" t="inlineStr">
        <x:is>
          <x:t xml:space="preserve">Testing</x:t>
        </x:is>
      </x:c>
      <x:c r="D26" s="15" t="inlineStr">
        <x:is>
          <x:t xml:space="preserve">Prepare Phase 4 UAT and traceability</x:t>
        </x:is>
      </x:c>
      <x:c r="E26" s="15" t="inlineStr">
        <x:is>
          <x:t xml:space="preserve">07_Test Business/specs/PHASE4_TEST_SCENARIOS.md</x:t>
        </x:is>
      </x:c>
      <x:c r="F26" s="15" t="inlineStr">
        <x:is>
          <x:t xml:space="preserve">BA-0401..0403</x:t>
        </x:is>
      </x:c>
      <x:c r="G26" s="15" t="inlineStr">
        <x:is>
          <x:t xml:space="preserve">P1</x:t>
        </x:is>
      </x:c>
      <x:c r="H26" s="31" t="inlineStr">
        <x:is>
          <x:t xml:space="preserve">Ready</x:t>
        </x:is>
      </x:c>
      <x:c r="I26" s="15" t="inlineStr">
        <x:is>
          <x:t xml:space="preserve">BA/UAT</x:t>
        </x:is>
      </x:c>
      <x:c r="J26" s="74" t="n">
        <x:v>46244</x:v>
      </x:c>
      <x:c r="K26" s="74" t="n">
        <x:v>46248</x:v>
      </x:c>
      <x:c r="L26" s="15" t="inlineStr">
        <x:is>
          <x:t xml:space="preserve">Scenario pack is reviewed before DevInt begins</x:t>
        </x:is>
      </x:c>
      <x:c r="M26" s="15" t="inlineStr">
        <x:is>
          <x:t xml:space="preserve">UAT readiness review</x:t>
        </x:is>
      </x:c>
      <x:c r="N26" s="15" t="str"/>
    </x:row>
    <x:row r="27" ht="54" customHeight="1">
      <x:c r="A27" s="15" t="inlineStr">
        <x:is>
          <x:t xml:space="preserve">BA-0500</x:t>
        </x:is>
      </x:c>
      <x:c r="B27" s="15" t="inlineStr">
        <x:is>
          <x:t xml:space="preserve">Phase 5</x:t>
        </x:is>
      </x:c>
      <x:c r="C27" s="15" t="inlineStr">
        <x:is>
          <x:t xml:space="preserve">Governance</x:t>
        </x:is>
      </x:c>
      <x:c r="D27" s="15" t="inlineStr">
        <x:is>
          <x:t xml:space="preserve">Rebaseline Phase 5 scope, order, readiness and confirmation gates</x:t>
        </x:is>
      </x:c>
      <x:c r="E27" s="15" t="inlineStr">
        <x:is>
          <x:t xml:space="preserve">Product workbook + Phase 5 tracker + Source of Truth</x:t>
        </x:is>
      </x:c>
      <x:c r="F27" s="15" t="inlineStr">
        <x:is>
          <x:t xml:space="preserve">P5-GOV v1</x:t>
        </x:is>
      </x:c>
      <x:c r="G27" s="15" t="inlineStr">
        <x:is>
          <x:t xml:space="preserve">P0</x:t>
        </x:is>
      </x:c>
      <x:c r="H27" s="22" t="inlineStr">
        <x:is>
          <x:t xml:space="preserve">Done</x:t>
        </x:is>
      </x:c>
      <x:c r="I27" s="15" t="inlineStr">
        <x:is>
          <x:t xml:space="preserve">Lead BA</x:t>
        </x:is>
      </x:c>
      <x:c r="J27" s="74" t="n">
        <x:v>46229</x:v>
      </x:c>
      <x:c r="K27" s="74" t="n">
        <x:v>46229</x:v>
      </x:c>
      <x:c r="L27" s="15" t="inlineStr">
        <x:is>
          <x:t xml:space="preserve">Workbook, tracker, SRS, source of truth and handoff boundary agree</x:t>
        </x:is>
      </x:c>
      <x:c r="M27" s="15" t="inlineStr">
        <x:is>
          <x:t xml:space="preserve">P5.1 proposal</x:t>
        </x:is>
      </x:c>
      <x:c r="N27" s="15" t="inlineStr">
        <x:is>
          <x:t xml:space="preserve">No mockup behavior changed in P5.0</x:t>
        </x:is>
      </x:c>
    </x:row>
    <x:row r="28" ht="94.5" customHeight="1">
      <x:c r="A28" s="15" t="str">
        <x:v>BA-0501</x:v>
      </x:c>
      <x:c r="B28" s="15" t="inlineStr">
        <x:is>
          <x:t xml:space="preserve">Phase 5</x:t>
        </x:is>
      </x:c>
      <x:c r="C28" s="15" t="inlineStr">
        <x:is>
          <x:t xml:space="preserve">Portfolio Items</x:t>
        </x:is>
      </x:c>
      <x:c r="D28" s="15" t="inlineStr">
        <x:is>
          <x:t xml:space="preserve">Close project/RBAC, field-data, Archive and test gaps</x:t>
        </x:is>
      </x:c>
      <x:c r="E28" s="15" t="inlineStr">
        <x:is>
          <x:t xml:space="preserve">Phase 5/01_Portfolio_Items/SRS.md</x:t>
        </x:is>
      </x:c>
      <x:c r="F28" s="15" t="inlineStr">
        <x:is>
          <x:t xml:space="preserve">BA-0500</x:t>
        </x:is>
      </x:c>
      <x:c r="G28" s="15" t="inlineStr">
        <x:is>
          <x:t xml:space="preserve">P0</x:t>
        </x:is>
      </x:c>
      <x:c r="H28" s="22" t="str">
        <x:v>Done</x:v>
      </x:c>
      <x:c r="I28" s="15" t="inlineStr">
        <x:is>
          <x:t xml:space="preserve">BA/UX</x:t>
        </x:is>
      </x:c>
      <x:c r="J28" s="74" t="n">
        <x:v>46229</x:v>
      </x:c>
      <x:c r="K28" s="74" t="n">
        <x:v>46231</x:v>
      </x:c>
      <x:c r="L28" s="76" t="str">
        <x:v>Feature and Epic flows, formulas, archive rules and accepted UI are documented and BA accepted</x:v>
      </x:c>
      <x:c r="M28" s="76" t="str">
        <x:v>DEV handoff</x:v>
      </x:c>
      <x:c r="N28" s="76" t="str">
        <x:v>P5.1 Feature baseline and Epic amendment closed 2026-07-28; production persistence/API/RBAC remains DEV scope</x:v>
      </x:c>
    </x:row>
    <x:row r="29" ht="54" customHeight="1">
      <x:c r="A29" s="15" t="str">
        <x:v>BA-F501</x:v>
      </x:c>
      <x:c r="B29" s="15" t="inlineStr">
        <x:is>
          <x:t xml:space="preserve">Phase 5</x:t>
        </x:is>
      </x:c>
      <x:c r="C29" s="15" t="str">
        <x:v>Release Planning</x:v>
      </x:c>
      <x:c r="D29" s="15" t="str">
        <x:v>Keep Release Planning outside the closed Phase 5 MVP</x:v>
      </x:c>
      <x:c r="E29" s="15" t="str">
        <x:v>Future_Backlog</x:v>
      </x:c>
      <x:c r="F29" s="15" t="str">
        <x:v>BA decision 2026-07-26</x:v>
      </x:c>
      <x:c r="G29" s="15" t="str">
        <x:v>P2</x:v>
      </x:c>
      <x:c r="H29" s="22" t="str">
        <x:v>Future Backlog</x:v>
      </x:c>
      <x:c r="I29" s="15" t="str">
        <x:v>BA/PO</x:v>
      </x:c>
      <x:c r="J29" s="74" t="n"/>
      <x:c r="K29" s="74" t="n"/>
      <x:c r="L29" s="15" t="str">
        <x:v>No Release Planning behavior is required for Phase 5 close</x:v>
      </x:c>
      <x:c r="M29" s="15" t="str">
        <x:v>Future backlog review</x:v>
      </x:c>
      <x:c r="N29" s="15" t="str">
        <x:v>Capacity Planning publish is the accepted Phase 5 planning action</x:v>
      </x:c>
    </x:row>
    <x:row r="30" ht="54" customHeight="1">
      <x:c r="A30" s="15" t="str">
        <x:v>BA-F502</x:v>
      </x:c>
      <x:c r="B30" s="15" t="inlineStr">
        <x:is>
          <x:t xml:space="preserve">Phase 5</x:t>
        </x:is>
      </x:c>
      <x:c r="C30" s="15" t="str">
        <x:v>Release Tracking</x:v>
      </x:c>
      <x:c r="D30" s="15" t="str">
        <x:v>Remove dedicated Release Tracking from Phase 5</x:v>
      </x:c>
      <x:c r="E30" s="15" t="str">
        <x:v>Phase 5/PHASE5_DEV_HANDOFF.md</x:v>
      </x:c>
      <x:c r="F30" s="15" t="str">
        <x:v>BA decision 2026-07-28</x:v>
      </x:c>
      <x:c r="G30" s="15" t="str">
        <x:v>P2</x:v>
      </x:c>
      <x:c r="H30" s="22" t="str">
        <x:v>Promoted</x:v>
      </x:c>
      <x:c r="I30" s="15" t="str">
        <x:v>BA/PO</x:v>
      </x:c>
      <x:c r="J30" s="74" t="n">
        <x:v>46231</x:v>
      </x:c>
      <x:c r="K30" s="74" t="n">
        <x:v>46231</x:v>
      </x:c>
      <x:c r="L30" s="15" t="str">
        <x:v>No Release Tracking implementation is claimed; future observation may be proposed under Reports</x:v>
      </x:c>
      <x:c r="M30" s="15" t="str">
        <x:v>Phase 6 DEV handoff</x:v>
      </x:c>
      <x:c r="N30" s="15" t="str">
        <x:v>Historical Phase 5 deferral; promoted and governed by current Phase 6 contracts</x:v>
      </x:c>
    </x:row>
    <x:row r="31" ht="54" customHeight="1">
      <x:c r="A31" s="15" t="str">
        <x:v>BA-0502</x:v>
      </x:c>
      <x:c r="B31" s="15" t="str">
        <x:v>Phase 5</x:v>
      </x:c>
      <x:c r="C31" s="15" t="str">
        <x:v>Capacity Planning</x:v>
      </x:c>
      <x:c r="D31" s="15" t="str">
        <x:v>Define and accept single-Release Team capacity planning</x:v>
      </x:c>
      <x:c r="E31" s="15" t="str">
        <x:v>Phase 5/02_Capacity_Planning/SRS.md</x:v>
      </x:c>
      <x:c r="F31" s="15" t="str">
        <x:v>BA-0501</x:v>
      </x:c>
      <x:c r="G31" s="15" t="str">
        <x:v>P0</x:v>
      </x:c>
      <x:c r="H31" s="28" t="str">
        <x:v>Done</x:v>
      </x:c>
      <x:c r="I31" s="15" t="str">
        <x:v>BA/PO</x:v>
      </x:c>
      <x:c r="J31" s="74" t="n">
        <x:v>46229</x:v>
      </x:c>
      <x:c r="K31" s="74" t="n">
        <x:v>46231</x:v>
      </x:c>
      <x:c r="L31" s="15" t="str">
        <x:v>Single-Release Team capacity planning, allocations, metrics, warnings and publish lifecycle are BA accepted</x:v>
      </x:c>
      <x:c r="M31" s="15" t="str">
        <x:v>DEV handoff</x:v>
      </x:c>
      <x:c r="N31" s="15" t="str">
        <x:v>P5.2 closed 2026-07-28; production persistence/API/server authorization remains DEV scope</x:v>
      </x:c>
    </x:row>
    <x:row r="32" ht="54" customHeight="1">
      <x:c r="A32" s="15" t="str">
        <x:v>BA-F503</x:v>
      </x:c>
      <x:c r="B32" s="15" t="str">
        <x:v>Phase 5</x:v>
      </x:c>
      <x:c r="C32" s="15" t="str">
        <x:v>Reports Observation</x:v>
      </x:c>
      <x:c r="D32" s="15" t="str">
        <x:v>Preserve Reports as the preferred future cross-release observation direction</x:v>
      </x:c>
      <x:c r="E32" s="15" t="str">
        <x:v>Future_Backlog</x:v>
      </x:c>
      <x:c r="F32" s="15" t="str">
        <x:v>Phase 5 close decision</x:v>
      </x:c>
      <x:c r="G32" s="15" t="str">
        <x:v>P2</x:v>
      </x:c>
      <x:c r="H32" s="25" t="str">
        <x:v>Promoted</x:v>
      </x:c>
      <x:c r="I32" s="15" t="str">
        <x:v>BA/PO</x:v>
      </x:c>
      <x:c r="J32" s="74" t="n">
        <x:v>46231</x:v>
      </x:c>
      <x:c r="K32" s="74" t="n">
        <x:v>46231</x:v>
      </x:c>
      <x:c r="L32" s="15" t="str">
        <x:v>Phase 5 close does not define or claim a Report feature</x:v>
      </x:c>
      <x:c r="M32" s="15" t="str">
        <x:v>Phase 6 DEV handoff</x:v>
      </x:c>
      <x:c r="N32" s="15" t="str">
        <x:v>Historical Phase 5 deferral; promoted and governed by current Phase 6 contracts</x:v>
      </x:c>
    </x:row>
    <x:row r="33" ht="54" customHeight="1">
      <x:c r="A33" s="57" t="str">
        <x:v>BA-0503</x:v>
      </x:c>
      <x:c r="B33" s="57" t="str">
        <x:v>Phase 5</x:v>
      </x:c>
      <x:c r="C33" s="57" t="str">
        <x:v>Closeout</x:v>
      </x:c>
      <x:c r="D33" s="57" t="str">
        <x:v>Close Phase 5 and publish the dedicated DEV handoff</x:v>
      </x:c>
      <x:c r="E33" s="57" t="str">
        <x:v>Phase 5/PHASE5_DEV_HANDOFF.md</x:v>
      </x:c>
      <x:c r="F33" s="57" t="str">
        <x:v>BA-0501 + BA-0502 + scope decision</x:v>
      </x:c>
      <x:c r="G33" s="57" t="str">
        <x:v>P0</x:v>
      </x:c>
      <x:c r="H33" s="59" t="str">
        <x:v>Done</x:v>
      </x:c>
      <x:c r="I33" s="57" t="str">
        <x:v>BA/UAT</x:v>
      </x:c>
      <x:c r="J33" s="75" t="n">
        <x:v>46231</x:v>
      </x:c>
      <x:c r="K33" s="75" t="n">
        <x:v>46231</x:v>
      </x:c>
      <x:c r="L33" s="57" t="str">
        <x:v>P5.1/P5.2 closed; Release Tracking excluded; documents/workbook/test disposition aligned</x:v>
      </x:c>
      <x:c r="M33" s="57" t="str">
        <x:v>Developer document review</x:v>
      </x:c>
      <x:c r="N33" s="57" t="str">
        <x:v>Phase 5 is BA/mockup closed and DEV handoff ready; production implementation is not started</x:v>
      </x:c>
    </x:row>
    <x:row r="34" ht="54" customHeight="1">
      <x:c r="A34" s="57" t="str">
        <x:v>BA-F504</x:v>
      </x:c>
      <x:c r="B34" s="57" t="str">
        <x:v>Future</x:v>
      </x:c>
      <x:c r="C34" s="57" t="str">
        <x:v>Preliminary Estimate Config</x:v>
      </x:c>
      <x:c r="D34" s="57" t="str">
        <x:v>Define user-managed Preliminary Estimate point/count mapping</x:v>
      </x:c>
      <x:c r="E34" s="57" t="str">
        <x:v>Future_Backlog</x:v>
      </x:c>
      <x:c r="F34" s="57" t="str">
        <x:v>Project Management design proposal</x:v>
      </x:c>
      <x:c r="G34" s="57" t="str">
        <x:v>P2</x:v>
      </x:c>
      <x:c r="H34" s="61" t="str">
        <x:v>Future Backlog</x:v>
      </x:c>
      <x:c r="I34" s="57" t="str">
        <x:v>BA/PO</x:v>
      </x:c>
      <x:c r="J34" s="75"/>
      <x:c r="K34" s="75"/>
      <x:c r="L34" s="57" t="str">
        <x:v>Production does not silently treat the mock mapping as a permanent hard-coded rule</x:v>
      </x:c>
      <x:c r="M34" s="57" t="str">
        <x:v>Future backlog review</x:v>
      </x:c>
      <x:c r="N34" s="57" t="str">
        <x:v>Confirmed future location: Settings &gt; Workspace &gt; Project Management</x:v>
      </x:c>
    </x:row>
    <x:row r="35" ht="62" customHeight="1">
      <x:c r="A35" s="112" t="str">
        <x:v>BA-0600</x:v>
      </x:c>
      <x:c r="B35" s="76" t="str">
        <x:v>Phase 6</x:v>
      </x:c>
      <x:c r="C35" s="76" t="str">
        <x:v>Governance</x:v>
      </x:c>
      <x:c r="D35" s="76" t="str">
        <x:v>Close Phase 6 Reports and Release Tracking business rules and publish the shared data contract</x:v>
      </x:c>
      <x:c r="E35" s="76" t="str">
        <x:v>Phase 6 contracts + Decision Log</x:v>
      </x:c>
      <x:c r="F35" s="76" t="str">
        <x:v>Confirmed report and Release Tracking decisions</x:v>
      </x:c>
      <x:c r="G35" s="76" t="str">
        <x:v>P0</x:v>
      </x:c>
      <x:c r="H35" s="183" t="str">
        <x:v>Done</x:v>
      </x:c>
      <x:c r="I35" s="76" t="str">
        <x:v>Lead BA</x:v>
      </x:c>
      <x:c r="J35" s="76"/>
      <x:c r="K35" s="76"/>
      <x:c r="L35" s="76" t="str">
        <x:v>All report and Release Tracking formulas, scope, units, historical behavior and drill-down rules are explicit</x:v>
      </x:c>
      <x:c r="M35" s="76" t="str">
        <x:v>DEV handoff</x:v>
      </x:c>
      <x:c r="N35" s="76" t="str">
        <x:v>No open BA decision; production implementation remains DEV-owned</x:v>
      </x:c>
    </x:row>
    <x:row r="36" ht="62" customHeight="1">
      <x:c r="A36" s="112" t="str">
        <x:v>BA-0601</x:v>
      </x:c>
      <x:c r="B36" s="76" t="str">
        <x:v>Phase 6</x:v>
      </x:c>
      <x:c r="C36" s="76" t="str">
        <x:v>Iteration Burndown</x:v>
      </x:c>
      <x:c r="D36" s="76" t="str">
        <x:v>Define Iteration Burndown using end-of-day Task ToDo, cumulative Accepted Points and a fixed Task Estimate baseline</x:v>
      </x:c>
      <x:c r="E36" s="76" t="str">
        <x:v>Phase 6/02_Iteration_Burndown/SRS.md + mockup</x:v>
      </x:c>
      <x:c r="F36" s="76" t="str">
        <x:v>BA-0600; Iteration and Task rules</x:v>
      </x:c>
      <x:c r="G36" s="76" t="str">
        <x:v>P0</x:v>
      </x:c>
      <x:c r="H36" s="185" t="str">
        <x:v>Done</x:v>
      </x:c>
      <x:c r="I36" s="76" t="str">
        <x:v>BA/UX</x:v>
      </x:c>
      <x:c r="J36" s="76"/>
      <x:c r="K36" s="76"/>
      <x:c r="L36" s="76" t="str">
        <x:v>Daily snapshot, dual units, Ideal formula and unavailable-history state are explicit</x:v>
      </x:c>
      <x:c r="M36" s="76" t="str">
        <x:v>DEV handoff</x:v>
      </x:c>
      <x:c r="N36" s="76" t="str">
        <x:v>Production requires immutable daily snapshots and a start baseline</x:v>
      </x:c>
    </x:row>
    <x:row r="37" ht="62" customHeight="1">
      <x:c r="A37" s="112" t="str">
        <x:v>BA-0602</x:v>
      </x:c>
      <x:c r="B37" s="76" t="str">
        <x:v>Phase 6</x:v>
      </x:c>
      <x:c r="C37" s="76" t="str">
        <x:v>Velocity</x:v>
      </x:c>
      <x:c r="D37" s="76" t="str">
        <x:v>Define Velocity with Accepted During, Accepted After, Not Accepted, trend and Last/Best/Worst averages</x:v>
      </x:c>
      <x:c r="E37" s="76" t="str">
        <x:v>Phase 6/03_Velocity_Chart/SRS.md + mockup</x:v>
      </x:c>
      <x:c r="F37" s="76" t="str">
        <x:v>BA-0600; acceptedDate</x:v>
      </x:c>
      <x:c r="G37" s="76" t="str">
        <x:v>P0</x:v>
      </x:c>
      <x:c r="H37" s="185" t="str">
        <x:v>Done</x:v>
      </x:c>
      <x:c r="I37" s="76" t="str">
        <x:v>BA/UX</x:v>
      </x:c>
      <x:c r="J37" s="76"/>
      <x:c r="K37" s="76"/>
      <x:c r="L37" s="76" t="str">
        <x:v>Last 5/10, eligible Iterations and During-only calculations are explicit</x:v>
      </x:c>
      <x:c r="M37" s="76" t="str">
        <x:v>DEV handoff</x:v>
      </x:c>
      <x:c r="N37" s="76" t="str">
        <x:v>Velocity is recalculated from current assignment and acceptedDate</x:v>
      </x:c>
    </x:row>
    <x:row r="38" ht="62" customHeight="1">
      <x:c r="A38" s="112" t="str">
        <x:v>BA-0603</x:v>
      </x:c>
      <x:c r="B38" s="76" t="str">
        <x:v>Phase 6</x:v>
      </x:c>
      <x:c r="C38" s="76" t="str">
        <x:v>Release Tracking</x:v>
      </x:c>
      <x:c r="D38" s="76" t="str">
        <x:v>Define Portfolio &gt; Release Tracking classification, list status, mismatch issues and Release Burnup</x:v>
      </x:c>
      <x:c r="E38" s="76" t="str">
        <x:v>Phase 6/01_Release_Tracking/SRS.md + mockup</x:v>
      </x:c>
      <x:c r="F38" s="76" t="str">
        <x:v>BA-0600; Portfolio and Release rules</x:v>
      </x:c>
      <x:c r="G38" s="76" t="str">
        <x:v>P0</x:v>
      </x:c>
      <x:c r="H38" s="183" t="str">
        <x:v>Done</x:v>
      </x:c>
      <x:c r="I38" s="76" t="str">
        <x:v>BA/UX</x:v>
      </x:c>
      <x:c r="J38" s="76"/>
      <x:c r="K38" s="76"/>
      <x:c r="L38" s="76" t="str">
        <x:v>Direct/Derived/Unparented, Points/Count, issue overlay and history dependency are explicit</x:v>
      </x:c>
      <x:c r="M38" s="76" t="str">
        <x:v>DEV handoff</x:v>
      </x:c>
      <x:c r="N38" s="76" t="str">
        <x:v>Dependencies remains Future Backlog FB-P6-001</x:v>
      </x:c>
    </x:row>
    <x:row r="39" ht="62" customHeight="1">
      <x:c r="A39" s="112" t="str">
        <x:v>BA-0604</x:v>
      </x:c>
      <x:c r="B39" s="76" t="str">
        <x:v>Phase 6</x:v>
      </x:c>
      <x:c r="C39" s="76" t="str">
        <x:v>Team Capacity</x:v>
      </x:c>
      <x:c r="D39" s="76" t="str">
        <x:v>Define Team Capacity as a Team Status projection for Capacity, Estimate, ToDo and Actual hours</x:v>
      </x:c>
      <x:c r="E39" s="76" t="str">
        <x:v>Phase 6/04_Team_Capacity/SRS.md + mockup</x:v>
      </x:c>
      <x:c r="F39" s="76" t="str">
        <x:v>BA-0600; Team Status</x:v>
      </x:c>
      <x:c r="G39" s="76" t="str">
        <x:v>P0</x:v>
      </x:c>
      <x:c r="H39" s="185" t="str">
        <x:v>Done</x:v>
      </x:c>
      <x:c r="I39" s="76" t="str">
        <x:v>BA/UX</x:v>
      </x:c>
      <x:c r="J39" s="76"/>
      <x:c r="K39" s="76"/>
      <x:c r="L39" s="76" t="str">
        <x:v>Iteration picker, All Teams expansion and selected-Team rows are explicit</x:v>
      </x:c>
      <x:c r="M39" s="76" t="str">
        <x:v>DEV handoff</x:v>
      </x:c>
      <x:c r="N39" s="76" t="str">
        <x:v>No separate capacity store</x:v>
      </x:c>
    </x:row>
    <x:row r="40" ht="62" customHeight="1">
      <x:c r="A40" s="112" t="str">
        <x:v>BA-0605</x:v>
      </x:c>
      <x:c r="B40" s="76" t="str">
        <x:v>Phase 6</x:v>
      </x:c>
      <x:c r="C40" s="76" t="str">
        <x:v>Navigation &amp; Shell</x:v>
      </x:c>
      <x:c r="D40" s="76" t="str">
        <x:v>Align navigation and filters for three Reports types and separate Portfolio &gt; Release Tracking</x:v>
      </x:c>
      <x:c r="E40" s="76" t="str">
        <x:v>Phase 6 UI contracts + mockup</x:v>
      </x:c>
      <x:c r="F40" s="76" t="str">
        <x:v>BA-0601..0604</x:v>
      </x:c>
      <x:c r="G40" s="76" t="str">
        <x:v>P1</x:v>
      </x:c>
      <x:c r="H40" s="219" t="str">
        <x:v>Done</x:v>
      </x:c>
      <x:c r="I40" s="76" t="str">
        <x:v>BA/UX</x:v>
      </x:c>
      <x:c r="J40" s="76"/>
      <x:c r="K40" s="76"/>
      <x:c r="L40" s="76" t="str">
        <x:v>Release Tracking is the final Portfolio item and global scope drives every view</x:v>
      </x:c>
      <x:c r="M40" s="76" t="str">
        <x:v>DEV handoff</x:v>
      </x:c>
      <x:c r="N40" s="76" t="str">
        <x:v>No duplicate Project/Team filter</x:v>
      </x:c>
    </x:row>
    <x:row r="41" ht="62" customHeight="1">
      <x:c r="A41" s="112" t="str">
        <x:v>BA-0606</x:v>
      </x:c>
      <x:c r="B41" s="76" t="str">
        <x:v>Phase 6</x:v>
      </x:c>
      <x:c r="C41" s="76" t="str">
        <x:v>Mockup &amp; UAT</x:v>
      </x:c>
      <x:c r="D41" s="76" t="str">
        <x:v>Complete approved mockups and reconcile formulas, empty states, scope and warnings</x:v>
      </x:c>
      <x:c r="E41" s="76" t="str">
        <x:v>Phase 6 mockup + SRS pack</x:v>
      </x:c>
      <x:c r="F41" s="76" t="str">
        <x:v>BA-0605</x:v>
      </x:c>
      <x:c r="G41" s="76" t="str">
        <x:v>P0</x:v>
      </x:c>
      <x:c r="H41" s="219" t="str">
        <x:v>Done</x:v>
      </x:c>
      <x:c r="I41" s="76" t="str">
        <x:v>BA/UX/UAT</x:v>
      </x:c>
      <x:c r="J41" s="76"/>
      <x:c r="K41" s="76"/>
      <x:c r="L41" s="76" t="str">
        <x:v>Three Reports and Release Tracking match the approved business contract</x:v>
      </x:c>
      <x:c r="M41" s="76" t="str">
        <x:v>DEV handoff</x:v>
      </x:c>
      <x:c r="N41" s="76" t="str">
        <x:v>Playwright was waived by BA for mockup approval</x:v>
      </x:c>
    </x:row>
    <x:row r="42" ht="62" customHeight="1">
      <x:c r="A42" s="112" t="str">
        <x:v>BA-0607</x:v>
      </x:c>
      <x:c r="B42" s="76" t="str">
        <x:v>Phase 6</x:v>
      </x:c>
      <x:c r="C42" s="76" t="str">
        <x:v>Closeout</x:v>
      </x:c>
      <x:c r="D42" s="76" t="str">
        <x:v>Close Phase 6 BA/mockup package and transfer production delivery to DEV</x:v>
      </x:c>
      <x:c r="E42" s="76" t="str">
        <x:v>Phase 6 contracts + Product Plan</x:v>
      </x:c>
      <x:c r="F42" s="76" t="str">
        <x:v>BA-0606</x:v>
      </x:c>
      <x:c r="G42" s="76" t="str">
        <x:v>P1</x:v>
      </x:c>
      <x:c r="H42" s="111" t="str">
        <x:v>Done</x:v>
      </x:c>
      <x:c r="I42" s="76" t="str">
        <x:v>Lead BA/UAT</x:v>
      </x:c>
      <x:c r="J42" s="76"/>
      <x:c r="K42" s="76"/>
      <x:c r="L42" s="76" t="str">
        <x:v>No unresolved BA rule remains; readiness boundary is explicit</x:v>
      </x:c>
      <x:c r="M42" s="76" t="str">
        <x:v>DEV handoff</x:v>
      </x:c>
      <x:c r="N42" s="76" t="str">
        <x:v>BA/mockup approved; not production-ready</x:v>
      </x:c>
    </x:row>
  </x:sheetData>
  <x:mergeCells>
    <x:mergeCell ref="A2:N2"/>
    <x:mergeCell ref="A1:N1"/>
  </x:mergeCells>
  <x:conditionalFormatting sqref="H35:H42">
    <x:cfRule type="containsText" dxfId="4" priority="1" operator="containsText" text="Decision Pending"/>
    <x:cfRule type="containsText" dxfId="5" priority="2" operator="containsText" text="Draft Proposal"/>
    <x:cfRule type="containsText" dxfId="6" priority="3" operator="containsText" text="Planned"/>
  </x:conditionalFormatting>
  <x:dataValidations count="6">
    <x:dataValidation type="list" allowBlank="0" showDropDown="0" showInputMessage="0" showErrorMessage="0" sqref="G5:G32">
      <x:formula1>"P0,P1,P2,P3"</x:formula1>
    </x:dataValidation>
    <x:dataValidation type="list" allowBlank="0" showDropDown="0" showInputMessage="0" showErrorMessage="0" sqref="H5:H32">
      <x:formula1>"Done,In Progress,Ready,Planned,Future Backlog,Blocked,Needs BA"</x:formula1>
    </x:dataValidation>
    <x:dataValidation type="list" allowBlank="0" showDropDown="0" showInputMessage="0" showErrorMessage="0" sqref="G33:G34">
      <x:formula1>"P0,P1,P2,P3"</x:formula1>
    </x:dataValidation>
    <x:dataValidation type="list" allowBlank="0" showDropDown="0" showInputMessage="0" showErrorMessage="0" sqref="H33:H34">
      <x:formula1>"Done,In Progress,Ready,Planned,Needs BA,Future Backlog"</x:formula1>
    </x:dataValidation>
    <x:dataValidation type="list" sqref="G5:G42">
      <x:formula1>"P0,P1,P2"</x:formula1>
    </x:dataValidation>
    <x:dataValidation type="list" sqref="H5:H42">
      <x:formula1>"Done,In Progress,Ready,Future Backlog,Draft Proposal,Decision Pending,Planned"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10" customWidth="1"/>
    <x:col min="3" max="3" width="22" customWidth="1"/>
    <x:col min="4" max="4" width="42" customWidth="1"/>
    <x:col min="5" max="5" width="35" customWidth="1"/>
    <x:col min="6" max="6" width="24" customWidth="1"/>
    <x:col min="7" max="7" width="10" customWidth="1"/>
    <x:col min="8" max="8" width="16" customWidth="1"/>
    <x:col min="9" max="9" width="15" customWidth="1"/>
    <x:col min="10" max="10" width="13" customWidth="1"/>
    <x:col min="11" max="11" width="13" customWidth="1"/>
    <x:col min="12" max="12" width="46" customWidth="1"/>
    <x:col min="13" max="13" width="25" customWidth="1"/>
    <x:col min="14" max="14" width="34" customWidth="1"/>
  </x:cols>
  <x:sheetData>
    <x:row r="1" ht="32" customHeight="1">
      <x:c r="A1" s="3" t="inlineStr">
        <x:is>
          <x:t xml:space="preserve">MINI RALLY — DEV EXECUTION PLAN</x:t>
        </x:is>
      </x:c>
    </x:row>
    <x:row r="2" ht="27" customHeight="1">
      <x:c r="A2" s="6" t="inlineStr">
        <x:is>
          <x:t xml:space="preserve">Frontend/business implementation and DevInt tasks; schemas, DB and infrastructure are outside this plan</x:t>
        </x:is>
      </x:c>
    </x:row>
    <x:row r="4" ht="32" customHeight="1">
      <x:c r="A4" s="11" t="inlineStr">
        <x:is>
          <x:t xml:space="preserve">Task ID</x:t>
        </x:is>
      </x:c>
      <x:c r="B4" s="11" t="inlineStr">
        <x:is>
          <x:t xml:space="preserve">Phase</x:t>
        </x:is>
      </x:c>
      <x:c r="C4" s="11" t="inlineStr">
        <x:is>
          <x:t xml:space="preserve">Workstream</x:t>
        </x:is>
      </x:c>
      <x:c r="D4" s="11" t="inlineStr">
        <x:is>
          <x:t xml:space="preserve">Task / Outcome</x:t>
        </x:is>
      </x:c>
      <x:c r="E4" s="11" t="inlineStr">
        <x:is>
          <x:t xml:space="preserve">Deliverable / Source</x:t>
        </x:is>
      </x:c>
      <x:c r="F4" s="11" t="inlineStr">
        <x:is>
          <x:t xml:space="preserve">Dependency</x:t>
        </x:is>
      </x:c>
      <x:c r="G4" s="11" t="inlineStr">
        <x:is>
          <x:t xml:space="preserve">Priority</x:t>
        </x:is>
      </x:c>
      <x:c r="H4" s="11" t="inlineStr">
        <x:is>
          <x:t xml:space="preserve">Status</x:t>
        </x:is>
      </x:c>
      <x:c r="I4" s="11" t="inlineStr">
        <x:is>
          <x:t xml:space="preserve">Owner Role</x:t>
        </x:is>
      </x:c>
      <x:c r="J4" s="11" t="inlineStr">
        <x:is>
          <x:t xml:space="preserve">Target Start</x:t>
        </x:is>
      </x:c>
      <x:c r="K4" s="11" t="inlineStr">
        <x:is>
          <x:t xml:space="preserve">Target End</x:t>
        </x:is>
      </x:c>
      <x:c r="L4" s="11" t="inlineStr">
        <x:is>
          <x:t xml:space="preserve">Acceptance / Definition of Done</x:t>
        </x:is>
      </x:c>
      <x:c r="M4" s="11" t="inlineStr">
        <x:is>
          <x:t xml:space="preserve">Next Gate</x:t>
        </x:is>
      </x:c>
      <x:c r="N4" s="11" t="inlineStr">
        <x:is>
          <x:t xml:space="preserve">Notes</x:t>
        </x:is>
      </x:c>
    </x:row>
    <x:row r="5" ht="46" customHeight="1">
      <x:c r="A5" s="15" t="inlineStr">
        <x:is>
          <x:t xml:space="preserve">DEV-0001</x:t>
        </x:is>
      </x:c>
      <x:c r="B5" s="15" t="inlineStr">
        <x:is>
          <x:t xml:space="preserve">Phase 0</x:t>
        </x:is>
      </x:c>
      <x:c r="C5" s="15" t="inlineStr">
        <x:is>
          <x:t xml:space="preserve">App Shell</x:t>
        </x:is>
      </x:c>
      <x:c r="D5" s="15" t="inlineStr">
        <x:is>
          <x:t xml:space="preserve">Align navigation, project/workspace context and route guards with reconciled SRS</x:t>
        </x:is>
      </x:c>
      <x:c r="E5" s="15" t="inlineStr">
        <x:is>
          <x:t xml:space="preserve">Phase 0 App Shell SRS</x:t>
        </x:is>
      </x:c>
      <x:c r="F5" s="15" t="inlineStr">
        <x:is>
          <x:t xml:space="preserve">BA-0001</x:t>
        </x:is>
      </x:c>
      <x:c r="G5" s="15" t="inlineStr">
        <x:is>
          <x:t xml:space="preserve">P0</x:t>
        </x:is>
      </x:c>
      <x:c r="H5" s="28" t="inlineStr">
        <x:is>
          <x:t xml:space="preserve">In Progress</x:t>
        </x:is>
      </x:c>
      <x:c r="I5" s="15" t="inlineStr">
        <x:is>
          <x:t xml:space="preserve">FE DEV</x:t>
        </x:is>
      </x:c>
      <x:c r="J5" s="74" t="n">
        <x:v>46223</x:v>
      </x:c>
      <x:c r="K5" s="74" t="n">
        <x:v>46227</x:v>
      </x:c>
      <x:c r="L5" s="15" t="inlineStr">
        <x:is>
          <x:t xml:space="preserve">DevInt Phase 0 scenarios pass without context leakage</x:t>
        </x:is>
      </x:c>
      <x:c r="M5" s="15" t="inlineStr">
        <x:is>
          <x:t xml:space="preserve">BA retest</x:t>
        </x:is>
      </x:c>
      <x:c r="N5" s="15" t="inlineStr">
        <x:is>
          <x:t xml:space="preserve">No DB/infra change in this plan</x:t>
        </x:is>
      </x:c>
    </x:row>
    <x:row r="6" ht="46" customHeight="1">
      <x:c r="A6" s="15" t="inlineStr">
        <x:is>
          <x:t xml:space="preserve">DEV-0002</x:t>
        </x:is>
      </x:c>
      <x:c r="B6" s="15" t="inlineStr">
        <x:is>
          <x:t xml:space="preserve">Phase 0</x:t>
        </x:is>
      </x:c>
      <x:c r="C6" s="15" t="inlineStr">
        <x:is>
          <x:t xml:space="preserve">Project</x:t>
        </x:is>
      </x:c>
      <x:c r="D6" s="15" t="inlineStr">
        <x:is>
          <x:t xml:space="preserve">Align multi-project selector and project-level page context</x:t>
        </x:is>
      </x:c>
      <x:c r="E6" s="15" t="inlineStr">
        <x:is>
          <x:t xml:space="preserve">Phase 0 Project SRS</x:t>
        </x:is>
      </x:c>
      <x:c r="F6" s="15" t="inlineStr">
        <x:is>
          <x:t xml:space="preserve">DEV-0001</x:t>
        </x:is>
      </x:c>
      <x:c r="G6" s="15" t="inlineStr">
        <x:is>
          <x:t xml:space="preserve">P0</x:t>
        </x:is>
      </x:c>
      <x:c r="H6" s="28" t="inlineStr">
        <x:is>
          <x:t xml:space="preserve">In Progress</x:t>
        </x:is>
      </x:c>
      <x:c r="I6" s="15" t="inlineStr">
        <x:is>
          <x:t xml:space="preserve">FE DEV</x:t>
        </x:is>
      </x:c>
      <x:c r="J6" s="74" t="n">
        <x:v>46223</x:v>
      </x:c>
      <x:c r="K6" s="74" t="n">
        <x:v>46227</x:v>
      </x:c>
      <x:c r="L6" s="15" t="inlineStr">
        <x:is>
          <x:t xml:space="preserve">Switching project refreshes all scoped screens consistently</x:t>
        </x:is>
      </x:c>
      <x:c r="M6" s="15" t="inlineStr">
        <x:is>
          <x:t xml:space="preserve">BA retest</x:t>
        </x:is>
      </x:c>
      <x:c r="N6" s="15" t="str"/>
    </x:row>
    <x:row r="7" ht="46" customHeight="1">
      <x:c r="A7" s="15" t="inlineStr">
        <x:is>
          <x:t xml:space="preserve">DEV-0003</x:t>
        </x:is>
      </x:c>
      <x:c r="B7" s="15" t="inlineStr">
        <x:is>
          <x:t xml:space="preserve">Phase 0</x:t>
        </x:is>
      </x:c>
      <x:c r="C7" s="15" t="inlineStr">
        <x:is>
          <x:t xml:space="preserve">Regression</x:t>
        </x:is>
      </x:c>
      <x:c r="D7" s="15" t="inlineStr">
        <x:is>
          <x:t xml:space="preserve">Add/update FE tests for Phase 0 confirmed behavior</x:t>
        </x:is>
      </x:c>
      <x:c r="E7" s="15" t="inlineStr">
        <x:is>
          <x:t xml:space="preserve">Phase 0 test scenarios</x:t>
        </x:is>
      </x:c>
      <x:c r="F7" s="15" t="inlineStr">
        <x:is>
          <x:t xml:space="preserve">DEV-0001..0002</x:t>
        </x:is>
      </x:c>
      <x:c r="G7" s="15" t="inlineStr">
        <x:is>
          <x:t xml:space="preserve">P1</x:t>
        </x:is>
      </x:c>
      <x:c r="H7" s="31" t="inlineStr">
        <x:is>
          <x:t xml:space="preserve">Ready</x:t>
        </x:is>
      </x:c>
      <x:c r="I7" s="15" t="inlineStr">
        <x:is>
          <x:t xml:space="preserve">DEV/QA</x:t>
        </x:is>
      </x:c>
      <x:c r="J7" s="74" t="n">
        <x:v>46226</x:v>
      </x:c>
      <x:c r="K7" s="74" t="n">
        <x:v>46227</x:v>
      </x:c>
      <x:c r="L7" s="15" t="inlineStr">
        <x:is>
          <x:t xml:space="preserve">Automated checks cover critical routes and context</x:t>
        </x:is>
      </x:c>
      <x:c r="M7" s="15" t="inlineStr">
        <x:is>
          <x:t xml:space="preserve">DevInt evidence</x:t>
        </x:is>
      </x:c>
      <x:c r="N7" s="15" t="str"/>
    </x:row>
    <x:row r="8" ht="46" customHeight="1">
      <x:c r="A8" s="15" t="inlineStr">
        <x:is>
          <x:t xml:space="preserve">DEV-0101</x:t>
        </x:is>
      </x:c>
      <x:c r="B8" s="15" t="inlineStr">
        <x:is>
          <x:t xml:space="preserve">Phase 1</x:t>
        </x:is>
      </x:c>
      <x:c r="C8" s="15" t="inlineStr">
        <x:is>
          <x:t xml:space="preserve">Shared Work Item</x:t>
        </x:is>
      </x:c>
      <x:c r="D8" s="15" t="inlineStr">
        <x:is>
          <x:t xml:space="preserve">Use one work-item model across Backlog, Iteration and detail views</x:t>
        </x:is>
      </x:c>
      <x:c r="E8" s="15" t="inlineStr">
        <x:is>
          <x:t xml:space="preserve">Phase 1 Work Item SRS</x:t>
        </x:is>
      </x:c>
      <x:c r="F8" s="15" t="inlineStr">
        <x:is>
          <x:t xml:space="preserve">DEV-0002</x:t>
        </x:is>
      </x:c>
      <x:c r="G8" s="15" t="inlineStr">
        <x:is>
          <x:t xml:space="preserve">P0</x:t>
        </x:is>
      </x:c>
      <x:c r="H8" s="28" t="inlineStr">
        <x:is>
          <x:t xml:space="preserve">In Progress</x:t>
        </x:is>
      </x:c>
      <x:c r="I8" s="15" t="inlineStr">
        <x:is>
          <x:t xml:space="preserve">FE DEV</x:t>
        </x:is>
      </x:c>
      <x:c r="J8" s="74" t="n">
        <x:v>46223</x:v>
      </x:c>
      <x:c r="K8" s="74" t="n">
        <x:v>46232</x:v>
      </x:c>
      <x:c r="L8" s="15" t="inlineStr">
        <x:is>
          <x:t xml:space="preserve">Edits are reflected across screens without duplicate state semantics</x:t>
        </x:is>
      </x:c>
      <x:c r="M8" s="15" t="inlineStr">
        <x:is>
          <x:t xml:space="preserve">BA retest</x:t>
        </x:is>
      </x:c>
      <x:c r="N8" s="15" t="str"/>
    </x:row>
    <x:row r="9" ht="46" customHeight="1">
      <x:c r="A9" s="15" t="inlineStr">
        <x:is>
          <x:t xml:space="preserve">DEV-0102</x:t>
        </x:is>
      </x:c>
      <x:c r="B9" s="15" t="inlineStr">
        <x:is>
          <x:t xml:space="preserve">Phase 1</x:t>
        </x:is>
      </x:c>
      <x:c r="C9" s="15" t="inlineStr">
        <x:is>
          <x:t xml:space="preserve">State Lifecycle</x:t>
        </x:is>
      </x:c>
      <x:c r="D9" s="15" t="inlineStr">
        <x:is>
          <x:t xml:space="preserve">Implement mirrored Schedule State and Flow State options/default</x:t>
        </x:is>
      </x:c>
      <x:c r="E9" s="15" t="inlineStr">
        <x:is>
          <x:t xml:space="preserve">BA-0102</x:t>
        </x:is>
      </x:c>
      <x:c r="F9" s="15" t="inlineStr">
        <x:is>
          <x:t xml:space="preserve">DEV-0101</x:t>
        </x:is>
      </x:c>
      <x:c r="G9" s="15" t="inlineStr">
        <x:is>
          <x:t xml:space="preserve">P0</x:t>
        </x:is>
      </x:c>
      <x:c r="H9" s="31" t="inlineStr">
        <x:is>
          <x:t xml:space="preserve">Ready</x:t>
        </x:is>
      </x:c>
      <x:c r="I9" s="15" t="inlineStr">
        <x:is>
          <x:t xml:space="preserve">FE DEV</x:t>
        </x:is>
      </x:c>
      <x:c r="J9" s="74" t="n">
        <x:v>46226</x:v>
      </x:c>
      <x:c r="K9" s="74" t="n">
        <x:v>46232</x:v>
      </x:c>
      <x:c r="L9" s="15" t="inlineStr">
        <x:is>
          <x:t xml:space="preserve">Both fields use Idea/Defined/In-Progress/Completed/Accepted/Release and default Idea</x:t>
        </x:is>
      </x:c>
      <x:c r="M9" s="15" t="inlineStr">
        <x:is>
          <x:t xml:space="preserve">BA retest</x:t>
        </x:is>
      </x:c>
      <x:c r="N9" s="15" t="str"/>
    </x:row>
    <x:row r="10" ht="46" customHeight="1">
      <x:c r="A10" s="15" t="inlineStr">
        <x:is>
          <x:t xml:space="preserve">DEV-0103</x:t>
        </x:is>
      </x:c>
      <x:c r="B10" s="15" t="inlineStr">
        <x:is>
          <x:t xml:space="preserve">Phase 1</x:t>
        </x:is>
      </x:c>
      <x:c r="C10" s="15" t="inlineStr">
        <x:is>
          <x:t xml:space="preserve">Tasks</x:t>
        </x:is>
      </x:c>
      <x:c r="D10" s="15" t="inlineStr">
        <x:is>
          <x:t xml:space="preserve">Implement task status lifecycle, parent auto-complete and reopen roll-back</x:t>
        </x:is>
      </x:c>
      <x:c r="E10" s="15" t="inlineStr">
        <x:is>
          <x:t xml:space="preserve">Task Management SRS</x:t>
        </x:is>
      </x:c>
      <x:c r="F10" s="15" t="inlineStr">
        <x:is>
          <x:t xml:space="preserve">DEV-0101..0102</x:t>
        </x:is>
      </x:c>
      <x:c r="G10" s="15" t="inlineStr">
        <x:is>
          <x:t xml:space="preserve">P0</x:t>
        </x:is>
      </x:c>
      <x:c r="H10" s="31" t="inlineStr">
        <x:is>
          <x:t xml:space="preserve">Ready</x:t>
        </x:is>
      </x:c>
      <x:c r="I10" s="15" t="inlineStr">
        <x:is>
          <x:t xml:space="preserve">FE DEV</x:t>
        </x:is>
      </x:c>
      <x:c r="J10" s="74" t="n">
        <x:v>46230</x:v>
      </x:c>
      <x:c r="K10" s="74" t="n">
        <x:v>46234</x:v>
      </x:c>
      <x:c r="L10" s="15" t="inlineStr">
        <x:is>
          <x:t xml:space="preserve">All tasks Completed -&gt; parent Completed; any reopened -&gt; parent In-Progress</x:t>
        </x:is>
      </x:c>
      <x:c r="M10" s="15" t="inlineStr">
        <x:is>
          <x:t xml:space="preserve">BA retest</x:t>
        </x:is>
      </x:c>
      <x:c r="N10" s="15" t="inlineStr">
        <x:is>
          <x:t xml:space="preserve">Manual parent override remains possible</x:t>
        </x:is>
      </x:c>
    </x:row>
    <x:row r="11" ht="46" customHeight="1">
      <x:c r="A11" s="15" t="inlineStr">
        <x:is>
          <x:t xml:space="preserve">DEV-0104</x:t>
        </x:is>
      </x:c>
      <x:c r="B11" s="15" t="inlineStr">
        <x:is>
          <x:t xml:space="preserve">Phase 1</x:t>
        </x:is>
      </x:c>
      <x:c r="C11" s="15" t="inlineStr">
        <x:is>
          <x:t xml:space="preserve">Task Dashboard</x:t>
        </x:is>
      </x:c>
      <x:c r="D11" s="15" t="inlineStr">
        <x:is>
          <x:t xml:space="preserve">Enable inline task editing with consistent values and validation</x:t>
        </x:is>
      </x:c>
      <x:c r="E11" s="15" t="inlineStr">
        <x:is>
          <x:t xml:space="preserve">Task Management/Team Status SRS</x:t>
        </x:is>
      </x:c>
      <x:c r="F11" s="15" t="inlineStr">
        <x:is>
          <x:t xml:space="preserve">DEV-0103</x:t>
        </x:is>
      </x:c>
      <x:c r="G11" s="15" t="inlineStr">
        <x:is>
          <x:t xml:space="preserve">P1</x:t>
        </x:is>
      </x:c>
      <x:c r="H11" s="31" t="inlineStr">
        <x:is>
          <x:t xml:space="preserve">Ready</x:t>
        </x:is>
      </x:c>
      <x:c r="I11" s="15" t="inlineStr">
        <x:is>
          <x:t xml:space="preserve">FE DEV</x:t>
        </x:is>
      </x:c>
      <x:c r="J11" s="74" t="n">
        <x:v>46232</x:v>
      </x:c>
      <x:c r="K11" s="74" t="n">
        <x:v>46234</x:v>
      </x:c>
      <x:c r="L11" s="15" t="inlineStr">
        <x:is>
          <x:t xml:space="preserve">Inline edit persists and all dependent totals refresh</x:t>
        </x:is>
      </x:c>
      <x:c r="M11" s="15" t="inlineStr">
        <x:is>
          <x:t xml:space="preserve">BA retest</x:t>
        </x:is>
      </x:c>
      <x:c r="N11" s="15" t="str"/>
    </x:row>
    <x:row r="12" ht="46" customHeight="1">
      <x:c r="A12" s="15" t="inlineStr">
        <x:is>
          <x:t xml:space="preserve">DEV-0105</x:t>
        </x:is>
      </x:c>
      <x:c r="B12" s="15" t="inlineStr">
        <x:is>
          <x:t xml:space="preserve">Phase 1</x:t>
        </x:is>
      </x:c>
      <x:c r="C12" s="15" t="inlineStr">
        <x:is>
          <x:t xml:space="preserve">Settings Navigation</x:t>
        </x:is>
      </x:c>
      <x:c r="D12" s="15" t="inlineStr">
        <x:is>
          <x:t xml:space="preserve">Move Teams and User Management entry points under Settings gear</x:t>
        </x:is>
      </x:c>
      <x:c r="E12" s="15" t="inlineStr">
        <x:is>
          <x:t xml:space="preserve">Manage Projects/Teams/Users SRS</x:t>
        </x:is>
      </x:c>
      <x:c r="F12" s="15" t="inlineStr">
        <x:is>
          <x:t xml:space="preserve">DEV-0001</x:t>
        </x:is>
      </x:c>
      <x:c r="G12" s="15" t="inlineStr">
        <x:is>
          <x:t xml:space="preserve">P1</x:t>
        </x:is>
      </x:c>
      <x:c r="H12" s="31" t="inlineStr">
        <x:is>
          <x:t xml:space="preserve">Ready</x:t>
        </x:is>
      </x:c>
      <x:c r="I12" s="15" t="inlineStr">
        <x:is>
          <x:t xml:space="preserve">FE DEV</x:t>
        </x:is>
      </x:c>
      <x:c r="J12" s="74" t="n">
        <x:v>46230</x:v>
      </x:c>
      <x:c r="K12" s="74" t="n">
        <x:v>46232</x:v>
      </x:c>
      <x:c r="L12" s="15" t="inlineStr">
        <x:is>
          <x:t xml:space="preserve">Projects screen has no Teams tab; Settings contains Teams/Users</x:t>
        </x:is>
      </x:c>
      <x:c r="M12" s="15" t="inlineStr">
        <x:is>
          <x:t xml:space="preserve">BA retest</x:t>
        </x:is>
      </x:c>
      <x:c r="N12" s="15" t="str"/>
    </x:row>
    <x:row r="13" ht="46" customHeight="1">
      <x:c r="A13" s="15" t="inlineStr">
        <x:is>
          <x:t xml:space="preserve">DEV-0106</x:t>
        </x:is>
      </x:c>
      <x:c r="B13" s="15" t="inlineStr">
        <x:is>
          <x:t xml:space="preserve">Phase 1</x:t>
        </x:is>
      </x:c>
      <x:c r="C13" s="15" t="inlineStr">
        <x:is>
          <x:t xml:space="preserve">Regression</x:t>
        </x:is>
      </x:c>
      <x:c r="D13" s="15" t="inlineStr">
        <x:is>
          <x:t xml:space="preserve">Add/update FE tests for work-item/task roll-up and Settings navigation</x:t>
        </x:is>
      </x:c>
      <x:c r="E13" s="15" t="inlineStr">
        <x:is>
          <x:t xml:space="preserve">Phase 1 test scenarios</x:t>
        </x:is>
      </x:c>
      <x:c r="F13" s="15" t="inlineStr">
        <x:is>
          <x:t xml:space="preserve">DEV-0101..0105</x:t>
        </x:is>
      </x:c>
      <x:c r="G13" s="15" t="inlineStr">
        <x:is>
          <x:t xml:space="preserve">P1</x:t>
        </x:is>
      </x:c>
      <x:c r="H13" s="31" t="inlineStr">
        <x:is>
          <x:t xml:space="preserve">Ready</x:t>
        </x:is>
      </x:c>
      <x:c r="I13" s="15" t="inlineStr">
        <x:is>
          <x:t xml:space="preserve">DEV/QA</x:t>
        </x:is>
      </x:c>
      <x:c r="J13" s="74" t="n">
        <x:v>46233</x:v>
      </x:c>
      <x:c r="K13" s="74" t="n">
        <x:v>46234</x:v>
      </x:c>
      <x:c r="L13" s="15" t="inlineStr">
        <x:is>
          <x:t xml:space="preserve">Critical Phase 1 cases pass in CI/DevInt</x:t>
        </x:is>
      </x:c>
      <x:c r="M13" s="15" t="inlineStr">
        <x:is>
          <x:t xml:space="preserve">DevInt evidence</x:t>
        </x:is>
      </x:c>
      <x:c r="N13" s="15" t="str"/>
    </x:row>
    <x:row r="14" ht="46" customHeight="1">
      <x:c r="A14" s="15" t="inlineStr">
        <x:is>
          <x:t xml:space="preserve">DEV-0201</x:t>
        </x:is>
      </x:c>
      <x:c r="B14" s="15" t="inlineStr">
        <x:is>
          <x:t xml:space="preserve">Phase 2</x:t>
        </x:is>
      </x:c>
      <x:c r="C14" s="15" t="inlineStr">
        <x:is>
          <x:t xml:space="preserve">Iterations</x:t>
        </x:is>
      </x:c>
      <x:c r="D14" s="15" t="inlineStr">
        <x:is>
          <x:t xml:space="preserve">Implement Planning/Committed/Accepted with manual transitions</x:t>
        </x:is>
      </x:c>
      <x:c r="E14" s="15" t="inlineStr">
        <x:is>
          <x:t xml:space="preserve">Iterations SRS</x:t>
        </x:is>
      </x:c>
      <x:c r="F14" s="15" t="inlineStr">
        <x:is>
          <x:t xml:space="preserve">DEV-0101</x:t>
        </x:is>
      </x:c>
      <x:c r="G14" s="15" t="inlineStr">
        <x:is>
          <x:t xml:space="preserve">P0</x:t>
        </x:is>
      </x:c>
      <x:c r="H14" s="31" t="inlineStr">
        <x:is>
          <x:t xml:space="preserve">Ready</x:t>
        </x:is>
      </x:c>
      <x:c r="I14" s="15" t="inlineStr">
        <x:is>
          <x:t xml:space="preserve">FE DEV</x:t>
        </x:is>
      </x:c>
      <x:c r="J14" s="74" t="n">
        <x:v>46230</x:v>
      </x:c>
      <x:c r="K14" s="74" t="n">
        <x:v>46237</x:v>
      </x:c>
      <x:c r="L14" s="15" t="inlineStr">
        <x:is>
          <x:t xml:space="preserve">New iteration defaults Planning; all transitions remain user-editable</x:t>
        </x:is>
      </x:c>
      <x:c r="M14" s="15" t="inlineStr">
        <x:is>
          <x:t xml:space="preserve">BA retest</x:t>
        </x:is>
      </x:c>
      <x:c r="N14" s="15" t="str"/>
    </x:row>
    <x:row r="15" ht="46" customHeight="1">
      <x:c r="A15" s="15" t="inlineStr">
        <x:is>
          <x:t xml:space="preserve">DEV-0202</x:t>
        </x:is>
      </x:c>
      <x:c r="B15" s="15" t="inlineStr">
        <x:is>
          <x:t xml:space="preserve">Phase 2</x:t>
        </x:is>
      </x:c>
      <x:c r="C15" s="15" t="inlineStr">
        <x:is>
          <x:t xml:space="preserve">Auto Acceptance</x:t>
        </x:is>
      </x:c>
      <x:c r="D15" s="15" t="inlineStr">
        <x:is>
          <x:t xml:space="preserve">Auto-set iteration Accepted when all assigned non-empty US/DE are Accepted</x:t>
        </x:is>
      </x:c>
      <x:c r="E15" s="15" t="inlineStr">
        <x:is>
          <x:t xml:space="preserve">Iteration SRS</x:t>
        </x:is>
      </x:c>
      <x:c r="F15" s="15" t="inlineStr">
        <x:is>
          <x:t xml:space="preserve">DEV-0201</x:t>
        </x:is>
      </x:c>
      <x:c r="G15" s="15" t="inlineStr">
        <x:is>
          <x:t xml:space="preserve">P0</x:t>
        </x:is>
      </x:c>
      <x:c r="H15" s="31" t="inlineStr">
        <x:is>
          <x:t xml:space="preserve">Ready</x:t>
        </x:is>
      </x:c>
      <x:c r="I15" s="15" t="inlineStr">
        <x:is>
          <x:t xml:space="preserve">FE DEV</x:t>
        </x:is>
      </x:c>
      <x:c r="J15" s="74" t="n">
        <x:v>46233</x:v>
      </x:c>
      <x:c r="K15" s="74" t="n">
        <x:v>46238</x:v>
      </x:c>
      <x:c r="L15" s="15" t="inlineStr">
        <x:is>
          <x:t xml:space="preserve">Automation is convenience only; no auto-reverse or status lock</x:t>
        </x:is>
      </x:c>
      <x:c r="M15" s="15" t="inlineStr">
        <x:is>
          <x:t xml:space="preserve">BA retest</x:t>
        </x:is>
      </x:c>
      <x:c r="N15" s="15" t="str"/>
    </x:row>
    <x:row r="16" ht="46" customHeight="1">
      <x:c r="A16" s="15" t="inlineStr">
        <x:is>
          <x:t xml:space="preserve">DEV-0203</x:t>
        </x:is>
      </x:c>
      <x:c r="B16" s="15" t="inlineStr">
        <x:is>
          <x:t xml:space="preserve">Phase 2</x:t>
        </x:is>
      </x:c>
      <x:c r="C16" s="15" t="inlineStr">
        <x:is>
          <x:t xml:space="preserve">Scope Changes</x:t>
        </x:is>
      </x:c>
      <x:c r="D16" s="15" t="inlineStr">
        <x:is>
          <x:t xml:space="preserve">Allow adding/removing US/DE during Committed iteration without board auto-moves</x:t>
        </x:is>
      </x:c>
      <x:c r="E16" s="15" t="inlineStr">
        <x:is>
          <x:t xml:space="preserve">Iteration SRS</x:t>
        </x:is>
      </x:c>
      <x:c r="F16" s="15" t="inlineStr">
        <x:is>
          <x:t xml:space="preserve">DEV-0201</x:t>
        </x:is>
      </x:c>
      <x:c r="G16" s="15" t="inlineStr">
        <x:is>
          <x:t xml:space="preserve">P0</x:t>
        </x:is>
      </x:c>
      <x:c r="H16" s="31" t="inlineStr">
        <x:is>
          <x:t xml:space="preserve">Ready</x:t>
        </x:is>
      </x:c>
      <x:c r="I16" s="15" t="inlineStr">
        <x:is>
          <x:t xml:space="preserve">FE DEV</x:t>
        </x:is>
      </x:c>
      <x:c r="J16" s="74" t="n">
        <x:v>46233</x:v>
      </x:c>
      <x:c r="K16" s="74" t="n">
        <x:v>46238</x:v>
      </x:c>
      <x:c r="L16" s="15" t="inlineStr">
        <x:is>
          <x:t xml:space="preserve">Scope remains editable during sprint and assignment does not auto-commit</x:t>
        </x:is>
      </x:c>
      <x:c r="M16" s="15" t="inlineStr">
        <x:is>
          <x:t xml:space="preserve">BA retest</x:t>
        </x:is>
      </x:c>
      <x:c r="N16" s="15" t="str"/>
    </x:row>
    <x:row r="17" ht="46" customHeight="1">
      <x:c r="A17" s="15" t="inlineStr">
        <x:is>
          <x:t xml:space="preserve">DEV-0204</x:t>
        </x:is>
      </x:c>
      <x:c r="B17" s="15" t="inlineStr">
        <x:is>
          <x:t xml:space="preserve">Phase 2</x:t>
        </x:is>
      </x:c>
      <x:c r="C17" s="15" t="inlineStr">
        <x:is>
          <x:t xml:space="preserve">Iteration Status</x:t>
        </x:is>
      </x:c>
      <x:c r="D17" s="15" t="inlineStr">
        <x:is>
          <x:t xml:space="preserve">Align list view columns, Task Active and Totals calculations</x:t>
        </x:is>
      </x:c>
      <x:c r="E17" s="15" t="inlineStr">
        <x:is>
          <x:t xml:space="preserve">Iteration Status SRS</x:t>
        </x:is>
      </x:c>
      <x:c r="F17" s="15" t="inlineStr">
        <x:is>
          <x:t xml:space="preserve">DEV-0103</x:t>
        </x:is>
      </x:c>
      <x:c r="G17" s="15" t="inlineStr">
        <x:is>
          <x:t xml:space="preserve">P0</x:t>
        </x:is>
      </x:c>
      <x:c r="H17" s="31" t="inlineStr">
        <x:is>
          <x:t xml:space="preserve">Ready</x:t>
        </x:is>
      </x:c>
      <x:c r="I17" s="15" t="inlineStr">
        <x:is>
          <x:t xml:space="preserve">FE DEV</x:t>
        </x:is>
      </x:c>
      <x:c r="J17" s="74" t="n">
        <x:v>46237</x:v>
      </x:c>
      <x:c r="K17" s="74" t="n">
        <x:v>46240</x:v>
      </x:c>
      <x:c r="L17" s="15" t="inlineStr">
        <x:is>
          <x:t xml:space="preserve">Totals show Plan Estimate, Task Estimate, To Do; Task Active uses all created tasks</x:t>
        </x:is>
      </x:c>
      <x:c r="M17" s="15" t="inlineStr">
        <x:is>
          <x:t xml:space="preserve">BA retest</x:t>
        </x:is>
      </x:c>
      <x:c r="N17" s="15" t="inlineStr">
        <x:is>
          <x:t xml:space="preserve">No active board view</x:t>
        </x:is>
      </x:c>
    </x:row>
    <x:row r="18" ht="46" customHeight="1">
      <x:c r="A18" s="15" t="inlineStr">
        <x:is>
          <x:t xml:space="preserve">DEV-0205</x:t>
        </x:is>
      </x:c>
      <x:c r="B18" s="15" t="inlineStr">
        <x:is>
          <x:t xml:space="preserve">Phase 2</x:t>
        </x:is>
      </x:c>
      <x:c r="C18" s="15" t="inlineStr">
        <x:is>
          <x:t xml:space="preserve">Regression</x:t>
        </x:is>
      </x:c>
      <x:c r="D18" s="15" t="inlineStr">
        <x:is>
          <x:t xml:space="preserve">Add/update FE tests for iteration lifecycle, scope and metrics</x:t>
        </x:is>
      </x:c>
      <x:c r="E18" s="15" t="inlineStr">
        <x:is>
          <x:t xml:space="preserve">Phase 2 test scenarios</x:t>
        </x:is>
      </x:c>
      <x:c r="F18" s="15" t="inlineStr">
        <x:is>
          <x:t xml:space="preserve">DEV-0201..0204</x:t>
        </x:is>
      </x:c>
      <x:c r="G18" s="15" t="inlineStr">
        <x:is>
          <x:t xml:space="preserve">P1</x:t>
        </x:is>
      </x:c>
      <x:c r="H18" s="31" t="inlineStr">
        <x:is>
          <x:t xml:space="preserve">Ready</x:t>
        </x:is>
      </x:c>
      <x:c r="I18" s="15" t="inlineStr">
        <x:is>
          <x:t xml:space="preserve">DEV/QA</x:t>
        </x:is>
      </x:c>
      <x:c r="J18" s="74" t="n">
        <x:v>46240</x:v>
      </x:c>
      <x:c r="K18" s="74" t="n">
        <x:v>46241</x:v>
      </x:c>
      <x:c r="L18" s="15" t="inlineStr">
        <x:is>
          <x:t xml:space="preserve">Phase 2 critical cases pass and evidence is attached</x:t>
        </x:is>
      </x:c>
      <x:c r="M18" s="15" t="inlineStr">
        <x:is>
          <x:t xml:space="preserve">DevInt sign-off</x:t>
        </x:is>
      </x:c>
      <x:c r="N18" s="15" t="str"/>
    </x:row>
    <x:row r="19" ht="46" customHeight="1">
      <x:c r="A19" s="15" t="inlineStr">
        <x:is>
          <x:t xml:space="preserve">DEV-0301</x:t>
        </x:is>
      </x:c>
      <x:c r="B19" s="15" t="inlineStr">
        <x:is>
          <x:t xml:space="preserve">Phase 3</x:t>
        </x:is>
      </x:c>
      <x:c r="C19" s="15" t="inlineStr">
        <x:is>
          <x:t xml:space="preserve">Team Status</x:t>
        </x:is>
      </x:c>
      <x:c r="D19" s="15" t="inlineStr">
        <x:is>
          <x:t xml:space="preserve">Use shared task data, inline edit and board-level totals</x:t>
        </x:is>
      </x:c>
      <x:c r="E19" s="15" t="inlineStr">
        <x:is>
          <x:t xml:space="preserve">Team Status SRS</x:t>
        </x:is>
      </x:c>
      <x:c r="F19" s="15" t="inlineStr">
        <x:is>
          <x:t xml:space="preserve">DEV-0103..0104</x:t>
        </x:is>
      </x:c>
      <x:c r="G19" s="15" t="inlineStr">
        <x:is>
          <x:t xml:space="preserve">P0</x:t>
        </x:is>
      </x:c>
      <x:c r="H19" s="31" t="inlineStr">
        <x:is>
          <x:t xml:space="preserve">Ready</x:t>
        </x:is>
      </x:c>
      <x:c r="I19" s="15" t="inlineStr">
        <x:is>
          <x:t xml:space="preserve">FE DEV</x:t>
        </x:is>
      </x:c>
      <x:c r="J19" s="74" t="n">
        <x:v>46237</x:v>
      </x:c>
      <x:c r="K19" s="74" t="n">
        <x:v>46241</x:v>
      </x:c>
      <x:c r="L19" s="15" t="inlineStr">
        <x:is>
          <x:t xml:space="preserve">Team Status changes immediately reflect in work item and iteration metrics</x:t>
        </x:is>
      </x:c>
      <x:c r="M19" s="15" t="inlineStr">
        <x:is>
          <x:t xml:space="preserve">BA retest</x:t>
        </x:is>
      </x:c>
      <x:c r="N19" s="15" t="str"/>
    </x:row>
    <x:row r="20" ht="46" customHeight="1">
      <x:c r="A20" s="15" t="inlineStr">
        <x:is>
          <x:t xml:space="preserve">DEV-0302</x:t>
        </x:is>
      </x:c>
      <x:c r="B20" s="15" t="inlineStr">
        <x:is>
          <x:t xml:space="preserve">Phase 3</x:t>
        </x:is>
      </x:c>
      <x:c r="C20" s="15" t="inlineStr">
        <x:is>
          <x:t xml:space="preserve">Release</x:t>
        </x:is>
      </x:c>
      <x:c r="D20" s="15" t="inlineStr">
        <x:is>
          <x:t xml:space="preserve">Implement Release registry and zero/one Release selector on work items</x:t>
        </x:is>
      </x:c>
      <x:c r="E20" s="15" t="inlineStr">
        <x:is>
          <x:t xml:space="preserve">Release Management SRS</x:t>
        </x:is>
      </x:c>
      <x:c r="F20" s="15" t="inlineStr">
        <x:is>
          <x:t xml:space="preserve">DEV-0101</x:t>
        </x:is>
      </x:c>
      <x:c r="G20" s="15" t="inlineStr">
        <x:is>
          <x:t xml:space="preserve">P0</x:t>
        </x:is>
      </x:c>
      <x:c r="H20" s="31" t="inlineStr">
        <x:is>
          <x:t xml:space="preserve">Ready</x:t>
        </x:is>
      </x:c>
      <x:c r="I20" s="15" t="inlineStr">
        <x:is>
          <x:t xml:space="preserve">FE DEV</x:t>
        </x:is>
      </x:c>
      <x:c r="J20" s="74" t="n">
        <x:v>46237</x:v>
      </x:c>
      <x:c r="K20" s="74" t="n">
        <x:v>46241</x:v>
      </x:c>
      <x:c r="L20" s="15" t="inlineStr">
        <x:is>
          <x:t xml:space="preserve">Release can exist independently and work-item cardinality is enforced</x:t>
        </x:is>
      </x:c>
      <x:c r="M20" s="15" t="inlineStr">
        <x:is>
          <x:t xml:space="preserve">BA retest</x:t>
        </x:is>
      </x:c>
      <x:c r="N20" s="15" t="str"/>
    </x:row>
    <x:row r="21" ht="46" customHeight="1">
      <x:c r="A21" s="15" t="inlineStr">
        <x:is>
          <x:t xml:space="preserve">DEV-0303</x:t>
        </x:is>
      </x:c>
      <x:c r="B21" s="15" t="inlineStr">
        <x:is>
          <x:t xml:space="preserve">Phase 3</x:t>
        </x:is>
      </x:c>
      <x:c r="C21" s="15" t="inlineStr">
        <x:is>
          <x:t xml:space="preserve">Milestone</x:t>
        </x:is>
      </x:c>
      <x:c r="D21" s="15" t="inlineStr">
        <x:is>
          <x:t xml:space="preserve">Implement zero/many Milestones per work item and M:N Release links</x:t>
        </x:is>
      </x:c>
      <x:c r="E21" s="15" t="inlineStr">
        <x:is>
          <x:t xml:space="preserve">Milestone SRS</x:t>
        </x:is>
      </x:c>
      <x:c r="F21" s="15" t="inlineStr">
        <x:is>
          <x:t xml:space="preserve">DEV-0302</x:t>
        </x:is>
      </x:c>
      <x:c r="G21" s="15" t="inlineStr">
        <x:is>
          <x:t xml:space="preserve">P0</x:t>
        </x:is>
      </x:c>
      <x:c r="H21" s="31" t="inlineStr">
        <x:is>
          <x:t xml:space="preserve">Ready</x:t>
        </x:is>
      </x:c>
      <x:c r="I21" s="15" t="inlineStr">
        <x:is>
          <x:t xml:space="preserve">FE DEV</x:t>
        </x:is>
      </x:c>
      <x:c r="J21" s="74" t="n">
        <x:v>46239</x:v>
      </x:c>
      <x:c r="K21" s="74" t="n">
        <x:v>46245</x:v>
      </x:c>
      <x:c r="L21" s="15" t="inlineStr">
        <x:is>
          <x:t xml:space="preserve">Milestones remain independent and can span multiple projects/teams</x:t>
        </x:is>
      </x:c>
      <x:c r="M21" s="15" t="inlineStr">
        <x:is>
          <x:t xml:space="preserve">BA retest</x:t>
        </x:is>
      </x:c>
      <x:c r="N21" s="15" t="str"/>
    </x:row>
    <x:row r="22" ht="46" customHeight="1">
      <x:c r="A22" s="15" t="inlineStr">
        <x:is>
          <x:t xml:space="preserve">DEV-0304</x:t>
        </x:is>
      </x:c>
      <x:c r="B22" s="15" t="inlineStr">
        <x:is>
          <x:t xml:space="preserve">Phase 3</x:t>
        </x:is>
      </x:c>
      <x:c r="C22" s="15" t="inlineStr">
        <x:is>
          <x:t xml:space="preserve">Milestone Dates</x:t>
        </x:is>
      </x:c>
      <x:c r="D22" s="15" t="inlineStr">
        <x:is>
          <x:t xml:space="preserve">Implement manual dates and derived MIN/MAX mode when releases are linked</x:t>
        </x:is>
      </x:c>
      <x:c r="E22" s="15" t="inlineStr">
        <x:is>
          <x:t xml:space="preserve">Milestone SRS</x:t>
        </x:is>
      </x:c>
      <x:c r="F22" s="15" t="inlineStr">
        <x:is>
          <x:t xml:space="preserve">DEV-0303</x:t>
        </x:is>
      </x:c>
      <x:c r="G22" s="15" t="inlineStr">
        <x:is>
          <x:t xml:space="preserve">P0</x:t>
        </x:is>
      </x:c>
      <x:c r="H22" s="31" t="inlineStr">
        <x:is>
          <x:t xml:space="preserve">Ready</x:t>
        </x:is>
      </x:c>
      <x:c r="I22" s="15" t="inlineStr">
        <x:is>
          <x:t xml:space="preserve">FE DEV</x:t>
        </x:is>
      </x:c>
      <x:c r="J22" s="74" t="n">
        <x:v>46241</x:v>
      </x:c>
      <x:c r="K22" s="74" t="n">
        <x:v>46246</x:v>
      </x:c>
      <x:c r="L22" s="15" t="inlineStr">
        <x:is>
          <x:t xml:space="preserve">Linked releases make dates read-only; unlinking all restores manual editing</x:t>
        </x:is>
      </x:c>
      <x:c r="M22" s="15" t="inlineStr">
        <x:is>
          <x:t xml:space="preserve">BA retest</x:t>
        </x:is>
      </x:c>
      <x:c r="N22" s="15" t="str"/>
    </x:row>
    <x:row r="23" ht="46" customHeight="1">
      <x:c r="A23" s="15" t="inlineStr">
        <x:is>
          <x:t xml:space="preserve">DEV-0305</x:t>
        </x:is>
      </x:c>
      <x:c r="B23" s="15" t="inlineStr">
        <x:is>
          <x:t xml:space="preserve">Phase 3</x:t>
        </x:is>
      </x:c>
      <x:c r="C23" s="15" t="inlineStr">
        <x:is>
          <x:t xml:space="preserve">Related Milestones</x:t>
        </x:is>
      </x:c>
      <x:c r="D23" s="15" t="inlineStr">
        <x:is>
          <x:t xml:space="preserve">Filter work-item Milestone dropdown using the selected Release relationship</x:t>
        </x:is>
      </x:c>
      <x:c r="E23" s="15" t="inlineStr">
        <x:is>
          <x:t xml:space="preserve">Release/Milestone SRS</x:t>
        </x:is>
      </x:c>
      <x:c r="F23" s="15" t="inlineStr">
        <x:is>
          <x:t xml:space="preserve">DEV-0302..0304</x:t>
        </x:is>
      </x:c>
      <x:c r="G23" s="15" t="inlineStr">
        <x:is>
          <x:t xml:space="preserve">P1</x:t>
        </x:is>
      </x:c>
      <x:c r="H23" s="31" t="inlineStr">
        <x:is>
          <x:t xml:space="preserve">Ready</x:t>
        </x:is>
      </x:c>
      <x:c r="I23" s="15" t="inlineStr">
        <x:is>
          <x:t xml:space="preserve">FE DEV</x:t>
        </x:is>
      </x:c>
      <x:c r="J23" s="74" t="n">
        <x:v>46244</x:v>
      </x:c>
      <x:c r="K23" s="74" t="n">
        <x:v>46246</x:v>
      </x:c>
      <x:c r="L23" s="15" t="inlineStr">
        <x:is>
          <x:t xml:space="preserve">Only related milestones are suggested while explicit existing links remain visible</x:t>
        </x:is>
      </x:c>
      <x:c r="M23" s="15" t="inlineStr">
        <x:is>
          <x:t xml:space="preserve">BA retest</x:t>
        </x:is>
      </x:c>
      <x:c r="N23" s="15" t="str"/>
    </x:row>
    <x:row r="24" ht="46" customHeight="1">
      <x:c r="A24" s="15" t="inlineStr">
        <x:is>
          <x:t xml:space="preserve">DEV-0306</x:t>
        </x:is>
      </x:c>
      <x:c r="B24" s="15" t="inlineStr">
        <x:is>
          <x:t xml:space="preserve">Phase 3</x:t>
        </x:is>
      </x:c>
      <x:c r="C24" s="15" t="inlineStr">
        <x:is>
          <x:t xml:space="preserve">Quality</x:t>
        </x:is>
      </x:c>
      <x:c r="D24" s="15" t="inlineStr">
        <x:is>
          <x:t xml:space="preserve">Keep separate Defect State plus common mirrored Flow/Schedule lifecycle</x:t>
        </x:is>
      </x:c>
      <x:c r="E24" s="15" t="inlineStr">
        <x:is>
          <x:t xml:space="preserve">Quality/Defect SRS</x:t>
        </x:is>
      </x:c>
      <x:c r="F24" s="15" t="inlineStr">
        <x:is>
          <x:t xml:space="preserve">DEV-0102</x:t>
        </x:is>
      </x:c>
      <x:c r="G24" s="15" t="inlineStr">
        <x:is>
          <x:t xml:space="preserve">P1</x:t>
        </x:is>
      </x:c>
      <x:c r="H24" s="31" t="inlineStr">
        <x:is>
          <x:t xml:space="preserve">Ready</x:t>
        </x:is>
      </x:c>
      <x:c r="I24" s="15" t="inlineStr">
        <x:is>
          <x:t xml:space="preserve">FE DEV</x:t>
        </x:is>
      </x:c>
      <x:c r="J24" s="74" t="n">
        <x:v>46244</x:v>
      </x:c>
      <x:c r="K24" s="74" t="n">
        <x:v>46247</x:v>
      </x:c>
      <x:c r="L24" s="15" t="inlineStr">
        <x:is>
          <x:t xml:space="preserve">Defect-specific and common state fields do not overwrite each other</x:t>
        </x:is>
      </x:c>
      <x:c r="M24" s="15" t="inlineStr">
        <x:is>
          <x:t xml:space="preserve">BA retest</x:t>
        </x:is>
      </x:c>
      <x:c r="N24" s="15" t="str"/>
    </x:row>
    <x:row r="25" ht="46" customHeight="1">
      <x:c r="A25" s="15" t="inlineStr">
        <x:is>
          <x:t xml:space="preserve">DEV-0307</x:t>
        </x:is>
      </x:c>
      <x:c r="B25" s="15" t="inlineStr">
        <x:is>
          <x:t xml:space="preserve">Phase 3</x:t>
        </x:is>
      </x:c>
      <x:c r="C25" s="15" t="inlineStr">
        <x:is>
          <x:t xml:space="preserve">Navigation</x:t>
        </x:is>
      </x:c>
      <x:c r="D25" s="15" t="inlineStr">
        <x:is>
          <x:t xml:space="preserve">Keep Release management under Plan &gt; Timeboxes and Portfolio &gt; Release Planning as Phase 5 placeholder</x:t>
        </x:is>
      </x:c>
      <x:c r="E25" s="15" t="inlineStr">
        <x:is>
          <x:t xml:space="preserve">Navigation SRS/mockup</x:t>
        </x:is>
      </x:c>
      <x:c r="F25" s="15" t="inlineStr">
        <x:is>
          <x:t xml:space="preserve">DEV-0001</x:t>
        </x:is>
      </x:c>
      <x:c r="G25" s="15" t="inlineStr">
        <x:is>
          <x:t xml:space="preserve">P1</x:t>
        </x:is>
      </x:c>
      <x:c r="H25" s="31" t="inlineStr">
        <x:is>
          <x:t xml:space="preserve">Ready</x:t>
        </x:is>
      </x:c>
      <x:c r="I25" s="15" t="inlineStr">
        <x:is>
          <x:t xml:space="preserve">FE DEV</x:t>
        </x:is>
      </x:c>
      <x:c r="J25" s="74" t="n">
        <x:v>46246</x:v>
      </x:c>
      <x:c r="K25" s="74" t="n">
        <x:v>46247</x:v>
      </x:c>
      <x:c r="L25" s="15" t="inlineStr">
        <x:is>
          <x:t xml:space="preserve">Navigation matches the confirmed phase boundary</x:t>
        </x:is>
      </x:c>
      <x:c r="M25" s="15" t="inlineStr">
        <x:is>
          <x:t xml:space="preserve">BA retest</x:t>
        </x:is>
      </x:c>
      <x:c r="N25" s="15" t="str"/>
    </x:row>
    <x:row r="26" ht="46" customHeight="1">
      <x:c r="A26" s="15" t="inlineStr">
        <x:is>
          <x:t xml:space="preserve">DEV-0308</x:t>
        </x:is>
      </x:c>
      <x:c r="B26" s="15" t="inlineStr">
        <x:is>
          <x:t xml:space="preserve">Phase 3</x:t>
        </x:is>
      </x:c>
      <x:c r="C26" s="15" t="inlineStr">
        <x:is>
          <x:t xml:space="preserve">Regression</x:t>
        </x:is>
      </x:c>
      <x:c r="D26" s="15" t="inlineStr">
        <x:is>
          <x:t xml:space="preserve">Add/update FE tests for Team Status, Release/Milestone and Quality</x:t>
        </x:is>
      </x:c>
      <x:c r="E26" s="15" t="inlineStr">
        <x:is>
          <x:t xml:space="preserve">Phase 3 test scenarios</x:t>
        </x:is>
      </x:c>
      <x:c r="F26" s="15" t="inlineStr">
        <x:is>
          <x:t xml:space="preserve">DEV-0301..0307</x:t>
        </x:is>
      </x:c>
      <x:c r="G26" s="15" t="inlineStr">
        <x:is>
          <x:t xml:space="preserve">P1</x:t>
        </x:is>
      </x:c>
      <x:c r="H26" s="31" t="inlineStr">
        <x:is>
          <x:t xml:space="preserve">Ready</x:t>
        </x:is>
      </x:c>
      <x:c r="I26" s="15" t="inlineStr">
        <x:is>
          <x:t xml:space="preserve">DEV/QA</x:t>
        </x:is>
      </x:c>
      <x:c r="J26" s="74" t="n">
        <x:v>46247</x:v>
      </x:c>
      <x:c r="K26" s="74" t="n">
        <x:v>46248</x:v>
      </x:c>
      <x:c r="L26" s="15" t="inlineStr">
        <x:is>
          <x:t xml:space="preserve">Phase 3 scenarios pass with evidence</x:t>
        </x:is>
      </x:c>
      <x:c r="M26" s="15" t="inlineStr">
        <x:is>
          <x:t xml:space="preserve">DevInt sign-off</x:t>
        </x:is>
      </x:c>
      <x:c r="N26" s="15" t="str"/>
    </x:row>
    <x:row r="27" ht="46" customHeight="1">
      <x:c r="A27" s="15" t="inlineStr">
        <x:is>
          <x:t xml:space="preserve">DEV-0401</x:t>
        </x:is>
      </x:c>
      <x:c r="B27" s="15" t="inlineStr">
        <x:is>
          <x:t xml:space="preserve">Phase 4</x:t>
        </x:is>
      </x:c>
      <x:c r="C27" s="15" t="inlineStr">
        <x:is>
          <x:t xml:space="preserve">Notifications</x:t>
        </x:is>
      </x:c>
      <x:c r="D27" s="15" t="inlineStr">
        <x:is>
          <x:t xml:space="preserve">Implement notification list, read/unread behavior and deep links</x:t>
        </x:is>
      </x:c>
      <x:c r="E27" s="15" t="inlineStr">
        <x:is>
          <x:t xml:space="preserve">Notifications SRS/mockup</x:t>
        </x:is>
      </x:c>
      <x:c r="F27" s="15" t="inlineStr">
        <x:is>
          <x:t xml:space="preserve">Phase 0-3 stable</x:t>
        </x:is>
      </x:c>
      <x:c r="G27" s="15" t="inlineStr">
        <x:is>
          <x:t xml:space="preserve">P1</x:t>
        </x:is>
      </x:c>
      <x:c r="H27" s="22" t="inlineStr">
        <x:is>
          <x:t xml:space="preserve">Planned</x:t>
        </x:is>
      </x:c>
      <x:c r="I27" s="15" t="inlineStr">
        <x:is>
          <x:t xml:space="preserve">FE DEV</x:t>
        </x:is>
      </x:c>
      <x:c r="J27" s="74" t="n">
        <x:v>46244</x:v>
      </x:c>
      <x:c r="K27" s="74" t="n">
        <x:v>46251</x:v>
      </x:c>
      <x:c r="L27" s="15" t="inlineStr">
        <x:is>
          <x:t xml:space="preserve">All confirmed triggers and target routes pass UAT</x:t>
        </x:is>
      </x:c>
      <x:c r="M27" s="15" t="inlineStr">
        <x:is>
          <x:t xml:space="preserve">DevInt</x:t>
        </x:is>
      </x:c>
      <x:c r="N27" s="15" t="str"/>
    </x:row>
    <x:row r="28" ht="46" customHeight="1">
      <x:c r="A28" s="15" t="inlineStr">
        <x:is>
          <x:t xml:space="preserve">DEV-0402</x:t>
        </x:is>
      </x:c>
      <x:c r="B28" s="15" t="inlineStr">
        <x:is>
          <x:t xml:space="preserve">Phase 4</x:t>
        </x:is>
      </x:c>
      <x:c r="C28" s="15" t="inlineStr">
        <x:is>
          <x:t xml:space="preserve">RBAC</x:t>
        </x:is>
      </x:c>
      <x:c r="D28" s="15" t="inlineStr">
        <x:is>
          <x:t xml:space="preserve">Implement role-aware visibility and action authorization feedback</x:t>
        </x:is>
      </x:c>
      <x:c r="E28" s="15" t="inlineStr">
        <x:is>
          <x:t xml:space="preserve">Roles &amp; Permissions SRS</x:t>
        </x:is>
      </x:c>
      <x:c r="F28" s="15" t="inlineStr">
        <x:is>
          <x:t xml:space="preserve">DEV-0001</x:t>
        </x:is>
      </x:c>
      <x:c r="G28" s="15" t="inlineStr">
        <x:is>
          <x:t xml:space="preserve">P0</x:t>
        </x:is>
      </x:c>
      <x:c r="H28" s="22" t="inlineStr">
        <x:is>
          <x:t xml:space="preserve">Planned</x:t>
        </x:is>
      </x:c>
      <x:c r="I28" s="15" t="inlineStr">
        <x:is>
          <x:t xml:space="preserve">FE DEV</x:t>
        </x:is>
      </x:c>
      <x:c r="J28" s="74" t="n">
        <x:v>46244</x:v>
      </x:c>
      <x:c r="K28" s="74" t="n">
        <x:v>46253</x:v>
      </x:c>
      <x:c r="L28" s="15" t="inlineStr">
        <x:is>
          <x:t xml:space="preserve">Role matrix is enforced consistently on every relevant screen/action</x:t>
        </x:is>
      </x:c>
      <x:c r="M28" s="15" t="inlineStr">
        <x:is>
          <x:t xml:space="preserve">Security/UAT review</x:t>
        </x:is>
      </x:c>
      <x:c r="N28" s="15" t="str"/>
    </x:row>
    <x:row r="29" ht="46" customHeight="1">
      <x:c r="A29" s="15" t="inlineStr">
        <x:is>
          <x:t xml:space="preserve">DEV-0403</x:t>
        </x:is>
      </x:c>
      <x:c r="B29" s="15" t="inlineStr">
        <x:is>
          <x:t xml:space="preserve">Phase 4</x:t>
        </x:is>
      </x:c>
      <x:c r="C29" s="15" t="inlineStr">
        <x:is>
          <x:t xml:space="preserve">Settings</x:t>
        </x:is>
      </x:c>
      <x:c r="D29" s="15" t="inlineStr">
        <x:is>
          <x:t xml:space="preserve">Implement confirmed settings screens and validation</x:t>
        </x:is>
      </x:c>
      <x:c r="E29" s="15" t="inlineStr">
        <x:is>
          <x:t xml:space="preserve">Settings &amp; Audit SRS</x:t>
        </x:is>
      </x:c>
      <x:c r="F29" s="15" t="inlineStr">
        <x:is>
          <x:t xml:space="preserve">DEV-0402</x:t>
        </x:is>
      </x:c>
      <x:c r="G29" s="15" t="inlineStr">
        <x:is>
          <x:t xml:space="preserve">P1</x:t>
        </x:is>
      </x:c>
      <x:c r="H29" s="22" t="inlineStr">
        <x:is>
          <x:t xml:space="preserve">Planned</x:t>
        </x:is>
      </x:c>
      <x:c r="I29" s="15" t="inlineStr">
        <x:is>
          <x:t xml:space="preserve">FE DEV</x:t>
        </x:is>
      </x:c>
      <x:c r="J29" s="74" t="n">
        <x:v>46251</x:v>
      </x:c>
      <x:c r="K29" s="74" t="n">
        <x:v>46255</x:v>
      </x:c>
      <x:c r="L29" s="15" t="inlineStr">
        <x:is>
          <x:t xml:space="preserve">Settings behavior matches permissions and business validation</x:t>
        </x:is>
      </x:c>
      <x:c r="M29" s="15" t="inlineStr">
        <x:is>
          <x:t xml:space="preserve">DevInt</x:t>
        </x:is>
      </x:c>
      <x:c r="N29" s="15" t="str"/>
    </x:row>
    <x:row r="30" ht="46" customHeight="1">
      <x:c r="A30" s="15" t="inlineStr">
        <x:is>
          <x:t xml:space="preserve">DEV-0404</x:t>
        </x:is>
      </x:c>
      <x:c r="B30" s="15" t="inlineStr">
        <x:is>
          <x:t xml:space="preserve">Phase 4</x:t>
        </x:is>
      </x:c>
      <x:c r="C30" s="15" t="inlineStr">
        <x:is>
          <x:t xml:space="preserve">Audit</x:t>
        </x:is>
      </x:c>
      <x:c r="D30" s="15" t="inlineStr">
        <x:is>
          <x:t xml:space="preserve">Implement audit list/filter/detail UX for confirmed events</x:t>
        </x:is>
      </x:c>
      <x:c r="E30" s="15" t="inlineStr">
        <x:is>
          <x:t xml:space="preserve">Settings &amp; Audit SRS</x:t>
        </x:is>
      </x:c>
      <x:c r="F30" s="15" t="inlineStr">
        <x:is>
          <x:t xml:space="preserve">DEV-0402..0403</x:t>
        </x:is>
      </x:c>
      <x:c r="G30" s="15" t="inlineStr">
        <x:is>
          <x:t xml:space="preserve">P1</x:t>
        </x:is>
      </x:c>
      <x:c r="H30" s="22" t="inlineStr">
        <x:is>
          <x:t xml:space="preserve">Planned</x:t>
        </x:is>
      </x:c>
      <x:c r="I30" s="15" t="inlineStr">
        <x:is>
          <x:t xml:space="preserve">FE DEV</x:t>
        </x:is>
      </x:c>
      <x:c r="J30" s="74" t="n">
        <x:v>46253</x:v>
      </x:c>
      <x:c r="K30" s="74" t="n">
        <x:v>46259</x:v>
      </x:c>
      <x:c r="L30" s="15" t="inlineStr">
        <x:is>
          <x:t xml:space="preserve">Auditable actions are visible with actor, action, target and time</x:t>
        </x:is>
      </x:c>
      <x:c r="M30" s="15" t="inlineStr">
        <x:is>
          <x:t xml:space="preserve">DevInt</x:t>
        </x:is>
      </x:c>
      <x:c r="N30" s="15" t="str"/>
    </x:row>
    <x:row r="31" ht="46" customHeight="1">
      <x:c r="A31" s="15" t="inlineStr">
        <x:is>
          <x:t xml:space="preserve">DEV-0405</x:t>
        </x:is>
      </x:c>
      <x:c r="B31" s="15" t="inlineStr">
        <x:is>
          <x:t xml:space="preserve">Phase 4</x:t>
        </x:is>
      </x:c>
      <x:c r="C31" s="15" t="inlineStr">
        <x:is>
          <x:t xml:space="preserve">Regression</x:t>
        </x:is>
      </x:c>
      <x:c r="D31" s="15" t="inlineStr">
        <x:is>
          <x:t xml:space="preserve">Add FE/component/E2E tests for Phase 4 governance</x:t>
        </x:is>
      </x:c>
      <x:c r="E31" s="15" t="inlineStr">
        <x:is>
          <x:t xml:space="preserve">Phase 4 test scenarios</x:t>
        </x:is>
      </x:c>
      <x:c r="F31" s="15" t="inlineStr">
        <x:is>
          <x:t xml:space="preserve">DEV-0401..0404</x:t>
        </x:is>
      </x:c>
      <x:c r="G31" s="15" t="inlineStr">
        <x:is>
          <x:t xml:space="preserve">P1</x:t>
        </x:is>
      </x:c>
      <x:c r="H31" s="22" t="inlineStr">
        <x:is>
          <x:t xml:space="preserve">Planned</x:t>
        </x:is>
      </x:c>
      <x:c r="I31" s="15" t="inlineStr">
        <x:is>
          <x:t xml:space="preserve">DEV/QA</x:t>
        </x:is>
      </x:c>
      <x:c r="J31" s="74" t="n">
        <x:v>46258</x:v>
      </x:c>
      <x:c r="K31" s="74" t="n">
        <x:v>46262</x:v>
      </x:c>
      <x:c r="L31" s="15" t="inlineStr">
        <x:is>
          <x:t xml:space="preserve">Phase 4 critical path passes before handoff</x:t>
        </x:is>
      </x:c>
      <x:c r="M31" s="15" t="inlineStr">
        <x:is>
          <x:t xml:space="preserve">UAT sign-off</x:t>
        </x:is>
      </x:c>
      <x:c r="N31" s="15" t="str"/>
    </x:row>
    <x:row r="32" ht="54" customHeight="1">
      <x:c r="A32" s="15" t="str">
        <x:v>DEV-0501</x:v>
      </x:c>
      <x:c r="B32" s="15" t="inlineStr">
        <x:is>
          <x:t xml:space="preserve">Phase 5</x:t>
        </x:is>
      </x:c>
      <x:c r="C32" s="15" t="str">
        <x:v>Portfolio Items</x:v>
      </x:c>
      <x:c r="D32" s="15" t="str">
        <x:v>Implement production Portfolio Items from the closed Phase 5 handoff</x:v>
      </x:c>
      <x:c r="E32" s="15" t="str">
        <x:v>Phase 5/PHASE5_DEV_HANDOFF.md</x:v>
      </x:c>
      <x:c r="F32" s="15" t="str">
        <x:v>BA-0501 + Phase 5 close</x:v>
      </x:c>
      <x:c r="G32" s="15" t="inlineStr">
        <x:is>
          <x:t xml:space="preserve">P0</x:t>
        </x:is>
      </x:c>
      <x:c r="H32" s="34" t="str">
        <x:v>Ready</x:v>
      </x:c>
      <x:c r="I32" s="15" t="inlineStr">
        <x:is>
          <x:t xml:space="preserve">FE DEV</x:t>
        </x:is>
      </x:c>
      <x:c r="J32" s="74" t="n"/>
      <x:c r="K32" s="74" t="n"/>
      <x:c r="L32" s="15" t="str">
        <x:v>Epic/Feature persistence, project scope, archive and leaf rollups pass DevInt</x:v>
      </x:c>
      <x:c r="M32" s="15" t="str">
        <x:v>DevInt</x:v>
      </x:c>
      <x:c r="N32" s="15" t="str">
        <x:v>Mockup acceptance is not production evidence</x:v>
      </x:c>
    </x:row>
    <x:row r="33" ht="54" customHeight="1">
      <x:c r="A33" s="15" t="str">
        <x:v>DEV-F501</x:v>
      </x:c>
      <x:c r="B33" s="15" t="str">
        <x:v>Future</x:v>
      </x:c>
      <x:c r="C33" s="15" t="str">
        <x:v>Release Planning</x:v>
      </x:c>
      <x:c r="D33" s="15" t="str">
        <x:v>Do not implement until BA re-promotes Release Planning</x:v>
      </x:c>
      <x:c r="E33" s="15" t="str">
        <x:v>Future_Backlog</x:v>
      </x:c>
      <x:c r="F33" s="15" t="str">
        <x:v>PO approval</x:v>
      </x:c>
      <x:c r="G33" s="15" t="str">
        <x:v>P3</x:v>
      </x:c>
      <x:c r="H33" s="34" t="str">
        <x:v>Future Backlog</x:v>
      </x:c>
      <x:c r="I33" s="15" t="str">
        <x:v>DEV</x:v>
      </x:c>
      <x:c r="J33" s="74" t="n"/>
      <x:c r="K33" s="74" t="n"/>
      <x:c r="L33" s="15" t="str">
        <x:v>No hidden or partial Release Planning implementation enters active navigation</x:v>
      </x:c>
      <x:c r="M33" s="15" t="str">
        <x:v>Future backlog review</x:v>
      </x:c>
      <x:c r="N33" s="15" t="str">
        <x:v>Excluded from closed Phase 5</x:v>
      </x:c>
    </x:row>
    <x:row r="34" ht="54" customHeight="1">
      <x:c r="A34" s="15" t="str">
        <x:v>DEV-F502</x:v>
      </x:c>
      <x:c r="B34" s="15" t="str">
        <x:v>Future</x:v>
      </x:c>
      <x:c r="C34" s="15" t="str">
        <x:v>Release Tracking</x:v>
      </x:c>
      <x:c r="D34" s="15" t="str">
        <x:v>Historical Phase 5 deferral; use the current Phase 6 Release Tracking SRS for any implementation</x:v>
      </x:c>
      <x:c r="E34" s="15" t="str">
        <x:v>Phase 6/01_Release_Tracking/SRS.md</x:v>
      </x:c>
      <x:c r="F34" s="15" t="str">
        <x:v>Phase 6 DEV prioritization</x:v>
      </x:c>
      <x:c r="G34" s="15" t="str">
        <x:v>P0</x:v>
      </x:c>
      <x:c r="H34" s="34" t="str">
        <x:v>Superseded</x:v>
      </x:c>
      <x:c r="I34" s="15" t="str">
        <x:v>DEV</x:v>
      </x:c>
      <x:c r="J34" s="74"/>
      <x:c r="K34" s="74"/>
      <x:c r="L34" s="15" t="str">
        <x:v>No implementation should follow the obsolete Phase 5 exclusion wording</x:v>
      </x:c>
      <x:c r="M34" s="15" t="str">
        <x:v>Phase 6 DEV handoff</x:v>
      </x:c>
      <x:c r="N34" s="15" t="str">
        <x:v>Production scope is now defined; scheduling remains DEV-owned</x:v>
      </x:c>
    </x:row>
    <x:row r="35" ht="54" customHeight="1">
      <x:c r="A35" s="15" t="str">
        <x:v>DEV-0502</x:v>
      </x:c>
      <x:c r="B35" s="15" t="str">
        <x:v>Phase 5</x:v>
      </x:c>
      <x:c r="C35" s="15" t="str">
        <x:v>Portfolio Integration</x:v>
      </x:c>
      <x:c r="D35" s="15" t="str">
        <x:v>Integrate Epic/Feature identity and leaf rollups with Work Item, Backlog, Iteration and Task flows</x:v>
      </x:c>
      <x:c r="E35" s="15" t="str">
        <x:v>Phase 5/PHASE5_DEV_HANDOFF.md</x:v>
      </x:c>
      <x:c r="F35" s="15" t="str">
        <x:v>DEV-0501</x:v>
      </x:c>
      <x:c r="G35" s="15" t="str">
        <x:v>P0</x:v>
      </x:c>
      <x:c r="H35" s="28" t="str">
        <x:v>Ready</x:v>
      </x:c>
      <x:c r="I35" s="15" t="str">
        <x:v>FE DEV</x:v>
      </x:c>
      <x:c r="J35" s="74"/>
      <x:c r="K35" s="74"/>
      <x:c r="L35" s="15" t="str">
        <x:v>One shared record model drives every surface and cross-project links are rejected</x:v>
      </x:c>
      <x:c r="M35" s="15" t="str">
        <x:v>DevInt</x:v>
      </x:c>
      <x:c r="N35" s="15" t="str">
        <x:v>Includes Feature field, Unscheduled Backlog behavior and shared Task hour rules</x:v>
      </x:c>
    </x:row>
    <x:row r="36" ht="54" customHeight="1">
      <x:c r="A36" s="15" t="str">
        <x:v>DEV-0503</x:v>
      </x:c>
      <x:c r="B36" s="15" t="str">
        <x:v>Phase 5</x:v>
      </x:c>
      <x:c r="C36" s="15" t="str">
        <x:v>Capacity Planning</x:v>
      </x:c>
      <x:c r="D36" s="15" t="str">
        <x:v>Implement production single-Release Team capacity planning</x:v>
      </x:c>
      <x:c r="E36" s="15" t="str">
        <x:v>Phase 5/PHASE5_DEV_HANDOFF.md</x:v>
      </x:c>
      <x:c r="F36" s="15" t="str">
        <x:v>DEV-0501 + Timebox Release registry</x:v>
      </x:c>
      <x:c r="G36" s="15" t="str">
        <x:v>P0</x:v>
      </x:c>
      <x:c r="H36" s="28" t="str">
        <x:v>Ready</x:v>
      </x:c>
      <x:c r="I36" s="15" t="str">
        <x:v>FE DEV</x:v>
      </x:c>
      <x:c r="J36" s="74"/>
      <x:c r="K36" s="74"/>
      <x:c r="L36" s="15" t="str">
        <x:v>Plan lifecycle, Team capacity, split allocations, metrics, warnings and publish pass DevInt</x:v>
      </x:c>
      <x:c r="M36" s="15" t="str">
        <x:v>DevInt</x:v>
      </x:c>
      <x:c r="N36" s="15" t="str">
        <x:v>Publish may update Feature Release/planned dates only; never Project/Team or child Story/Defect</x:v>
      </x:c>
    </x:row>
    <x:row r="37" ht="54" customHeight="1">
      <x:c r="A37" s="15" t="str">
        <x:v>DEV-0504</x:v>
      </x:c>
      <x:c r="B37" s="15" t="str">
        <x:v>Phase 5</x:v>
      </x:c>
      <x:c r="C37" s="15" t="str">
        <x:v>Authorization</x:v>
      </x:c>
      <x:c r="D37" s="15" t="str">
        <x:v>Enforce Portfolio and Capacity Project/Team scope plus temporary planner Full/View server-side</x:v>
      </x:c>
      <x:c r="E37" s="15" t="str">
        <x:v>Phase 5/PHASE5_DEV_HANDOFF.md</x:v>
      </x:c>
      <x:c r="F37" s="15" t="str">
        <x:v>DEV-0501 + DEV-0503 + Phase 4 RBAC</x:v>
      </x:c>
      <x:c r="G37" s="15" t="str">
        <x:v>P0</x:v>
      </x:c>
      <x:c r="H37" s="25" t="str">
        <x:v>Ready</x:v>
      </x:c>
      <x:c r="I37" s="15" t="str">
        <x:v>FE/BE DEV</x:v>
      </x:c>
      <x:c r="J37" s="74"/>
      <x:c r="K37" s="74"/>
      <x:c r="L37" s="15" t="str">
        <x:v>Workspace Admin, managed/unmanaged Project Admin and Project Member negative paths pass</x:v>
      </x:c>
      <x:c r="M37" s="15" t="str">
        <x:v>Security/DevInt</x:v>
      </x:c>
      <x:c r="N37" s="15" t="str">
        <x:v>Control visibility is not authorization evidence</x:v>
      </x:c>
    </x:row>
    <x:row r="38" ht="54" customHeight="1">
      <x:c r="A38" s="57" t="str">
        <x:v>DEV-0505</x:v>
      </x:c>
      <x:c r="B38" s="57" t="str">
        <x:v>Phase 5</x:v>
      </x:c>
      <x:c r="C38" s="57" t="str">
        <x:v>Regression</x:v>
      </x:c>
      <x:c r="D38" s="57" t="str">
        <x:v>Add Phase 5 service/component/E2E and authorization coverage</x:v>
      </x:c>
      <x:c r="E38" s="57" t="str">
        <x:v>Phase 5 test scenarios + PHASE5_DEV_HANDOFF.md</x:v>
      </x:c>
      <x:c r="F38" s="57" t="str">
        <x:v>DEV-0501..0504</x:v>
      </x:c>
      <x:c r="G38" s="57" t="str">
        <x:v>P0</x:v>
      </x:c>
      <x:c r="H38" s="59" t="str">
        <x:v>Ready</x:v>
      </x:c>
      <x:c r="I38" s="57" t="str">
        <x:v>DEV/QA</x:v>
      </x:c>
      <x:c r="J38" s="75"/>
      <x:c r="K38" s="75"/>
      <x:c r="L38" s="57" t="str">
        <x:v>Portfolio/Capacity critical, negative, publish and cross-module regression paths pass</x:v>
      </x:c>
      <x:c r="M38" s="57" t="str">
        <x:v>UAT sign-off</x:v>
      </x:c>
      <x:c r="N38" s="57" t="str">
        <x:v>Historical Not Run/Partial mockup cases are required production acceptance coverage</x:v>
      </x:c>
    </x:row>
    <x:row r="39" ht="54" customHeight="1">
      <x:c r="A39" s="57" t="str">
        <x:v>DEV-G003</x:v>
      </x:c>
      <x:c r="B39" s="57" t="str">
        <x:v>Future</x:v>
      </x:c>
      <x:c r="C39" s="57" t="str">
        <x:v>Deferred UI</x:v>
      </x:c>
      <x:c r="D39" s="57" t="str">
        <x:v>Keep only still-deferred UI out of active navigation: Team/Iteration boards, Release Planning, Theme/deeper hierarchy and other Future Backlog items</x:v>
      </x:c>
      <x:c r="E39" s="57" t="str">
        <x:v>Future Backlog</x:v>
      </x:c>
      <x:c r="F39" s="57" t="str">
        <x:v>PO approval</x:v>
      </x:c>
      <x:c r="G39" s="57" t="str">
        <x:v>P3</x:v>
      </x:c>
      <x:c r="H39" s="61" t="str">
        <x:v>Future Backlog</x:v>
      </x:c>
      <x:c r="I39" s="57" t="str">
        <x:v>DEV</x:v>
      </x:c>
      <x:c r="J39" s="75"/>
      <x:c r="K39" s="75"/>
      <x:c r="L39" s="57" t="str">
        <x:v>No hidden or partial deferred feature enters active navigation</x:v>
      </x:c>
      <x:c r="M39" s="57" t="str">
        <x:v>Quarterly review</x:v>
      </x:c>
      <x:c r="N39" s="57" t="str">
        <x:v>Reports and Release Tracking were promoted to Phase 6 and are no longer covered by this deferral</x:v>
      </x:c>
    </x:row>
  </x:sheetData>
  <x:mergeCells>
    <x:mergeCell ref="A2:N2"/>
    <x:mergeCell ref="A1:N1"/>
  </x:mergeCells>
  <x:dataValidations count="4">
    <x:dataValidation type="list" allowBlank="0" showDropDown="0" showInputMessage="0" showErrorMessage="0" sqref="G5:G37">
      <x:formula1>"P0,P1,P2,P3"</x:formula1>
    </x:dataValidation>
    <x:dataValidation type="list" allowBlank="0" showDropDown="0" showInputMessage="0" showErrorMessage="0" sqref="H5:H37">
      <x:formula1>"Done,In Progress,Ready,Planned,Future Backlog,Blocked,Needs BA"</x:formula1>
    </x:dataValidation>
    <x:dataValidation type="list" allowBlank="0" showDropDown="0" showInputMessage="0" showErrorMessage="0" sqref="G38:G39">
      <x:formula1>"P0,P1,P2,P3"</x:formula1>
    </x:dataValidation>
    <x:dataValidation type="list" allowBlank="0" showDropDown="0" showInputMessage="0" showErrorMessage="0" sqref="H38:H39">
      <x:formula1>"Done,In Progress,Ready,Planned,Needs BA,Future Backlog"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3" customWidth="1"/>
    <x:col min="2" max="2" width="21" customWidth="1"/>
    <x:col min="3" max="3" width="70" customWidth="1"/>
    <x:col min="4" max="4" width="15" customWidth="1"/>
    <x:col min="5" max="5" width="20" customWidth="1"/>
    <x:col min="6" max="6" width="17" customWidth="1"/>
    <x:col min="7" max="7" width="34" customWidth="1"/>
  </x:cols>
  <x:sheetData>
    <x:row r="1" ht="32" customHeight="1">
      <x:c r="A1" s="3" t="inlineStr">
        <x:is>
          <x:t xml:space="preserve">MINI RALLY — DECISION &amp; DEPENDENCY LOG</x:t>
        </x:is>
      </x:c>
    </x:row>
    <x:row r="2" ht="27" customHeight="1">
      <x:c r="A2" s="6" t="str">
        <x:v>Confirmed cross-phase rules plus Phase 6 Reports proposals and decisions that BA, UX and UAT must follow</x:v>
      </x:c>
    </x:row>
    <x:row r="4" ht="32" customHeight="1">
      <x:c r="A4" s="11" t="inlineStr">
        <x:is>
          <x:t xml:space="preserve">Decision ID</x:t>
        </x:is>
      </x:c>
      <x:c r="B4" s="11" t="inlineStr">
        <x:is>
          <x:t xml:space="preserve">Area</x:t>
        </x:is>
      </x:c>
      <x:c r="C4" s="11" t="inlineStr">
        <x:is>
          <x:t xml:space="preserve">Confirmed Decision</x:t>
        </x:is>
      </x:c>
      <x:c r="D4" s="11" t="inlineStr">
        <x:is>
          <x:t xml:space="preserve">Status</x:t>
        </x:is>
      </x:c>
      <x:c r="E4" s="11" t="inlineStr">
        <x:is>
          <x:t xml:space="preserve">Impact</x:t>
        </x:is>
      </x:c>
      <x:c r="F4" s="11" t="inlineStr">
        <x:is>
          <x:t xml:space="preserve">Owner</x:t>
        </x:is>
      </x:c>
      <x:c r="G4" s="11" t="inlineStr">
        <x:is>
          <x:t xml:space="preserve">Primary Source</x:t>
        </x:is>
      </x:c>
    </x:row>
    <x:row r="5" ht="54" customHeight="1">
      <x:c r="A5" s="15" t="inlineStr">
        <x:is>
          <x:t xml:space="preserve">D-001</x:t>
        </x:is>
      </x:c>
      <x:c r="B5" s="15" t="inlineStr">
        <x:is>
          <x:t xml:space="preserve">Project</x:t>
        </x:is>
      </x:c>
      <x:c r="C5" s="15" t="inlineStr">
        <x:is>
          <x:t xml:space="preserve">Product supports multiple projects; context must stay project-scoped</x:t>
        </x:is>
      </x:c>
      <x:c r="D5" s="19" t="inlineStr">
        <x:is>
          <x:t xml:space="preserve">Confirmed</x:t>
        </x:is>
      </x:c>
      <x:c r="E5" s="15" t="inlineStr">
        <x:is>
          <x:t xml:space="preserve">Phase 0-5</x:t>
        </x:is>
      </x:c>
      <x:c r="F5" s="15" t="inlineStr">
        <x:is>
          <x:t xml:space="preserve">BA/DEV</x:t>
        </x:is>
      </x:c>
      <x:c r="G5" s="15" t="inlineStr">
        <x:is>
          <x:t xml:space="preserve">Project SRS</x:t>
        </x:is>
      </x:c>
    </x:row>
    <x:row r="6" ht="54" customHeight="1">
      <x:c r="A6" s="15" t="inlineStr">
        <x:is>
          <x:t xml:space="preserve">D-002</x:t>
        </x:is>
      </x:c>
      <x:c r="B6" s="15" t="inlineStr">
        <x:is>
          <x:t xml:space="preserve">Teams/Users</x:t>
        </x:is>
      </x:c>
      <x:c r="C6" s="15" t="inlineStr">
        <x:is>
          <x:t xml:space="preserve">Teams and User Management live under Settings gear; Manage Projects shows projects only</x:t>
        </x:is>
      </x:c>
      <x:c r="D6" s="19" t="inlineStr">
        <x:is>
          <x:t xml:space="preserve">Confirmed</x:t>
        </x:is>
      </x:c>
      <x:c r="E6" s="15" t="inlineStr">
        <x:is>
          <x:t xml:space="preserve">Phase 0-4</x:t>
        </x:is>
      </x:c>
      <x:c r="F6" s="15" t="inlineStr">
        <x:is>
          <x:t xml:space="preserve">FE DEV</x:t>
        </x:is>
      </x:c>
      <x:c r="G6" s="15" t="inlineStr">
        <x:is>
          <x:t xml:space="preserve">Phase 1 SRS/mockup</x:t>
        </x:is>
      </x:c>
    </x:row>
    <x:row r="7" ht="54" customHeight="1">
      <x:c r="A7" s="15" t="inlineStr">
        <x:is>
          <x:t xml:space="preserve">D-003</x:t>
        </x:is>
      </x:c>
      <x:c r="B7" s="15" t="inlineStr">
        <x:is>
          <x:t xml:space="preserve">Work Item State</x:t>
        </x:is>
      </x:c>
      <x:c r="C7" s="15" t="inlineStr">
        <x:is>
          <x:t xml:space="preserve">Schedule State and Flow State share Idea, Defined, In-Progress, Completed, Accepted, Release and mirror both ways; default Idea</x:t>
        </x:is>
      </x:c>
      <x:c r="D7" s="19" t="inlineStr">
        <x:is>
          <x:t xml:space="preserve">Confirmed</x:t>
        </x:is>
      </x:c>
      <x:c r="E7" s="15" t="inlineStr">
        <x:is>
          <x:t xml:space="preserve">Phase 1-5</x:t>
        </x:is>
      </x:c>
      <x:c r="F7" s="15" t="inlineStr">
        <x:is>
          <x:t xml:space="preserve">FE DEV</x:t>
        </x:is>
      </x:c>
      <x:c r="G7" s="15" t="inlineStr">
        <x:is>
          <x:t xml:space="preserve">Source of truth</x:t>
        </x:is>
      </x:c>
    </x:row>
    <x:row r="8" ht="54" customHeight="1">
      <x:c r="A8" s="15" t="inlineStr">
        <x:is>
          <x:t xml:space="preserve">D-004</x:t>
        </x:is>
      </x:c>
      <x:c r="B8" s="15" t="inlineStr">
        <x:is>
          <x:t xml:space="preserve">Defect</x:t>
        </x:is>
      </x:c>
      <x:c r="C8" s="15" t="inlineStr">
        <x:is>
          <x:t xml:space="preserve">Defect keeps a separate Defect State in addition to common Flow/Schedule states</x:t>
        </x:is>
      </x:c>
      <x:c r="D8" s="19" t="inlineStr">
        <x:is>
          <x:t xml:space="preserve">Confirmed</x:t>
        </x:is>
      </x:c>
      <x:c r="E8" s="15" t="inlineStr">
        <x:is>
          <x:t xml:space="preserve">Phase 3</x:t>
        </x:is>
      </x:c>
      <x:c r="F8" s="15" t="inlineStr">
        <x:is>
          <x:t xml:space="preserve">FE DEV</x:t>
        </x:is>
      </x:c>
      <x:c r="G8" s="15" t="inlineStr">
        <x:is>
          <x:t xml:space="preserve">Quality SRS</x:t>
        </x:is>
      </x:c>
    </x:row>
    <x:row r="9" ht="54" customHeight="1">
      <x:c r="A9" s="15" t="inlineStr">
        <x:is>
          <x:t xml:space="preserve">D-005</x:t>
        </x:is>
      </x:c>
      <x:c r="B9" s="15" t="inlineStr">
        <x:is>
          <x:t xml:space="preserve">Task Roll-up</x:t>
        </x:is>
      </x:c>
      <x:c r="C9" s="15" t="inlineStr">
        <x:is>
          <x:t xml:space="preserve">Task uses Defined, In-Progress, Completed; all completed auto-completes parent; reopen auto-returns parent to In-Progress; manual parent status remains available</x:t>
        </x:is>
      </x:c>
      <x:c r="D9" s="19" t="inlineStr">
        <x:is>
          <x:t xml:space="preserve">Confirmed</x:t>
        </x:is>
      </x:c>
      <x:c r="E9" s="15" t="inlineStr">
        <x:is>
          <x:t xml:space="preserve">Phase 1-3</x:t>
        </x:is>
      </x:c>
      <x:c r="F9" s="15" t="inlineStr">
        <x:is>
          <x:t xml:space="preserve">FE DEV</x:t>
        </x:is>
      </x:c>
      <x:c r="G9" s="15" t="inlineStr">
        <x:is>
          <x:t xml:space="preserve">Task SRS</x:t>
        </x:is>
      </x:c>
    </x:row>
    <x:row r="10" ht="54" customHeight="1">
      <x:c r="A10" s="15" t="inlineStr">
        <x:is>
          <x:t xml:space="preserve">D-006</x:t>
        </x:is>
      </x:c>
      <x:c r="B10" s="15" t="inlineStr">
        <x:is>
          <x:t xml:space="preserve">Iteration</x:t>
        </x:is>
      </x:c>
      <x:c r="C10" s="15" t="inlineStr">
        <x:is>
          <x:t xml:space="preserve">Planning -&gt; Committed -&gt; Accepted; user can always change manually; no status lock and no auto-reverse</x:t>
        </x:is>
      </x:c>
      <x:c r="D10" s="19" t="inlineStr">
        <x:is>
          <x:t xml:space="preserve">Confirmed</x:t>
        </x:is>
      </x:c>
      <x:c r="E10" s="15" t="inlineStr">
        <x:is>
          <x:t xml:space="preserve">Phase 2-3</x:t>
        </x:is>
      </x:c>
      <x:c r="F10" s="15" t="inlineStr">
        <x:is>
          <x:t xml:space="preserve">FE DEV</x:t>
        </x:is>
      </x:c>
      <x:c r="G10" s="15" t="inlineStr">
        <x:is>
          <x:t xml:space="preserve">Iteration SRS</x:t>
        </x:is>
      </x:c>
    </x:row>
    <x:row r="11" ht="54" customHeight="1">
      <x:c r="A11" s="15" t="inlineStr">
        <x:is>
          <x:t xml:space="preserve">D-007</x:t>
        </x:is>
      </x:c>
      <x:c r="B11" s="15" t="inlineStr">
        <x:is>
          <x:t xml:space="preserve">Iteration Scope</x:t>
        </x:is>
      </x:c>
      <x:c r="C11" s="15" t="inlineStr">
        <x:is>
          <x:t xml:space="preserve">US/DE can be added or removed while sprint is running; assignment does not auto-commit and board cards do not auto-move</x:t>
        </x:is>
      </x:c>
      <x:c r="D11" s="19" t="inlineStr">
        <x:is>
          <x:t xml:space="preserve">Confirmed</x:t>
        </x:is>
      </x:c>
      <x:c r="E11" s="15" t="inlineStr">
        <x:is>
          <x:t xml:space="preserve">Phase 2-3</x:t>
        </x:is>
      </x:c>
      <x:c r="F11" s="15" t="inlineStr">
        <x:is>
          <x:t xml:space="preserve">FE DEV</x:t>
        </x:is>
      </x:c>
      <x:c r="G11" s="15" t="inlineStr">
        <x:is>
          <x:t xml:space="preserve">Iteration SRS</x:t>
        </x:is>
      </x:c>
    </x:row>
    <x:row r="12" ht="54" customHeight="1">
      <x:c r="A12" s="15" t="inlineStr">
        <x:is>
          <x:t xml:space="preserve">D-008</x:t>
        </x:is>
      </x:c>
      <x:c r="B12" s="15" t="inlineStr">
        <x:is>
          <x:t xml:space="preserve">Iteration Auto Accept</x:t>
        </x:is>
      </x:c>
      <x:c r="C12" s="15" t="inlineStr">
        <x:is>
          <x:t xml:space="preserve">All assigned non-empty US/DE Accepted may auto-set iteration Accepted as convenience</x:t>
        </x:is>
      </x:c>
      <x:c r="D12" s="19" t="inlineStr">
        <x:is>
          <x:t xml:space="preserve">Confirmed</x:t>
        </x:is>
      </x:c>
      <x:c r="E12" s="15" t="inlineStr">
        <x:is>
          <x:t xml:space="preserve">Phase 2</x:t>
        </x:is>
      </x:c>
      <x:c r="F12" s="15" t="inlineStr">
        <x:is>
          <x:t xml:space="preserve">FE DEV</x:t>
        </x:is>
      </x:c>
      <x:c r="G12" s="15" t="inlineStr">
        <x:is>
          <x:t xml:space="preserve">Iteration SRS</x:t>
        </x:is>
      </x:c>
    </x:row>
    <x:row r="13" ht="54" customHeight="1">
      <x:c r="A13" s="15" t="inlineStr">
        <x:is>
          <x:t xml:space="preserve">D-009</x:t>
        </x:is>
      </x:c>
      <x:c r="B13" s="15" t="inlineStr">
        <x:is>
          <x:t xml:space="preserve">Iteration Metrics</x:t>
        </x:is>
      </x:c>
      <x:c r="C13" s="15" t="inlineStr">
        <x:is>
          <x:t xml:space="preserve">Task Active counts all created tasks under iteration US/DE; Totals show Plan Estimate, Task Estimate and To Do</x:t>
        </x:is>
      </x:c>
      <x:c r="D13" s="19" t="inlineStr">
        <x:is>
          <x:t xml:space="preserve">Confirmed</x:t>
        </x:is>
      </x:c>
      <x:c r="E13" s="15" t="inlineStr">
        <x:is>
          <x:t xml:space="preserve">Phase 2-3</x:t>
        </x:is>
      </x:c>
      <x:c r="F13" s="15" t="inlineStr">
        <x:is>
          <x:t xml:space="preserve">FE DEV</x:t>
        </x:is>
      </x:c>
      <x:c r="G13" s="15" t="inlineStr">
        <x:is>
          <x:t xml:space="preserve">Iteration Status SRS</x:t>
        </x:is>
      </x:c>
    </x:row>
    <x:row r="14" ht="54" customHeight="1">
      <x:c r="A14" s="15" t="inlineStr">
        <x:is>
          <x:t xml:space="preserve">D-010</x:t>
        </x:is>
      </x:c>
      <x:c r="B14" s="15" t="inlineStr">
        <x:is>
          <x:t xml:space="preserve">Release/Milestone</x:t>
        </x:is>
      </x:c>
      <x:c r="C14" s="15" t="inlineStr">
        <x:is>
          <x:t xml:space="preserve">Release and Milestone are independent; either can be created first; relationship is M:N</x:t>
        </x:is>
      </x:c>
      <x:c r="D14" s="19" t="inlineStr">
        <x:is>
          <x:t xml:space="preserve">Confirmed</x:t>
        </x:is>
      </x:c>
      <x:c r="E14" s="15" t="inlineStr">
        <x:is>
          <x:t xml:space="preserve">Phase 3-5</x:t>
        </x:is>
      </x:c>
      <x:c r="F14" s="15" t="inlineStr">
        <x:is>
          <x:t xml:space="preserve">FE DEV</x:t>
        </x:is>
      </x:c>
      <x:c r="G14" s="15" t="inlineStr">
        <x:is>
          <x:t xml:space="preserve">Release/Milestone SRS</x:t>
        </x:is>
      </x:c>
    </x:row>
    <x:row r="15" ht="54" customHeight="1">
      <x:c r="A15" s="15" t="inlineStr">
        <x:is>
          <x:t xml:space="preserve">D-011</x:t>
        </x:is>
      </x:c>
      <x:c r="B15" s="15" t="inlineStr">
        <x:is>
          <x:t xml:space="preserve">Work Item Links</x:t>
        </x:is>
      </x:c>
      <x:c r="C15" s="15" t="inlineStr">
        <x:is>
          <x:t xml:space="preserve">A work item supports zero/one Release and zero/many Milestones</x:t>
        </x:is>
      </x:c>
      <x:c r="D15" s="19" t="inlineStr">
        <x:is>
          <x:t xml:space="preserve">Confirmed</x:t>
        </x:is>
      </x:c>
      <x:c r="E15" s="15" t="inlineStr">
        <x:is>
          <x:t xml:space="preserve">Phase 1-5</x:t>
        </x:is>
      </x:c>
      <x:c r="F15" s="15" t="inlineStr">
        <x:is>
          <x:t xml:space="preserve">FE DEV</x:t>
        </x:is>
      </x:c>
      <x:c r="G15" s="15" t="inlineStr">
        <x:is>
          <x:t xml:space="preserve">Source of truth</x:t>
        </x:is>
      </x:c>
    </x:row>
    <x:row r="16" ht="54" customHeight="1">
      <x:c r="A16" s="15" t="inlineStr">
        <x:is>
          <x:t xml:space="preserve">D-012</x:t>
        </x:is>
      </x:c>
      <x:c r="B16" s="15" t="inlineStr">
        <x:is>
          <x:t xml:space="preserve">Milestone Dates</x:t>
        </x:is>
      </x:c>
      <x:c r="C16" s="15" t="inlineStr">
        <x:is>
          <x:t xml:space="preserve">Milestone without releases uses manual dates; with releases uses MIN linked start and MAX linked end and dates become read-only</x:t>
        </x:is>
      </x:c>
      <x:c r="D16" s="19" t="inlineStr">
        <x:is>
          <x:t xml:space="preserve">Confirmed</x:t>
        </x:is>
      </x:c>
      <x:c r="E16" s="15" t="inlineStr">
        <x:is>
          <x:t xml:space="preserve">Phase 3-5</x:t>
        </x:is>
      </x:c>
      <x:c r="F16" s="15" t="inlineStr">
        <x:is>
          <x:t xml:space="preserve">FE DEV</x:t>
        </x:is>
      </x:c>
      <x:c r="G16" s="15" t="inlineStr">
        <x:is>
          <x:t xml:space="preserve">Milestone SRS</x:t>
        </x:is>
      </x:c>
    </x:row>
    <x:row r="17" ht="54" customHeight="1">
      <x:c r="A17" s="15" t="inlineStr">
        <x:is>
          <x:t xml:space="preserve">D-013</x:t>
        </x:is>
      </x:c>
      <x:c r="B17" s="15" t="inlineStr">
        <x:is>
          <x:t xml:space="preserve">Milestone Scope</x:t>
        </x:is>
      </x:c>
      <x:c r="C17" s="15" t="inlineStr">
        <x:is>
          <x:t xml:space="preserve">Milestone can span multiple projects and teams</x:t>
        </x:is>
      </x:c>
      <x:c r="D17" s="19" t="inlineStr">
        <x:is>
          <x:t xml:space="preserve">Confirmed</x:t>
        </x:is>
      </x:c>
      <x:c r="E17" s="15" t="inlineStr">
        <x:is>
          <x:t xml:space="preserve">Phase 3-5</x:t>
        </x:is>
      </x:c>
      <x:c r="F17" s="15" t="inlineStr">
        <x:is>
          <x:t xml:space="preserve">BA/DEV</x:t>
        </x:is>
      </x:c>
      <x:c r="G17" s="15" t="inlineStr">
        <x:is>
          <x:t xml:space="preserve">Source of truth</x:t>
        </x:is>
      </x:c>
    </x:row>
    <x:row r="18" ht="54" customHeight="1">
      <x:c r="A18" s="15" t="inlineStr">
        <x:is>
          <x:t xml:space="preserve">D-014</x:t>
        </x:is>
      </x:c>
      <x:c r="B18" s="15" t="inlineStr">
        <x:is>
          <x:t xml:space="preserve">Navigation</x:t>
        </x:is>
      </x:c>
      <x:c r="C18" s="15" t="str">
        <x:v>Phase 3 Release management stays under Plan &gt; Timeboxes; active Portfolio dropdown uses Capacity Planning for P5.2</x:v>
      </x:c>
      <x:c r="D18" s="19" t="str">
        <x:v>Confirmed</x:v>
      </x:c>
      <x:c r="E18" s="15" t="str">
        <x:v>Phase 3-5</x:v>
      </x:c>
      <x:c r="F18" s="15" t="str">
        <x:v>FE DEV</x:v>
      </x:c>
      <x:c r="G18" s="15" t="str">
        <x:v>P5-GOV v2</x:v>
      </x:c>
    </x:row>
    <x:row r="19" ht="54" customHeight="1">
      <x:c r="A19" s="15" t="inlineStr">
        <x:is>
          <x:t xml:space="preserve">D-015</x:t>
        </x:is>
      </x:c>
      <x:c r="B19" s="15" t="str">
        <x:v>Release Tracking</x:v>
      </x:c>
      <x:c r="C19" s="15" t="str">
        <x:v>Dedicated Release Tracking was excluded from closed Phase 5 and later promoted as a separate Phase 6 Portfolio surface</x:v>
      </x:c>
      <x:c r="D19" s="19" t="str">
        <x:v>Superseded</x:v>
      </x:c>
      <x:c r="E19" s="15" t="str">
        <x:v>Historical Phase 5 decision</x:v>
      </x:c>
      <x:c r="F19" s="15" t="str">
        <x:v>BA/PO</x:v>
      </x:c>
      <x:c r="G19" s="15" t="str">
        <x:v>P5-GOV v4; superseded by Phase 6/01_Release_Tracking/SRS.md</x:v>
      </x:c>
    </x:row>
    <x:row r="20" ht="54" customHeight="1">
      <x:c r="A20" s="15" t="inlineStr">
        <x:is>
          <x:t xml:space="preserve">D-016</x:t>
        </x:is>
      </x:c>
      <x:c r="B20" s="15" t="str">
        <x:v>Plan Dates</x:v>
      </x:c>
      <x:c r="C20" s="15" t="str">
        <x:v>Dates after 2026-07-26 in this workbook are proposed execution dates and may be re-baselined by BA/DEV leads</x:v>
      </x:c>
      <x:c r="D20" s="25" t="str">
        <x:v>Confirmed</x:v>
      </x:c>
      <x:c r="E20" s="15" t="str">
        <x:v>Cross-phase</x:v>
      </x:c>
      <x:c r="F20" s="15" t="str">
        <x:v>BA/DEV Lead</x:v>
      </x:c>
      <x:c r="G20" s="15" t="str">
        <x:v>This workbook</x:v>
      </x:c>
    </x:row>
    <x:row r="21" ht="54" customHeight="1">
      <x:c r="A21" s="15" t="inlineStr">
        <x:is>
          <x:t xml:space="preserve">D-017</x:t>
        </x:is>
      </x:c>
      <x:c r="B21" s="15" t="str">
        <x:v>Phase 5 Scope</x:v>
      </x:c>
      <x:c r="C21" s="15" t="str">
        <x:v>Closed Phase 5 MVP is Portfolio Items plus Capacity Planning; Release Planning/Tracking are excluded and Reports remain Future Backlog</x:v>
      </x:c>
      <x:c r="D21" s="19" t="str">
        <x:v>Confirmed</x:v>
      </x:c>
      <x:c r="E21" s="15" t="str">
        <x:v>Phase 5</x:v>
      </x:c>
      <x:c r="F21" s="15" t="str">
        <x:v>BA/PO</x:v>
      </x:c>
      <x:c r="G21" s="15" t="str">
        <x:v>P5-GOV v4</x:v>
      </x:c>
    </x:row>
    <x:row r="22" ht="54" customHeight="1">
      <x:c r="A22" s="57" t="inlineStr">
        <x:is>
          <x:t xml:space="preserve">D-018</x:t>
        </x:is>
      </x:c>
      <x:c r="B22" s="57" t="str">
        <x:v>Phase 5 Order</x:v>
      </x:c>
      <x:c r="C22" s="57" t="str">
        <x:v>P5.1 Portfolio Items -&gt; P5.2 Capacity Planning -&gt; P5.3 scope removal -&gt; P5.4 phase closeout and DEV handoff</x:v>
      </x:c>
      <x:c r="D22" s="64" t="str">
        <x:v>Confirmed</x:v>
      </x:c>
      <x:c r="E22" s="57" t="str">
        <x:v>Phase 5</x:v>
      </x:c>
      <x:c r="F22" s="57" t="str">
        <x:v>BA/DEV</x:v>
      </x:c>
      <x:c r="G22" s="57" t="str">
        <x:v>P5-GOV v4</x:v>
      </x:c>
    </x:row>
    <x:row r="23" ht="54" customHeight="1">
      <x:c r="A23" s="57" t="inlineStr">
        <x:is>
          <x:t xml:space="preserve">D-019</x:t>
        </x:is>
      </x:c>
      <x:c r="B23" s="57" t="str">
        <x:v>Phase 5 Readiness</x:v>
      </x:c>
      <x:c r="C23" s="57" t="str">
        <x:v>P5.1 and P5.2 are BA accepted; production implementation may start from the dedicated Phase 5 DEV handoff</x:v>
      </x:c>
      <x:c r="D23" s="64" t="str">
        <x:v>Confirmed</x:v>
      </x:c>
      <x:c r="E23" s="57" t="str">
        <x:v>Phase 5</x:v>
      </x:c>
      <x:c r="F23" s="57" t="str">
        <x:v>BA/DEV</x:v>
      </x:c>
      <x:c r="G23" s="57" t="str">
        <x:v>Phase 5 close 2026-07-28</x:v>
      </x:c>
    </x:row>
    <x:row r="24" ht="54" customHeight="1">
      <x:c r="A24" s="57" t="inlineStr">
        <x:is>
          <x:t xml:space="preserve">D-020</x:t>
        </x:is>
      </x:c>
      <x:c r="B24" s="57" t="inlineStr">
        <x:is>
          <x:t xml:space="preserve">Portfolio Readiness</x:t>
        </x:is>
      </x:c>
      <x:c r="C24" s="57" t="str">
        <x:v>Workspace Admin edits all Projects; Project Admin edits managed Projects; Project Member assigned context is read-only</x:v>
      </x:c>
      <x:c r="D24" s="64" t="str">
        <x:v>Confirmed</x:v>
      </x:c>
      <x:c r="E24" s="57" t="str">
        <x:v>P5.1-P5.2</x:v>
      </x:c>
      <x:c r="F24" s="57" t="str">
        <x:v>BA/DEV</x:v>
      </x:c>
      <x:c r="G24" s="57" t="str">
        <x:v>P5-GOV v4</x:v>
      </x:c>
    </x:row>
    <x:row r="25" ht="54" customHeight="1">
      <x:c r="A25" s="57" t="inlineStr">
        <x:is>
          <x:t xml:space="preserve">D-021</x:t>
        </x:is>
      </x:c>
      <x:c r="B25" s="57" t="inlineStr">
        <x:is>
          <x:t xml:space="preserve">Portfolio Access</x:t>
        </x:is>
      </x:c>
      <x:c r="C25" s="57" t="str">
        <x:v>Archive replaces hard delete; archived Features retain history and cannot receive new children</x:v>
      </x:c>
      <x:c r="D25" s="64" t="str">
        <x:v>Confirmed</x:v>
      </x:c>
      <x:c r="E25" s="57" t="str">
        <x:v>P5.1</x:v>
      </x:c>
      <x:c r="F25" s="57" t="str">
        <x:v>BA/DEV</x:v>
      </x:c>
      <x:c r="G25" s="57" t="str">
        <x:v>P5-GOV v1</x:v>
      </x:c>
    </x:row>
    <x:row r="26" ht="54" customHeight="1">
      <x:c r="A26" s="57" t="inlineStr">
        <x:is>
          <x:t xml:space="preserve">D-022</x:t>
        </x:is>
      </x:c>
      <x:c r="B26" s="57" t="str">
        <x:v>Release Planning</x:v>
      </x:c>
      <x:c r="C26" s="57" t="str">
        <x:v>Release Planning is deferred; Capacity Planning publish is the active Feature Release/Team assignment mechanism for Phase 5</x:v>
      </x:c>
      <x:c r="D26" s="64" t="str">
        <x:v>Confirmed</x:v>
      </x:c>
      <x:c r="E26" s="57" t="str">
        <x:v>Future/P5.2</x:v>
      </x:c>
      <x:c r="F26" s="57" t="str">
        <x:v>BA/DEV</x:v>
      </x:c>
      <x:c r="G26" s="57" t="str">
        <x:v>BA decision 2026-07-26</x:v>
      </x:c>
    </x:row>
    <x:row r="27" ht="54" customHeight="1">
      <x:c r="A27" s="57" t="inlineStr">
        <x:is>
          <x:t xml:space="preserve">D-023</x:t>
        </x:is>
      </x:c>
      <x:c r="B27" s="57" t="str">
        <x:v>Release Tracking</x:v>
      </x:c>
      <x:c r="C27" s="57" t="str">
        <x:v>The older Release Tracking proposal was superseded during Phase 5, then redefined and approved under the Phase 6 SRS</x:v>
      </x:c>
      <x:c r="D27" s="64" t="str">
        <x:v>Superseded</x:v>
      </x:c>
      <x:c r="E27" s="57" t="str">
        <x:v>Historical</x:v>
      </x:c>
      <x:c r="F27" s="57" t="str">
        <x:v>BA/DEV</x:v>
      </x:c>
      <x:c r="G27" s="57" t="str">
        <x:v>P5-GOV v4; Phase 6/01_Release_Tracking/SRS.md</x:v>
      </x:c>
    </x:row>
    <x:row r="28" ht="54" customHeight="1">
      <x:c r="A28" s="57" t="inlineStr">
        <x:is>
          <x:t xml:space="preserve">D-024</x:t>
        </x:is>
      </x:c>
      <x:c r="B28" s="57" t="str">
        <x:v>Capacity Planning</x:v>
      </x:c>
      <x:c r="C28" s="57" t="str">
        <x:v>Capacity Planning uses Team rows, manual capacity, Draft/Published lifecycle, Project+Release uniqueness, single-Team Feature allocation and Publish to master Feature</x:v>
      </x:c>
      <x:c r="D28" s="64" t="str">
        <x:v>Confirmed</x:v>
      </x:c>
      <x:c r="E28" s="57" t="str">
        <x:v>P5.2</x:v>
      </x:c>
      <x:c r="F28" s="57" t="str">
        <x:v>BA/DEV</x:v>
      </x:c>
      <x:c r="G28" s="57" t="str">
        <x:v>P5.2 Capacity SRS</x:v>
      </x:c>
    </x:row>
    <x:row r="29" ht="54" customHeight="1">
      <x:c r="A29" s="57" t="inlineStr">
        <x:is>
          <x:t xml:space="preserve">D-025</x:t>
        </x:is>
      </x:c>
      <x:c r="B29" s="57" t="str">
        <x:v>Phase Gate</x:v>
      </x:c>
      <x:c r="C29" s="57" t="str">
        <x:v>Each feature requires proposal, BA confirmation, docs, implementation, verification and BA acceptance; create DEV handoff only after Phase 5 closes</x:v>
      </x:c>
      <x:c r="D29" s="64" t="str">
        <x:v>Confirmed</x:v>
      </x:c>
      <x:c r="E29" s="57" t="str">
        <x:v>Phase 5</x:v>
      </x:c>
      <x:c r="F29" s="57" t="str">
        <x:v>BA/DEV/QA</x:v>
      </x:c>
      <x:c r="G29" s="57" t="str">
        <x:v>P5-GOV v4</x:v>
      </x:c>
    </x:row>
    <x:row r="30" ht="54" customHeight="1">
      <x:c r="A30" s="57" t="inlineStr">
        <x:is>
          <x:t xml:space="preserve">D-026</x:t>
        </x:is>
      </x:c>
      <x:c r="B30" s="57" t="str">
        <x:v>Phase Gate</x:v>
      </x:c>
      <x:c r="C30" s="57" t="str">
        <x:v>Phase 5 is BA/mockup closed and has a dedicated DEV handoff; future rule changes still require proposal, confirmation, docs, implementation and acceptance</x:v>
      </x:c>
      <x:c r="D30" s="64" t="str">
        <x:v>Confirmed</x:v>
      </x:c>
      <x:c r="E30" s="57" t="str">
        <x:v>Phase 5</x:v>
      </x:c>
      <x:c r="F30" s="57" t="str">
        <x:v>BA/DEV/QA</x:v>
      </x:c>
      <x:c r="G30" s="57" t="str">
        <x:v>PHASE5_DEV_HANDOFF.md</x:v>
      </x:c>
    </x:row>
    <x:row r="31" ht="40.5" customHeight="1">
      <x:c r="A31" s="65" t="inlineStr">
        <x:is>
          <x:t xml:space="preserve">D-027</x:t>
        </x:is>
      </x:c>
      <x:c r="B31" s="65" t="inlineStr">
        <x:is>
          <x:t xml:space="preserve">Feature Work Items</x:t>
        </x:is>
      </x:c>
      <x:c r="C31" s="65" t="inlineStr">
        <x:is>
          <x:t xml:space="preserve">Children of a Feature are Story/Defect Work Items; creation from Feature reuses the shared Work Item template and pre-fills Feature</x:t>
        </x:is>
      </x:c>
      <x:c r="D31" s="65" t="inlineStr">
        <x:is>
          <x:t xml:space="preserve">Confirmed</x:t>
        </x:is>
      </x:c>
      <x:c r="E31" s="65" t="inlineStr">
        <x:is>
          <x:t xml:space="preserve">P5.1</x:t>
        </x:is>
      </x:c>
      <x:c r="F31" s="65" t="inlineStr">
        <x:is>
          <x:t xml:space="preserve">BA/DEV</x:t>
        </x:is>
      </x:c>
      <x:c r="G31" s="65" t="inlineStr">
        <x:is>
          <x:t xml:space="preserve">P5.1 Amendment v3</x:t>
        </x:is>
      </x:c>
    </x:row>
    <x:row r="32" ht="40.5" customHeight="1">
      <x:c r="A32" s="65" t="inlineStr">
        <x:is>
          <x:t xml:space="preserve">D-028</x:t>
        </x:is>
      </x:c>
      <x:c r="B32" s="65" t="inlineStr">
        <x:is>
          <x:t xml:space="preserve">Backlog Visibility</x:t>
        </x:is>
      </x:c>
      <x:c r="C32" s="65" t="inlineStr">
        <x:is>
          <x:t xml:space="preserve">Plan &gt; Backlog shows only Unscheduled Story/Defect; assigning Iteration removes it from Backlog and returning to Unscheduled brings it back</x:t>
        </x:is>
      </x:c>
      <x:c r="D32" s="65" t="inlineStr">
        <x:is>
          <x:t xml:space="preserve">Confirmed</x:t>
        </x:is>
      </x:c>
      <x:c r="E32" s="65" t="inlineStr">
        <x:is>
          <x:t xml:space="preserve">Phase 1-2/P5.1</x:t>
        </x:is>
      </x:c>
      <x:c r="F32" s="65" t="inlineStr">
        <x:is>
          <x:t xml:space="preserve">BA/DEV</x:t>
        </x:is>
      </x:c>
      <x:c r="G32" s="65" t="inlineStr">
        <x:is>
          <x:t xml:space="preserve">P5.1 Amendment v3</x:t>
        </x:is>
      </x:c>
    </x:row>
    <x:row r="33" ht="40.5" customHeight="1">
      <x:c r="A33" s="65" t="inlineStr">
        <x:is>
          <x:t xml:space="preserve">D-029</x:t>
        </x:is>
      </x:c>
      <x:c r="B33" s="65" t="inlineStr">
        <x:is>
          <x:t xml:space="preserve">Task Hours</x:t>
        </x:is>
      </x:c>
      <x:c r="C33" s="65" t="inlineStr">
        <x:is>
          <x:t xml:space="preserve">Task Estimate, To Do and Actual are independent; Estimate-first copies to To Do once; Completed sets To Do to 0; reopen does not restore To Do</x:t>
        </x:is>
      </x:c>
      <x:c r="D33" s="65" t="inlineStr">
        <x:is>
          <x:t xml:space="preserve">Confirmed</x:t>
        </x:is>
      </x:c>
      <x:c r="E33" s="65" t="inlineStr">
        <x:is>
          <x:t xml:space="preserve">Phase 1-2/P5.1</x:t>
        </x:is>
      </x:c>
      <x:c r="F33" s="65" t="inlineStr">
        <x:is>
          <x:t xml:space="preserve">BA/DEV</x:t>
        </x:is>
      </x:c>
      <x:c r="G33" s="65" t="inlineStr">
        <x:is>
          <x:t xml:space="preserve">P5.1 Amendment v3</x:t>
        </x:is>
      </x:c>
    </x:row>
    <x:row r="34" ht="48" customHeight="1">
      <x:c r="A34" s="112" t="str">
        <x:v>D-030</x:v>
      </x:c>
      <x:c r="B34" s="76" t="str">
        <x:v>Phase 6 Scope</x:v>
      </x:c>
      <x:c r="C34" s="76" t="str">
        <x:v>Reports contains exactly Iteration Burndown, Velocity and Team Capacity; Release Tracking is a separate Portfolio surface</x:v>
      </x:c>
      <x:c r="D34" s="221" t="str">
        <x:v>Confirmed</x:v>
      </x:c>
      <x:c r="E34" s="76" t="str">
        <x:v>Phase 6</x:v>
      </x:c>
      <x:c r="F34" s="76" t="str">
        <x:v>BA/PO</x:v>
      </x:c>
      <x:c r="G34" s="76" t="str">
        <x:v>Phase 6 contracts; user approval 2026-07-31</x:v>
      </x:c>
    </x:row>
    <x:row r="35" ht="48" customHeight="1">
      <x:c r="A35" s="112" t="str">
        <x:v>D-031</x:v>
      </x:c>
      <x:c r="B35" s="76" t="str">
        <x:v>Iteration Burndown</x:v>
      </x:c>
      <x:c r="C35" s="76" t="str">
        <x:v>Remaining ToDo uses end-of-day Task ToDo hours; Accepted Points are cumulative Accepted/Release Story/Defect points; Ideal uses Task Estimate captured at Iteration start</x:v>
      </x:c>
      <x:c r="D35" s="221" t="str">
        <x:v>Confirmed</x:v>
      </x:c>
      <x:c r="E35" s="76" t="str">
        <x:v>P6 Reports</x:v>
      </x:c>
      <x:c r="F35" s="76" t="str">
        <x:v>BA/PO</x:v>
      </x:c>
      <x:c r="G35" s="76" t="str">
        <x:v>Phase 6/02_Iteration_Burndown/SRS.md</x:v>
      </x:c>
    </x:row>
    <x:row r="36" ht="48" customHeight="1">
      <x:c r="A36" s="112" t="str">
        <x:v>D-032</x:v>
      </x:c>
      <x:c r="B36" s="76" t="str">
        <x:v>Velocity</x:v>
      </x:c>
      <x:c r="C36" s="76" t="str">
        <x:v>Each completed Iteration stacks Accepted During, Accepted After and Not Accepted; Trend/Last3/Best3/Worst3 use Accepted During only; window is 5 or 10</x:v>
      </x:c>
      <x:c r="D36" s="221" t="str">
        <x:v>Confirmed</x:v>
      </x:c>
      <x:c r="E36" s="76" t="str">
        <x:v>P6 Reports</x:v>
      </x:c>
      <x:c r="F36" s="76" t="str">
        <x:v>BA/PO</x:v>
      </x:c>
      <x:c r="G36" s="76" t="str">
        <x:v>Phase 6/03_Velocity_Chart/SRS.md</x:v>
      </x:c>
    </x:row>
    <x:row r="37" ht="48" customHeight="1">
      <x:c r="A37" s="112" t="str">
        <x:v>D-033</x:v>
      </x:c>
      <x:c r="B37" s="76" t="str">
        <x:v>Team Capacity</x:v>
      </x:c>
      <x:c r="C37" s="76" t="str">
        <x:v>Capacity, Estimate, ToDo and Actual are Team Status member-hours for one selected Iteration; All Teams expands Team to Member</x:v>
      </x:c>
      <x:c r="D37" s="221" t="str">
        <x:v>Confirmed</x:v>
      </x:c>
      <x:c r="E37" s="76" t="str">
        <x:v>P6 Reports</x:v>
      </x:c>
      <x:c r="F37" s="76" t="str">
        <x:v>BA/PO</x:v>
      </x:c>
      <x:c r="G37" s="76" t="str">
        <x:v>Phase 6/04_Team_Capacity/SRS.md</x:v>
      </x:c>
    </x:row>
    <x:row r="38" ht="48" customHeight="1">
      <x:c r="A38" s="112" t="str">
        <x:v>D-034</x:v>
      </x:c>
      <x:c r="B38" s="76" t="str">
        <x:v>Release Tracking</x:v>
      </x:c>
      <x:c r="C38" s="76" t="str">
        <x:v>Direct, Derived and Unparented use owning Release/parent fields plus current Project/Team scope; groups do not overlap</x:v>
      </x:c>
      <x:c r="D38" s="221" t="str">
        <x:v>Confirmed</x:v>
      </x:c>
      <x:c r="E38" s="76" t="str">
        <x:v>P6 Release Tracking</x:v>
      </x:c>
      <x:c r="F38" s="76" t="str">
        <x:v>BA/PO</x:v>
      </x:c>
      <x:c r="G38" s="76" t="str">
        <x:v>Phase 6/01_Release_Tracking/SRS.md</x:v>
      </x:c>
    </x:row>
    <x:row r="39" ht="48" customHeight="1">
      <x:c r="A39" s="112" t="str">
        <x:v>D-035</x:v>
      </x:c>
      <x:c r="B39" s="76" t="str">
        <x:v>Release Tracking</x:v>
      </x:c>
      <x:c r="C39" s="76" t="str">
        <x:v>Chart Unit is the sole Points/Count selector for list and Burnup; Direct status includes all children, Derived status includes matching Release/scope children</x:v>
      </x:c>
      <x:c r="D39" s="221" t="str">
        <x:v>Confirmed</x:v>
      </x:c>
      <x:c r="E39" s="76" t="str">
        <x:v>P6 Release Tracking</x:v>
      </x:c>
      <x:c r="F39" s="76" t="str">
        <x:v>BA/PO</x:v>
      </x:c>
      <x:c r="G39" s="76" t="str">
        <x:v>Phase 6/01_Release_Tracking/SRS.md</x:v>
      </x:c>
    </x:row>
    <x:row r="40" ht="48" customHeight="1">
      <x:c r="A40" t="str">
        <x:v>D-036</x:v>
      </x:c>
      <x:c r="B40" t="str">
        <x:v>Release Tracking</x:v>
      </x:c>
      <x:c r="C40" t="str">
        <x:v>Unparented Story/Defect appears only for its own selected Release and current scope; numeric rank is sequential inside each active bucket</x:v>
      </x:c>
      <x:c r="D40" s="227" t="str">
        <x:v>Confirmed</x:v>
      </x:c>
      <x:c r="E40" t="str">
        <x:v>P6 Release Tracking</x:v>
      </x:c>
      <x:c r="F40" t="str">
        <x:v>BA/PO</x:v>
      </x:c>
      <x:c r="G40" t="str">
        <x:v>RT-Q-01 resolved; user confirmation 2026-07-31</x:v>
      </x:c>
    </x:row>
    <x:row r="41" ht="48" customHeight="1">
      <x:c r="A41" t="str">
        <x:v>D-037</x:v>
      </x:c>
      <x:c r="B41" t="str">
        <x:v>Release Tracking Issues</x:v>
      </x:c>
      <x:c r="C41" t="str">
        <x:v>Release mismatch is independent from percent done; issue popup groups mismatched children, compares against selected Release dates and warns when all assigned children mismatch</x:v>
      </x:c>
      <x:c r="D41" s="227" t="str">
        <x:v>Confirmed</x:v>
      </x:c>
      <x:c r="E41" t="str">
        <x:v>P6 Release Tracking</x:v>
      </x:c>
      <x:c r="F41" t="str">
        <x:v>BA/PO</x:v>
      </x:c>
      <x:c r="G41" t="str">
        <x:v>Phase 6/01_Release_Tracking/SRS.md</x:v>
      </x:c>
    </x:row>
  </x:sheetData>
  <x:mergeCells>
    <x:mergeCell ref="A2:G2"/>
    <x:mergeCell ref="A1:G1"/>
  </x:mergeCells>
  <x:conditionalFormatting sqref="D34:D39">
    <x:cfRule type="containsText" dxfId="7" priority="1" operator="containsText" text="Confirmed"/>
    <x:cfRule type="containsText" dxfId="8" priority="2" operator="containsText" text="Draft Proposal"/>
    <x:cfRule type="containsText" dxfId="9" priority="3" operator="containsText" text="Decision Pending"/>
  </x:conditionalFormatting>
  <x:dataValidations count="2">
    <x:dataValidation type="list" allowBlank="0" showDropDown="0" showInputMessage="0" showErrorMessage="0" sqref="D22:D30">
      <x:formula1>"Confirmed,Deferred,Proposed"</x:formula1>
    </x:dataValidation>
    <x:dataValidation type="list" sqref="D5:D39">
      <x:formula1>"Confirmed,Superseded,Draft Proposal,Decision Pending"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2" hidden="0" customWidth="1"/>
    <x:col min="3" max="3" width="22" hidden="0" customWidth="1"/>
    <x:col min="4" max="4" width="38" hidden="0" customWidth="1"/>
    <x:col min="5" max="5" width="22" hidden="0" customWidth="1"/>
    <x:col min="6" max="6" width="19" hidden="0" customWidth="1"/>
    <x:col min="7" max="7" width="60" hidden="0" customWidth="1"/>
    <x:col min="8" max="8" width="42" hidden="0" customWidth="1"/>
    <x:col min="9" max="9" width="46" hidden="0" customWidth="1"/>
    <x:col min="10" max="10" width="46" hidden="0" customWidth="1"/>
  </x:cols>
  <x:sheetData>
    <x:row r="1" ht="34" customHeight="1">
      <x:c r="A1" s="79" t="str">
        <x:v>MINI RALLY — FUTURE BACKLOG</x:v>
      </x:c>
      <x:c r="B1" s="79"/>
      <x:c r="C1" s="79"/>
      <x:c r="D1" s="79"/>
      <x:c r="E1" s="79"/>
      <x:c r="F1" s="79"/>
      <x:c r="G1" s="79"/>
      <x:c r="H1" s="79"/>
      <x:c r="I1" s="79"/>
      <x:c r="J1" s="79"/>
    </x:row>
    <x:row r="2" ht="25" customHeight="1">
      <x:c r="A2" s="82" t="str">
        <x:v>BA/mockup scope only | Consolidated 2026-07-29 | Future features, deferred enhancements and unresolved product decisions; production DEV/API work is intentionally excluded</x:v>
      </x:c>
      <x:c r="B2" s="82"/>
      <x:c r="C2" s="82"/>
      <x:c r="D2" s="82"/>
      <x:c r="E2" s="82"/>
      <x:c r="F2" s="82"/>
      <x:c r="G2" s="82"/>
      <x:c r="H2" s="82"/>
      <x:c r="I2" s="82"/>
      <x:c r="J2" s="82"/>
    </x:row>
    <x:row r="4" ht="27" customHeight="1">
      <x:c r="A4" s="87" t="str">
        <x:v>Total Items</x:v>
      </x:c>
      <x:c r="B4" s="93" t="n">
        <x:f>COUNTA(A9:A45)</x:f>
        <x:v>34</x:v>
      </x:c>
      <x:c r="C4" s="87" t="str">
        <x:v>Future Backlog</x:v>
      </x:c>
      <x:c r="D4" s="93" t="n">
        <x:f>COUNTIF(F9:F45,"Future Backlog")</x:f>
        <x:v>15</x:v>
      </x:c>
      <x:c r="E4" s="87" t="str">
        <x:v>Decision Pending</x:v>
      </x:c>
      <x:c r="F4" s="93" t="n">
        <x:f>COUNTIF(F9:F45,"Decision Pending")</x:f>
        <x:v>9</x:v>
      </x:c>
      <x:c r="G4" s="87" t="str">
        <x:v>Deferred</x:v>
      </x:c>
      <x:c r="H4" s="93" t="n">
        <x:f>COUNTIF(F9:F45,"Deferred")</x:f>
        <x:v>8</x:v>
      </x:c>
      <x:c r="I4" s="87" t="str">
        <x:v>Conditional</x:v>
      </x:c>
      <x:c r="J4" s="93" t="n">
        <x:f>COUNTIF(F9:F45,"Conditional")</x:f>
        <x:v>2</x:v>
      </x:c>
    </x:row>
    <x:row r="5" ht="27" customHeight="1">
      <x:c r="A5" s="135" t="str">
        <x:v>Promoted / removed</x:v>
      </x:c>
      <x:c r="B5" s="141" t="n">
        <x:v>3</x:v>
      </x:c>
    </x:row>
    <x:row r="6" ht="31" customHeight="1">
      <x:c r="A6" s="102" t="str">
        <x:v>Promotion gate: add a backlog item to an active phase only after BA/PO confirms a new proposal, aligns the SRS/mockup and sets a separate acceptance gate. Existing accepted behavior remains authoritative until then.</x:v>
      </x:c>
      <x:c r="B6" s="103"/>
      <x:c r="C6" s="103"/>
      <x:c r="D6" s="103"/>
      <x:c r="E6" s="103"/>
      <x:c r="F6" s="103"/>
      <x:c r="G6" s="103"/>
      <x:c r="H6" s="103"/>
      <x:c r="I6" s="103"/>
      <x:c r="J6" s="104"/>
    </x:row>
    <x:row r="8" ht="31" customHeight="1">
      <x:c r="A8" s="106" t="str">
        <x:v>Backlog ID</x:v>
      </x:c>
      <x:c r="B8" s="106" t="str">
        <x:v>Origin</x:v>
      </x:c>
      <x:c r="C8" s="106" t="str">
        <x:v>Area</x:v>
      </x:c>
      <x:c r="D8" s="106" t="str">
        <x:v>Future Item / Decision</x:v>
      </x:c>
      <x:c r="E8" s="106" t="str">
        <x:v>Classification</x:v>
      </x:c>
      <x:c r="F8" s="106" t="str">
        <x:v>Current Status</x:v>
      </x:c>
      <x:c r="G8" s="106" t="str">
        <x:v>Business Direction / Decision Needed</x:v>
      </x:c>
      <x:c r="H8" s="106" t="str">
        <x:v>Dependency / Trigger</x:v>
      </x:c>
      <x:c r="I8" s="106" t="str">
        <x:v>Next BA Action</x:v>
      </x:c>
      <x:c r="J8" s="106" t="str">
        <x:v>Primary Source</x:v>
      </x:c>
    </x:row>
    <x:row r="9" ht="58" customHeight="1">
      <x:c r="A9" s="112" t="str">
        <x:v>FB-P1-001</x:v>
      </x:c>
      <x:c r="B9" s="76" t="str">
        <x:v>Phase 1</x:v>
      </x:c>
      <x:c r="C9" s="76" t="str">
        <x:v>Time Tracking</x:v>
      </x:c>
      <x:c r="D9" s="76" t="str">
        <x:v>Advanced time sheet and aggregation of Actual from time entries</x:v>
      </x:c>
      <x:c r="E9" s="76" t="str">
        <x:v>Deferred Enhancement</x:v>
      </x:c>
      <x:c r="F9" s="111" t="str">
        <x:v>Deferred</x:v>
      </x:c>
      <x:c r="G9" s="76" t="str">
        <x:v>Current baseline keeps Actual as a manually entered field. A future slice may replace or reconcile it with detailed time entries.</x:v>
      </x:c>
      <x:c r="H9" s="76" t="str">
        <x:v>Reopen only when a time-entry/timesheet problem statement is confirmed.</x:v>
      </x:c>
      <x:c r="I9" s="76" t="str">
        <x:v>Define time-entry lifecycle, approval, corrections and how Actual is calculated.</x:v>
      </x:c>
      <x:c r="J9" s="76" t="str">
        <x:v>Phase 1/PHASE1_DEVELOPMENT_TRACKING.md; Phase 1/05_Time_Tracking/SRS.md</x:v>
      </x:c>
    </x:row>
    <x:row r="10" ht="58" customHeight="1">
      <x:c r="A10" s="112" t="str">
        <x:v>FB-P1-002</x:v>
      </x:c>
      <x:c r="B10" s="76" t="str">
        <x:v>Phase 1</x:v>
      </x:c>
      <x:c r="C10" s="76" t="str">
        <x:v>Attachments</x:v>
      </x:c>
      <x:c r="D10" s="76" t="str">
        <x:v>Attachment preview and versioning</x:v>
      </x:c>
      <x:c r="E10" s="76" t="str">
        <x:v>Deferred Enhancement</x:v>
      </x:c>
      <x:c r="F10" s="111" t="str">
        <x:v>Deferred</x:v>
      </x:c>
      <x:c r="G10" s="76" t="str">
        <x:v>Current attachment scope is basic upload/list/download/delete. Preview and file version history were deliberately excluded.</x:v>
      </x:c>
      <x:c r="H10" s="76" t="str">
        <x:v>Requires a separate content-management proposal.</x:v>
      </x:c>
      <x:c r="I10" s="76" t="str">
        <x:v>Confirm supported preview types, version replacement rules, retention and permissions.</x:v>
      </x:c>
      <x:c r="J10" s="76" t="str">
        <x:v>Phase 1/PHASE1_DEVELOPMENT_TRACKING.md</x:v>
      </x:c>
    </x:row>
    <x:row r="11" ht="58" customHeight="1">
      <x:c r="A11" s="112" t="str">
        <x:v>FB-P2-001</x:v>
      </x:c>
      <x:c r="B11" s="76" t="str">
        <x:v>Phase 2</x:v>
      </x:c>
      <x:c r="C11" s="76" t="str">
        <x:v>Iteration Status</x:v>
      </x:c>
      <x:c r="D11" s="76" t="str">
        <x:v>Iteration Status Board view</x:v>
      </x:c>
      <x:c r="E11" s="76" t="str">
        <x:v>Future Feature</x:v>
      </x:c>
      <x:c r="F11" s="111" t="str">
        <x:v>Future Backlog</x:v>
      </x:c>
      <x:c r="G11" s="76" t="str">
        <x:v>Current accepted surface is List only. A future Board must reuse the same Work Item identities and shared statuses.</x:v>
      </x:c>
      <x:c r="H11" s="76" t="str">
        <x:v>Needs decisions on columns, card fields, filters, rank, permissions, audit and accessibility.</x:v>
      </x:c>
      <x:c r="I11" s="76" t="str">
        <x:v>Create a Board proposal and reconcile it with Backlog, Work Item Detail and Iteration Status List.</x:v>
      </x:c>
      <x:c r="J11" s="76" t="str">
        <x:v>Future_Backlog/03_Iteration_Status_Board.md</x:v>
      </x:c>
    </x:row>
    <x:row r="12" ht="58" customHeight="1">
      <x:c r="A12" s="112" t="str">
        <x:v>FB-P2-002</x:v>
      </x:c>
      <x:c r="B12" s="76" t="str">
        <x:v>Phase 2</x:v>
      </x:c>
      <x:c r="C12" s="76" t="str">
        <x:v>Iterations</x:v>
      </x:c>
      <x:c r="D12" s="76" t="str">
        <x:v>Iteration date-overlap policy</x:v>
      </x:c>
      <x:c r="E12" s="76" t="str">
        <x:v>Open Decision</x:v>
      </x:c>
      <x:c r="F12" s="111" t="str">
        <x:v>Decision Pending</x:v>
      </x:c>
      <x:c r="G12" s="76" t="str">
        <x:v>The accepted fallback is warn-only; it is not decided whether overlapping same-Team Iterations should ever be blocked.</x:v>
      </x:c>
      <x:c r="H12" s="76" t="str">
        <x:v>Requires BA/PO decision before stricter validation is introduced.</x:v>
      </x:c>
      <x:c r="I12" s="76" t="str">
        <x:v>Decide warn-only versus blocking, scope of overlap and exception behavior.</x:v>
      </x:c>
      <x:c r="J12" s="76" t="str">
        <x:v>Phase 2/PHASE2_DEVELOPMENT_TRACKING.md</x:v>
      </x:c>
    </x:row>
    <x:row r="13" ht="58" customHeight="1">
      <x:c r="A13" s="112" t="str">
        <x:v>FB-P2-003</x:v>
      </x:c>
      <x:c r="B13" s="76" t="str">
        <x:v>Phase 2</x:v>
      </x:c>
      <x:c r="C13" s="76" t="str">
        <x:v>Lists and Filters</x:v>
      </x:c>
      <x:c r="D13" s="76" t="str">
        <x:v>Saved Views for Backlog, Iteration Status and Team Status</x:v>
      </x:c>
      <x:c r="E13" s="76" t="str">
        <x:v>Deferred Enhancement</x:v>
      </x:c>
      <x:c r="F13" s="111" t="str">
        <x:v>Deferred</x:v>
      </x:c>
      <x:c r="G13" s="76" t="str">
        <x:v>Saved Views may be added after list/filter contracts are stable. No cross-screen saved-view behavior is currently defined.</x:v>
      </x:c>
      <x:c r="H13" s="76" t="str">
        <x:v>Stable filter, sort and column-state contracts.</x:v>
      </x:c>
      <x:c r="I13" s="76" t="str">
        <x:v>Define ownership, sharing, default view, rename/delete and permission rules.</x:v>
      </x:c>
      <x:c r="J13" s="76" t="str">
        <x:v>Phase 2/PHASE2_DEVELOPMENT_TRACKING.md; Phase 3/PHASE3_DEVELOPMENT_TRACKING.md</x:v>
      </x:c>
    </x:row>
    <x:row r="14" ht="58" customHeight="1">
      <x:c r="A14" s="112" t="str">
        <x:v>FB-P2-004</x:v>
      </x:c>
      <x:c r="B14" s="76" t="str">
        <x:v>Phase 2</x:v>
      </x:c>
      <x:c r="C14" s="76" t="str">
        <x:v>Iteration Lifecycle</x:v>
      </x:c>
      <x:c r="D14" s="76" t="str">
        <x:v>Dedicated Close Iteration and carry-over workflow</x:v>
      </x:c>
      <x:c r="E14" s="76" t="str">
        <x:v>Conditional Option</x:v>
      </x:c>
      <x:c r="F14" s="111" t="str">
        <x:v>Conditional</x:v>
      </x:c>
      <x:c r="G14" s="76" t="str">
        <x:v>Current baseline deliberately uses manual Iteration status and manual movement of unfinished Story/Defect items; no carry-over wizard is required.</x:v>
      </x:c>
      <x:c r="H14" s="76" t="str">
        <x:v>Reopen only if manual movement becomes insufficient.</x:v>
      </x:c>
      <x:c r="I14" s="76" t="str">
        <x:v>Confirm whether closing locks scope, which items move, and whether records are moved or copied.</x:v>
      </x:c>
      <x:c r="J14" s="76" t="str">
        <x:v>Phase 2/PHASE2_DEVELOPMENT_TRACKING.md; Phase 2/03_Iteration_Status/SRS.md</x:v>
      </x:c>
    </x:row>
    <x:row r="15" ht="58" customHeight="1">
      <x:c r="A15" s="112" t="str">
        <x:v>FB-P3-001</x:v>
      </x:c>
      <x:c r="B15" s="76" t="str">
        <x:v>Phase 3</x:v>
      </x:c>
      <x:c r="C15" s="76" t="str">
        <x:v>Team Execution</x:v>
      </x:c>
      <x:c r="D15" s="76" t="str">
        <x:v>Team Board</x:v>
      </x:c>
      <x:c r="E15" s="76" t="str">
        <x:v>Future Feature</x:v>
      </x:c>
      <x:c r="F15" s="111" t="str">
        <x:v>Future Backlog</x:v>
      </x:c>
      <x:c r="G15" s="76" t="str">
        <x:v>Optional Track &gt; Team Board using Iteration assignments and the shared Schedule State catalog. It must not create a second work-item store.</x:v>
      </x:c>
      <x:c r="H15" s="76" t="str">
        <x:v>Depends on Iterations, Iteration Status and Team Status baselines.</x:v>
      </x:c>
      <x:c r="I15" s="76" t="str">
        <x:v>Create a fresh BA proposal before adding navigation or mockup scope.</x:v>
      </x:c>
      <x:c r="J15" s="76" t="str">
        <x:v>Future_Backlog/01_Team_Board.md</x:v>
      </x:c>
    </x:row>
    <x:row r="16" ht="58" customHeight="1">
      <x:c r="A16" s="112" t="str">
        <x:v>FB-P3-002</x:v>
      </x:c>
      <x:c r="B16" s="76" t="str">
        <x:v>Phase 3</x:v>
      </x:c>
      <x:c r="C16" s="76" t="str">
        <x:v>Team Board</x:v>
      </x:c>
      <x:c r="D16" s="76" t="str">
        <x:v>Board card entity scope</x:v>
      </x:c>
      <x:c r="E16" s="76" t="str">
        <x:v>Open Decision</x:v>
      </x:c>
      <x:c r="F16" s="111" t="str">
        <x:v>Decision Pending</x:v>
      </x:c>
      <x:c r="G16" s="76" t="str">
        <x:v>Not decided whether Team Board creates/shows only Story and Defect or also Task and Feature.</x:v>
      </x:c>
      <x:c r="H16" s="76" t="str">
        <x:v>Depends on Team Board being re-prioritized.</x:v>
      </x:c>
      <x:c r="I16" s="76" t="str">
        <x:v>Choose supported item types and define create/detail routing for each.</x:v>
      </x:c>
      <x:c r="J16" s="76" t="str">
        <x:v>Future_Backlog/01_Team_Board.md (FB-TB-Q01)</x:v>
      </x:c>
    </x:row>
    <x:row r="17" ht="58" customHeight="1">
      <x:c r="A17" s="112" t="str">
        <x:v>FB-P3-003</x:v>
      </x:c>
      <x:c r="B17" s="76" t="str">
        <x:v>Phase 3</x:v>
      </x:c>
      <x:c r="C17" s="76" t="str">
        <x:v>Board Behavior</x:v>
      </x:c>
      <x:c r="D17" s="76" t="str">
        <x:v>Drag/drop state update behavior</x:v>
      </x:c>
      <x:c r="E17" s="76" t="str">
        <x:v>Open Decision</x:v>
      </x:c>
      <x:c r="F17" s="111" t="str">
        <x:v>Decision Pending</x:v>
      </x:c>
      <x:c r="G17" s="76" t="str">
        <x:v>Not decided whether drag/drop immediately changes Schedule State and the mirrored Flow State.</x:v>
      </x:c>
      <x:c r="H17" s="76" t="str">
        <x:v>Requires a confirmed board workflow and audit rules.</x:v>
      </x:c>
      <x:c r="I17" s="76" t="str">
        <x:v>Define atomic status effects, failure rollback and cross-screen synchronization.</x:v>
      </x:c>
      <x:c r="J17" s="76" t="str">
        <x:v>Future_Backlog/01_Team_Board.md (FB-TB-Q02); Future_Backlog/03_Iteration_Status_Board.md</x:v>
      </x:c>
    </x:row>
    <x:row r="18" ht="58" customHeight="1">
      <x:c r="A18" s="112" t="str">
        <x:v>FB-P3-004</x:v>
      </x:c>
      <x:c r="B18" s="76" t="str">
        <x:v>Phase 3</x:v>
      </x:c>
      <x:c r="C18" s="76" t="str">
        <x:v>Board Behavior</x:v>
      </x:c>
      <x:c r="D18" s="76" t="str">
        <x:v>Allowed board transitions and validation</x:v>
      </x:c>
      <x:c r="E18" s="76" t="str">
        <x:v>Open Decision</x:v>
      </x:c>
      <x:c r="F18" s="111" t="str">
        <x:v>Decision Pending</x:v>
      </x:c>
      <x:c r="G18" s="76" t="str">
        <x:v>The legal transition graph between workflow columns has not been defined.</x:v>
      </x:c>
      <x:c r="H18" s="76" t="str">
        <x:v>Depends on Board columns and shared status mapping.</x:v>
      </x:c>
      <x:c r="I18" s="76" t="str">
        <x:v>Confirm allowed forward/backward transitions, overrides and audit requirements.</x:v>
      </x:c>
      <x:c r="J18" s="76" t="str">
        <x:v>Future_Backlog/01_Team_Board.md (FB-TB-Q03)</x:v>
      </x:c>
    </x:row>
    <x:row r="19" ht="58" customHeight="1">
      <x:c r="A19" s="112" t="str">
        <x:v>FB-P3-005</x:v>
      </x:c>
      <x:c r="B19" s="76" t="str">
        <x:v>Phase 3</x:v>
      </x:c>
      <x:c r="C19" s="76" t="str">
        <x:v>Board Configuration</x:v>
      </x:c>
      <x:c r="D19" s="76" t="str">
        <x:v>WIP limits</x:v>
      </x:c>
      <x:c r="E19" s="76" t="str">
        <x:v>Open Decision</x:v>
      </x:c>
      <x:c r="F19" s="111" t="str">
        <x:v>Decision Pending</x:v>
      </x:c>
      <x:c r="G19" s="76" t="str">
        <x:v>WIP limits are outside the MVP. Requirement, scope and configuration location remain undecided.</x:v>
      </x:c>
      <x:c r="H19" s="76" t="str">
        <x:v>Only relevant if a Board is promoted.</x:v>
      </x:c>
      <x:c r="I19" s="76" t="str">
        <x:v>Decide whether limits are advisory or blocking and whether configured by Workspace, Project or Team.</x:v>
      </x:c>
      <x:c r="J19" s="76" t="str">
        <x:v>Future_Backlog/01_Team_Board.md (FB-TB-Q04); Phase 3/PHASE3_DEVELOPMENT_TRACKING.md</x:v>
      </x:c>
    </x:row>
    <x:row r="20" ht="58" customHeight="1">
      <x:c r="A20" s="112" t="str">
        <x:v>FB-P3-006</x:v>
      </x:c>
      <x:c r="B20" s="76" t="str">
        <x:v>Phase 3</x:v>
      </x:c>
      <x:c r="C20" s="76" t="str">
        <x:v>Team Status</x:v>
      </x:c>
      <x:c r="D20" s="76" t="str">
        <x:v>Team Status bulk actions and detailed permission model</x:v>
      </x:c>
      <x:c r="E20" s="76" t="str">
        <x:v>Deferred Enhancement</x:v>
      </x:c>
      <x:c r="F20" s="111" t="str">
        <x:v>Deferred</x:v>
      </x:c>
      <x:c r="G20" s="76" t="str">
        <x:v>Bulk actions and a dedicated permission refinement were not included in the accepted Team Status slice.</x:v>
      </x:c>
      <x:c r="H20" s="76" t="str">
        <x:v>Requires a separate BA confirmation after usage needs are known.</x:v>
      </x:c>
      <x:c r="I20" s="76" t="str">
        <x:v>Identify real bulk-use cases, affected fields, selection rules and permission/audit impact.</x:v>
      </x:c>
      <x:c r="J20" s="76" t="str">
        <x:v>Phase 3/PHASE3_DEVELOPMENT_TRACKING.md</x:v>
      </x:c>
    </x:row>
    <x:row r="21" ht="58" customHeight="1">
      <x:c r="A21" s="112" t="str">
        <x:v>FB-P3-007</x:v>
      </x:c>
      <x:c r="B21" s="76" t="str">
        <x:v>Phase 3</x:v>
      </x:c>
      <x:c r="C21" s="76" t="str">
        <x:v>Quality / Defect</x:v>
      </x:c>
      <x:c r="D21" s="76" t="str">
        <x:v>Reopen Defect from Closed or Closed Declined</x:v>
      </x:c>
      <x:c r="E21" s="76" t="str">
        <x:v>Open Decision</x:v>
      </x:c>
      <x:c r="F21" s="111" t="str">
        <x:v>Decision Pending</x:v>
      </x:c>
      <x:c r="G21" s="76" t="str">
        <x:v>Reopen is deferred until BA confirms who may reopen and whether reason/audit fields are required.</x:v>
      </x:c>
      <x:c r="H21" s="76" t="str">
        <x:v>Depends on permission and audit policy.</x:v>
      </x:c>
      <x:c r="I21" s="76" t="str">
        <x:v>Decide authorized roles, target State, required reason and history presentation.</x:v>
      </x:c>
      <x:c r="J21" s="76" t="str">
        <x:v>Phase 3/PHASE3_DEVELOPMENT_TRACKING.md</x:v>
      </x:c>
    </x:row>
    <x:row r="22" ht="58" customHeight="1">
      <x:c r="A22" s="112" t="str">
        <x:v>FB-P4-001</x:v>
      </x:c>
      <x:c r="B22" s="76" t="str">
        <x:v>Phase 4</x:v>
      </x:c>
      <x:c r="C22" s="76" t="str">
        <x:v>Settings</x:v>
      </x:c>
      <x:c r="D22" s="76" t="str">
        <x:v>Project-specific Workflow Status configuration</x:v>
      </x:c>
      <x:c r="E22" s="76" t="str">
        <x:v>Deferred Configuration</x:v>
      </x:c>
      <x:c r="F22" s="111" t="str">
        <x:v>Future Backlog</x:v>
      </x:c>
      <x:c r="G22" s="76" t="str">
        <x:v>All Projects currently use the approved default Agile statuses. A custom workflow designer/configuration is not yet defined.</x:v>
      </x:c>
      <x:c r="H22" s="76" t="str">
        <x:v>Requires a new Project Settings design slice.</x:v>
      </x:c>
      <x:c r="I22" s="76" t="str">
        <x:v>Define editable statuses, ordering, transition effects, migration and cross-screen behavior.</x:v>
      </x:c>
      <x:c r="J22" s="76" t="str">
        <x:v>Phase 4/03_Settings_Audit/SRS.md; Phase 4/PHASE4_MOCKUP_CHECKLIST.md</x:v>
      </x:c>
    </x:row>
    <x:row r="23" ht="58" customHeight="1">
      <x:c r="A23" s="112" t="str">
        <x:v>FB-P4-002</x:v>
      </x:c>
      <x:c r="B23" s="76" t="str">
        <x:v>Phase 4</x:v>
      </x:c>
      <x:c r="C23" s="76" t="str">
        <x:v>Settings</x:v>
      </x:c>
      <x:c r="D23" s="76" t="str">
        <x:v>Labels management and work-item tagging</x:v>
      </x:c>
      <x:c r="E23" s="76" t="str">
        <x:v>Deferred Configuration</x:v>
      </x:c>
      <x:c r="F23" s="111" t="str">
        <x:v>Future Backlog</x:v>
      </x:c>
      <x:c r="G23" s="76" t="str">
        <x:v>Label creation, assignment, filtering and reporting were deferred because no end-to-end label workflow was confirmed.</x:v>
      </x:c>
      <x:c r="H23" s="76" t="str">
        <x:v>Requires a complete label usage proposal.</x:v>
      </x:c>
      <x:c r="I23" s="76" t="str">
        <x:v>Define label scope, uniqueness, colors, assignment, filters, permissions and reporting.</x:v>
      </x:c>
      <x:c r="J23" s="76" t="str">
        <x:v>Phase 4/03_Settings_Audit/SRS.md; Phase 4/PHASE4_MOCKUP_CHECKLIST.md</x:v>
      </x:c>
    </x:row>
    <x:row r="24" ht="58" customHeight="1">
      <x:c r="A24" s="112" t="str">
        <x:v>FB-P4-003</x:v>
      </x:c>
      <x:c r="B24" s="76" t="str">
        <x:v>Phase 4</x:v>
      </x:c>
      <x:c r="C24" s="76" t="str">
        <x:v>RBAC</x:v>
      </x:c>
      <x:c r="D24" s="76" t="str">
        <x:v>External collaborator / Guest role</x:v>
      </x:c>
      <x:c r="E24" s="76" t="str">
        <x:v>Conditional Option</x:v>
      </x:c>
      <x:c r="F24" s="111" t="str">
        <x:v>Conditional</x:v>
      </x:c>
      <x:c r="G24" s="76" t="str">
        <x:v>Guest was removed from the three-role MVP. External collaboration requires a separate scope decision.</x:v>
      </x:c>
      <x:c r="H24" s="76" t="str">
        <x:v>Reopen only when an external-sharing use case is approved.</x:v>
      </x:c>
      <x:c r="I24" s="76" t="str">
        <x:v>Define tenant visibility, invitation, expiration, allowed actions and audit behavior.</x:v>
      </x:c>
      <x:c r="J24" s="76" t="str">
        <x:v>Phase 4/02_Roles_Permissions/SRS.md</x:v>
      </x:c>
    </x:row>
    <x:row r="25" ht="58" customHeight="1">
      <x:c r="A25" s="112" t="str">
        <x:v>FB-P4-004</x:v>
      </x:c>
      <x:c r="B25" s="76" t="str">
        <x:v>Phase 4</x:v>
      </x:c>
      <x:c r="C25" s="76" t="str">
        <x:v>Audit</x:v>
      </x:c>
      <x:c r="D25" s="76" t="str">
        <x:v>Project Admin project-level audit visibility</x:v>
      </x:c>
      <x:c r="E25" s="76" t="str">
        <x:v>Deferred Enhancement</x:v>
      </x:c>
      <x:c r="F25" s="111" t="str">
        <x:v>Deferred</x:v>
      </x:c>
      <x:c r="G25" s="76" t="str">
        <x:v>Workspace-wide Audit is a Workspace Admin baseline; Project Admin project-level audit visibility was deferred.</x:v>
      </x:c>
      <x:c r="H25" s="76" t="str">
        <x:v>Requires project-scoped audit requirements and privacy review.</x:v>
      </x:c>
      <x:c r="I25" s="76" t="str">
        <x:v>Define visible event types, scope filters, retention and export permissions.</x:v>
      </x:c>
      <x:c r="J25" s="76" t="str">
        <x:v>Phase 4/02_Roles_Permissions/SRS.md</x:v>
      </x:c>
    </x:row>
    <x:row r="26" ht="58" customHeight="1">
      <x:c r="A26" s="112" t="str">
        <x:v>FB-P4-005</x:v>
      </x:c>
      <x:c r="B26" s="76" t="str">
        <x:v>Phase 4</x:v>
      </x:c>
      <x:c r="C26" s="76" t="str">
        <x:v>Home</x:v>
      </x:c>
      <x:c r="D26" s="76" t="str">
        <x:v>Recent Activity scope</x:v>
      </x:c>
      <x:c r="E26" s="76" t="str">
        <x:v>Open Decision</x:v>
      </x:c>
      <x:c r="F26" s="111" t="str">
        <x:v>Decision Pending</x:v>
      </x:c>
      <x:c r="G26" s="76" t="str">
        <x:v>It is still unclear whether Home Recent Activity is workspace-wide or user-scoped and whether it paginates.</x:v>
      </x:c>
      <x:c r="H26" s="76" t="str">
        <x:v>Needs BA confirmation before the Home contract is extended.</x:v>
      </x:c>
      <x:c r="I26" s="76" t="str">
        <x:v>Decide visibility scope, event inclusion, ordering, pagination and empty state.</x:v>
      </x:c>
      <x:c r="J26" s="76" t="str">
        <x:v>08_Convert to figma/P7_Future_QA_and_Handoff/RELEASE_NOTES.md (Q-09)</x:v>
      </x:c>
    </x:row>
    <x:row r="27" ht="58" customHeight="1">
      <x:c r="A27" s="112" t="str">
        <x:v>FB-P4-006</x:v>
      </x:c>
      <x:c r="B27" s="76" t="str">
        <x:v>Phase 4</x:v>
      </x:c>
      <x:c r="C27" s="76" t="str">
        <x:v>Project Management</x:v>
      </x:c>
      <x:c r="D27" s="76" t="str">
        <x:v>Project hard-delete policy</x:v>
      </x:c>
      <x:c r="E27" s="76" t="str">
        <x:v>Open Decision</x:v>
      </x:c>
      <x:c r="F27" s="111" t="str">
        <x:v>Decision Pending</x:v>
      </x:c>
      <x:c r="G27" s="76" t="str">
        <x:v>Archive/Restore is the accepted baseline; permanent hard delete remains an unresolved optional policy.</x:v>
      </x:c>
      <x:c r="H27" s="76" t="str">
        <x:v>Only reconsider if regulatory/data-retention needs require deletion.</x:v>
      </x:c>
      <x:c r="I27" s="76" t="str">
        <x:v>Confirm whether hard delete exists, who can use it, dependency guards and recovery expectations.</x:v>
      </x:c>
      <x:c r="J27" s="76" t="str">
        <x:v>08_Convert to figma/P7_Future_QA_and_Handoff/RELEASE_NOTES.md (Q-10); Phase 4/03_Settings_Audit/SRS.md</x:v>
      </x:c>
    </x:row>
    <x:row r="28" ht="58" customHeight="1">
      <x:c r="A28" s="112" t="str">
        <x:v>FB-P4-007</x:v>
      </x:c>
      <x:c r="B28" s="76" t="str">
        <x:v>Phase 4</x:v>
      </x:c>
      <x:c r="C28" s="76" t="str">
        <x:v>Destructive Actions</x:v>
      </x:c>
      <x:c r="D28" s="76" t="str">
        <x:v>Blocked-delete dependency UX</x:v>
      </x:c>
      <x:c r="E28" s="76" t="str">
        <x:v>Open Decision</x:v>
      </x:c>
      <x:c r="F28" s="111" t="str">
        <x:v>Decision Pending</x:v>
      </x:c>
      <x:c r="G28" s="76" t="str">
        <x:v>A blocked delete must explain dependencies and preserve the record; the consolidated modal/detail presentation remains unspecified.</x:v>
      </x:c>
      <x:c r="H28" s="76" t="str">
        <x:v>Depends on entity-specific dependency messages.</x:v>
      </x:c>
      <x:c r="I28" s="76" t="str">
        <x:v>Define modal structure, dependency list/detail, next actions and accessibility behavior.</x:v>
      </x:c>
      <x:c r="J28" s="76" t="str">
        <x:v>08_Convert to figma/P7_Future_QA_and_Handoff/RELEASE_NOTES.md (Q-02/Q-16); Phase 4/02_Roles_Permissions/SRS.md</x:v>
      </x:c>
    </x:row>
    <x:row r="29" ht="58" customHeight="1">
      <x:c r="A29" s="112" t="str">
        <x:v>FB-P5-003</x:v>
      </x:c>
      <x:c r="B29" s="76" t="str">
        <x:v>Phase 5</x:v>
      </x:c>
      <x:c r="C29" s="76" t="str">
        <x:v>Portfolio Planning</x:v>
      </x:c>
      <x:c r="D29" s="76" t="str">
        <x:v>Release Planning</x:v>
      </x:c>
      <x:c r="E29" s="76" t="str">
        <x:v>Future Feature</x:v>
      </x:c>
      <x:c r="F29" s="143" t="str">
        <x:v>Future Backlog</x:v>
      </x:c>
      <x:c r="G29" s="76" t="str">
        <x:v>Release Planning was removed from the closed Phase 5 MVP. Future scope may cover unassigned Feature backlog and assign/move/unassign across Releases without creating a second Release registry.</x:v>
      </x:c>
      <x:c r="H29" s="76" t="str">
        <x:v>Requires a separate BA problem statement.</x:v>
      </x:c>
      <x:c r="I29" s="76" t="str">
        <x:v>Validate that Capacity Planning does not already solve the target planning problem, then create a new SRS/mockup gate.</x:v>
      </x:c>
      <x:c r="J29" s="76" t="str">
        <x:v>Future_Backlog/02_Release_Planning.md; Phase 5/PHASE5_DEV_HANDOFF.md</x:v>
      </x:c>
    </x:row>
    <x:row r="30" ht="58" customHeight="1">
      <x:c r="A30" s="112" t="str">
        <x:v>FB-P5-005</x:v>
      </x:c>
      <x:c r="B30" s="76" t="str">
        <x:v>Phase 5</x:v>
      </x:c>
      <x:c r="C30" s="76" t="str">
        <x:v>Portfolio</x:v>
      </x:c>
      <x:c r="D30" s="76" t="str">
        <x:v>Portfolio Overview</x:v>
      </x:c>
      <x:c r="E30" s="76" t="str">
        <x:v>Future Feature</x:v>
      </x:c>
      <x:c r="F30" s="111" t="str">
        <x:v>Future Backlog</x:v>
      </x:c>
      <x:c r="G30" s="76" t="str">
        <x:v>A broader portfolio overview remains deferred and is not part of the accepted Portfolio Items list/detail scope.</x:v>
      </x:c>
      <x:c r="H30" s="76" t="str">
        <x:v>Requires a distinct leadership decision/use-case proposal.</x:v>
      </x:c>
      <x:c r="I30" s="76" t="str">
        <x:v>Define portfolio-level questions, roll-ups, filters and relationship to Reports.</x:v>
      </x:c>
      <x:c r="J30" s="76" t="str">
        <x:v>reconciliation/DEV_HANDOFF.md</x:v>
      </x:c>
    </x:row>
    <x:row r="31" ht="58" customHeight="1">
      <x:c r="A31" s="112" t="str">
        <x:v>FB-P5-006</x:v>
      </x:c>
      <x:c r="B31" s="76" t="str">
        <x:v>Phase 5</x:v>
      </x:c>
      <x:c r="C31" s="76" t="str">
        <x:v>Portfolio Hierarchy</x:v>
      </x:c>
      <x:c r="D31" s="76" t="str">
        <x:v>Theme and deeper custom Portfolio Item hierarchy</x:v>
      </x:c>
      <x:c r="E31" s="76" t="str">
        <x:v>Future Capability</x:v>
      </x:c>
      <x:c r="F31" s="111" t="str">
        <x:v>Future Backlog</x:v>
      </x:c>
      <x:c r="G31" s="76" t="str">
        <x:v>The accepted hierarchy stops at Epic -&gt; Feature. Theme and additional configurable levels remain outside scope.</x:v>
      </x:c>
      <x:c r="H31" s="76" t="str">
        <x:v>Requires hierarchy governance and migration rules.</x:v>
      </x:c>
      <x:c r="I31" s="76" t="str">
        <x:v>Define level naming, cardinality, templates, roll-ups, permissions and archive behavior.</x:v>
      </x:c>
      <x:c r="J31" s="76" t="str">
        <x:v>Phase 5/PHASE5_DEV_HANDOFF.md; RECONCILED_SOURCE_OF_TRUTH.md</x:v>
      </x:c>
    </x:row>
    <x:row r="32" ht="58" customHeight="1">
      <x:c r="A32" s="112" t="str">
        <x:v>FB-P5-007</x:v>
      </x:c>
      <x:c r="B32" s="76" t="str">
        <x:v>Phase 5</x:v>
      </x:c>
      <x:c r="C32" s="76" t="str">
        <x:v>Project Management</x:v>
      </x:c>
      <x:c r="D32" s="76" t="str">
        <x:v>User-configurable Preliminary Estimate mapping</x:v>
      </x:c>
      <x:c r="E32" s="76" t="str">
        <x:v>Deferred Configuration</x:v>
      </x:c>
      <x:c r="F32" s="213" t="str">
        <x:v>Deferred</x:v>
      </x:c>
      <x:c r="G32" s="76" t="str">
        <x:v>The current No Entry/XS/S/M/L/XL points/count mapping is temporary mock data. Confirmed future location is Settings &gt; Workspace &gt; Project Management.</x:v>
      </x:c>
      <x:c r="H32" s="76" t="str">
        <x:v>Requires a dedicated configuration design slice.</x:v>
      </x:c>
      <x:c r="I32" s="76" t="str">
        <x:v>Define editable scale values, defaults, validation, change impact and historical behavior.</x:v>
      </x:c>
      <x:c r="J32" s="76" t="str">
        <x:v>Phase 5/PHASE5_DEV_HANDOFF.md; Phase 5/02_Capacity_Planning/SRS.md</x:v>
      </x:c>
    </x:row>
    <x:row r="33" ht="58" customHeight="1">
      <x:c r="A33" s="112" t="str">
        <x:v>FB-P5-008</x:v>
      </x:c>
      <x:c r="B33" s="76" t="str">
        <x:v>Phase 5</x:v>
      </x:c>
      <x:c r="C33" s="76" t="str">
        <x:v>Portfolio / Capacity RBAC</x:v>
      </x:c>
      <x:c r="D33" s="76" t="str">
        <x:v>Detailed action-level Portfolio and Capacity permissions</x:v>
      </x:c>
      <x:c r="E33" s="76" t="str">
        <x:v>Deferred Configuration</x:v>
      </x:c>
      <x:c r="F33" s="111" t="str">
        <x:v>Deferred</x:v>
      </x:c>
      <x:c r="G33" s="76" t="str">
        <x:v>Current Capacity Planner permission is a temporary Full/View baseline; detailed action-level permissions are explicitly deferred.</x:v>
      </x:c>
      <x:c r="H33" s="76" t="str">
        <x:v>Requires a separate RBAC refinement proposal.</x:v>
      </x:c>
      <x:c r="I33" s="76" t="str">
        <x:v>Decide permission keys for create/edit/allocate/publish/revert/archive and role defaults.</x:v>
      </x:c>
      <x:c r="J33" s="76" t="str">
        <x:v>Phase 5/PHASE5_DEV_HANDOFF.md; Phase 5/02_Capacity_Planning/SRS.md</x:v>
      </x:c>
    </x:row>
    <x:row r="34" ht="58" customHeight="1">
      <x:c r="A34" s="112" t="str">
        <x:v>FB-P5-009</x:v>
      </x:c>
      <x:c r="B34" s="76" t="str">
        <x:v>Phase 5</x:v>
      </x:c>
      <x:c r="C34" s="76" t="str">
        <x:v>Capacity Planning</x:v>
      </x:c>
      <x:c r="D34" s="76" t="str">
        <x:v>Multi-Release Capacity Plan</x:v>
      </x:c>
      <x:c r="E34" s="76" t="str">
        <x:v>Future Capability</x:v>
      </x:c>
      <x:c r="F34" s="111" t="str">
        <x:v>Future Backlog</x:v>
      </x:c>
      <x:c r="G34" s="76" t="str">
        <x:v>Current Capacity Plan supports exactly one existing Release.</x:v>
      </x:c>
      <x:c r="H34" s="76" t="str">
        <x:v>Requires confirmed demand for planning across Releases.</x:v>
      </x:c>
      <x:c r="I34" s="76" t="str">
        <x:v>Define release selection, allocation overlap, metrics and publish semantics.</x:v>
      </x:c>
      <x:c r="J34" s="76" t="str">
        <x:v>Phase 5/PHASE5_DEV_HANDOFF.md; Phase 5/02_Capacity_Planning/SRS.md</x:v>
      </x:c>
    </x:row>
    <x:row r="35" ht="58" customHeight="1">
      <x:c r="A35" s="112" t="str">
        <x:v>FB-P5-010</x:v>
      </x:c>
      <x:c r="B35" s="76" t="str">
        <x:v>Phase 5</x:v>
      </x:c>
      <x:c r="C35" s="76" t="str">
        <x:v>Capacity Planning</x:v>
      </x:c>
      <x:c r="D35" s="76" t="str">
        <x:v>Plan of Plans</x:v>
      </x:c>
      <x:c r="E35" s="76" t="str">
        <x:v>Future Capability</x:v>
      </x:c>
      <x:c r="F35" s="111" t="str">
        <x:v>Future Backlog</x:v>
      </x:c>
      <x:c r="G35" s="76" t="str">
        <x:v>Portfolio-level aggregation across multiple Capacity Plans is not defined.</x:v>
      </x:c>
      <x:c r="H35" s="76" t="str">
        <x:v>Depends on multi-plan governance and stable Plan metrics.</x:v>
      </x:c>
      <x:c r="I35" s="76" t="str">
        <x:v>Define aggregation hierarchy, double-count prevention, access and drill-down.</x:v>
      </x:c>
      <x:c r="J35" s="76" t="str">
        <x:v>Phase 5/PHASE5_DEV_HANDOFF.md</x:v>
      </x:c>
    </x:row>
    <x:row r="36" ht="58" customHeight="1">
      <x:c r="A36" s="112" t="str">
        <x:v>FB-P5-011</x:v>
      </x:c>
      <x:c r="B36" s="76" t="str">
        <x:v>Phase 5</x:v>
      </x:c>
      <x:c r="C36" s="76" t="str">
        <x:v>Capacity Planning</x:v>
      </x:c>
      <x:c r="D36" s="76" t="str">
        <x:v>Multiple what-if plans for the same Project and Release</x:v>
      </x:c>
      <x:c r="E36" s="76" t="str">
        <x:v>Future Capability</x:v>
      </x:c>
      <x:c r="F36" s="111" t="str">
        <x:v>Future Backlog</x:v>
      </x:c>
      <x:c r="G36" s="76" t="str">
        <x:v>Current rule allows only one Plan per Project + Release.</x:v>
      </x:c>
      <x:c r="H36" s="76" t="str">
        <x:v>Requires scenario lifecycle and comparison rules.</x:v>
      </x:c>
      <x:c r="I36" s="76" t="str">
        <x:v>Define scenario naming, active baseline, copy/compare, publish authority and cleanup.</x:v>
      </x:c>
      <x:c r="J36" s="76" t="str">
        <x:v>Phase 5/PHASE5_DEV_HANDOFF.md; Phase 5/02_Capacity_Planning/SRS.md</x:v>
      </x:c>
    </x:row>
    <x:row r="37" ht="58" customHeight="1">
      <x:c r="A37" s="112" t="str">
        <x:v>FB-P5-012</x:v>
      </x:c>
      <x:c r="B37" s="76" t="str">
        <x:v>Phase 5</x:v>
      </x:c>
      <x:c r="C37" s="76" t="str">
        <x:v>Capacity Planning</x:v>
      </x:c>
      <x:c r="D37" s="76" t="str">
        <x:v>Automatic capacity rebalance</x:v>
      </x:c>
      <x:c r="E37" s="76" t="str">
        <x:v>Future Capability</x:v>
      </x:c>
      <x:c r="F37" s="111" t="str">
        <x:v>Future Backlog</x:v>
      </x:c>
      <x:c r="G37" s="76" t="str">
        <x:v>Current allocations and Team Capacity are manual; the system does not redistribute demand automatically.</x:v>
      </x:c>
      <x:c r="H37" s="76" t="str">
        <x:v>Requires optimization objectives and override rules.</x:v>
      </x:c>
      <x:c r="I37" s="76" t="str">
        <x:v>Define constraints, recommendation versus automatic action, explainability and undo.</x:v>
      </x:c>
      <x:c r="J37" s="76" t="str">
        <x:v>Phase 5/PHASE5_DEV_HANDOFF.md</x:v>
      </x:c>
    </x:row>
    <x:row r="38" ht="58" customHeight="1">
      <x:c r="A38" s="112" t="str">
        <x:v>FB-P5-013</x:v>
      </x:c>
      <x:c r="B38" s="76" t="str">
        <x:v>Phase 5</x:v>
      </x:c>
      <x:c r="C38" s="76" t="str">
        <x:v>Capacity Planning</x:v>
      </x:c>
      <x:c r="D38" s="76" t="str">
        <x:v>Velocity-driven automatic capacity</x:v>
      </x:c>
      <x:c r="E38" s="76" t="str">
        <x:v>Future Capability</x:v>
      </x:c>
      <x:c r="F38" s="111" t="str">
        <x:v>Future Backlog</x:v>
      </x:c>
      <x:c r="G38" s="76" t="str">
        <x:v>Capacity Forecast is a Draft-only helper and never auto-updates capacity after apply.</x:v>
      </x:c>
      <x:c r="H38" s="76" t="str">
        <x:v>Depends on trusted historical velocity and snapshot data.</x:v>
      </x:c>
      <x:c r="I38" s="76" t="str">
        <x:v>Define velocity window, exclusions, confidence, manual override and refresh behavior.</x:v>
      </x:c>
      <x:c r="J38" s="76" t="str">
        <x:v>Phase 5/PHASE5_DEV_HANDOFF.md</x:v>
      </x:c>
    </x:row>
    <x:row r="39" ht="58" customHeight="1">
      <x:c r="A39" s="112" t="str">
        <x:v>FB-P5-014</x:v>
      </x:c>
      <x:c r="B39" s="76" t="str">
        <x:v>Phase 5</x:v>
      </x:c>
      <x:c r="C39" s="76" t="str">
        <x:v>Dependencies</x:v>
      </x:c>
      <x:c r="D39" s="76" t="str">
        <x:v>Portfolio/Capacity dependency data and behavior</x:v>
      </x:c>
      <x:c r="E39" s="76" t="str">
        <x:v>Future Capability</x:v>
      </x:c>
      <x:c r="F39" s="111" t="str">
        <x:v>Future Backlog</x:v>
      </x:c>
      <x:c r="G39" s="76" t="str">
        <x:v>Dependencies columns currently show a placeholder only; no dependency contract or behavior is modelled.</x:v>
      </x:c>
      <x:c r="H39" s="76" t="str">
        <x:v>Requires cross-item dependency rules.</x:v>
      </x:c>
      <x:c r="I39" s="76" t="str">
        <x:v>Define dependency types, direction, validation, warnings, navigation and roll-up impact.</x:v>
      </x:c>
      <x:c r="J39" s="76" t="str">
        <x:v>Phase 5/02_Capacity_Planning/SRS.md</x:v>
      </x:c>
    </x:row>
    <x:row r="40" ht="58" customHeight="1">
      <x:c r="A40" s="112" t="str">
        <x:v>FB-P5-015</x:v>
      </x:c>
      <x:c r="B40" s="76" t="str">
        <x:v>Phase 5</x:v>
      </x:c>
      <x:c r="C40" s="76" t="str">
        <x:v>Capacity Analytics</x:v>
      </x:c>
      <x:c r="D40" s="76" t="str">
        <x:v>Full Breakdown chart</x:v>
      </x:c>
      <x:c r="E40" s="76" t="str">
        <x:v>Deferred Enhancement</x:v>
      </x:c>
      <x:c r="F40" s="111" t="str">
        <x:v>Deferred</x:v>
      </x:c>
      <x:c r="G40" s="76" t="str">
        <x:v>Only the compact read-only Breakdown overlay is included; a full Rally-style chart is outside scope.</x:v>
      </x:c>
      <x:c r="H40" s="76" t="str">
        <x:v>Depends on confirmed analytical decisions and chart metrics.</x:v>
      </x:c>
      <x:c r="I40" s="76" t="str">
        <x:v>Define chart questions, time dimension, grouping, interactions and empty states.</x:v>
      </x:c>
      <x:c r="J40" s="76" t="str">
        <x:v>Phase 5/02_Capacity_Planning/SRS.md</x:v>
      </x:c>
    </x:row>
    <x:row r="41" ht="58" customHeight="1">
      <x:c r="A41" s="112" t="str">
        <x:v>FB-P5-016</x:v>
      </x:c>
      <x:c r="B41" s="76" t="str">
        <x:v>Phase 5</x:v>
      </x:c>
      <x:c r="C41" s="76" t="str">
        <x:v>Capacity Plan Detail</x:v>
      </x:c>
      <x:c r="D41" s="76" t="str">
        <x:v>Alignment, Progress and Revision History tabs</x:v>
      </x:c>
      <x:c r="E41" s="76" t="str">
        <x:v>Future Feature</x:v>
      </x:c>
      <x:c r="F41" s="111" t="str">
        <x:v>Future Backlog</x:v>
      </x:c>
      <x:c r="G41" s="76" t="str">
        <x:v>These tabs are not included in the accepted P5.2 detail surface.</x:v>
      </x:c>
      <x:c r="H41" s="76" t="str">
        <x:v>Each tab requires its own problem statement and data contract.</x:v>
      </x:c>
      <x:c r="I41" s="76" t="str">
        <x:v>Prioritize separately; define purpose, fields, permissions and relation to Reports/Audit.</x:v>
      </x:c>
      <x:c r="J41" s="76" t="str">
        <x:v>Phase 5/02_Capacity_Planning/SRS.md</x:v>
      </x:c>
    </x:row>
    <x:row r="42" ht="58" customHeight="1">
      <x:c r="A42" s="112" t="str">
        <x:v>FB-P6-001</x:v>
      </x:c>
      <x:c r="B42" s="76" t="str">
        <x:v>Phase 6</x:v>
      </x:c>
      <x:c r="C42" s="76" t="str">
        <x:v>Release Tracking</x:v>
      </x:c>
      <x:c r="D42" s="76" t="str">
        <x:v>Release dependency analysis and cross-release risk view</x:v>
      </x:c>
      <x:c r="E42" s="76" t="str">
        <x:v>Future Capability</x:v>
      </x:c>
      <x:c r="F42" s="111" t="str">
        <x:v>Future Backlog</x:v>
      </x:c>
      <x:c r="G42" s="76" t="str">
        <x:v>Dependencies is not part of the approved Release Tracking slice.</x:v>
      </x:c>
      <x:c r="H42" s="76" t="str">
        <x:v>Requires a dependency model, direction and cross-release risk semantics.</x:v>
      </x:c>
      <x:c r="I42" s="76" t="str">
        <x:v>Define supported item types, direction, circular validation, severity, roll-up, permissions and navigation.</x:v>
      </x:c>
      <x:c r="J42" s="76" t="str">
        <x:v>Phase 6/01_Release_Tracking/SRS.md</x:v>
      </x:c>
    </x:row>
    <x:row r="43" ht="58" customHeight="1">
      <x:c r="A43" s="112"/>
      <x:c r="B43" s="76"/>
      <x:c r="C43" s="76"/>
      <x:c r="D43" s="76"/>
      <x:c r="E43" s="76"/>
      <x:c r="F43" s="111"/>
      <x:c r="G43" s="76"/>
      <x:c r="H43" s="76"/>
      <x:c r="I43" s="76"/>
      <x:c r="J43" s="76"/>
    </x:row>
    <x:row r="44" ht="58" customHeight="1">
      <x:c r="A44" s="112"/>
      <x:c r="B44" s="76"/>
      <x:c r="C44" s="76"/>
      <x:c r="D44" s="76"/>
      <x:c r="E44" s="76"/>
      <x:c r="F44" s="111"/>
      <x:c r="G44" s="76"/>
      <x:c r="H44" s="76"/>
      <x:c r="I44" s="76"/>
      <x:c r="J44" s="76"/>
    </x:row>
    <x:row r="46" ht="25" customHeight="1">
      <x:c r="A46" s="116" t="str">
        <x:v>Source precedence: RECONCILED_SOURCE_OF_TRUTH.md and current phase handoffs/SRS override historical stubs. Items marked Conditional are not planned work unless their stated trigger occurs.</x:v>
      </x:c>
      <x:c r="B46" s="116"/>
      <x:c r="C46" s="116"/>
      <x:c r="D46" s="116"/>
      <x:c r="E46" s="116"/>
      <x:c r="F46" s="116"/>
      <x:c r="G46" s="116"/>
      <x:c r="H46" s="116"/>
      <x:c r="I46" s="116"/>
      <x:c r="J46" s="116"/>
    </x:row>
  </x:sheetData>
  <x:mergeCells>
    <x:mergeCell ref="A1:J1"/>
    <x:mergeCell ref="A2:J2"/>
    <x:mergeCell ref="A6:J6"/>
    <x:mergeCell ref="A46:J46"/>
  </x:mergeCells>
  <x:conditionalFormatting sqref="F9:F44">
    <x:cfRule type="containsText" dxfId="0" priority="1" operator="containsText" text="Future Backlog"/>
    <x:cfRule type="containsText" dxfId="1" priority="2" operator="containsText" text="Decision Pending"/>
    <x:cfRule type="containsText" dxfId="2" priority="3" operator="containsText" text="Deferred"/>
    <x:cfRule type="containsText" dxfId="3" priority="4" operator="containsText" text="Conditional"/>
    <x:cfRule type="containsText" dxfId="10" priority="5" operator="containsText" text="Promoted to Phase 6"/>
  </x:conditionalFormatting>
  <x:dataValidations count="2">
    <x:dataValidation type="list" sqref="E9:E44">
      <x:formula1>"Future Feature,Future Capability,Open Decision,Deferred Enhancement,Deferred Configuration,Conditional Option"</x:formula1>
    </x:dataValidation>
    <x:dataValidation type="list" sqref="F9:F44">
      <x:formula1>"Future Backlog,Decision Pending,Deferred,Conditional,Promoted to Phase 6"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2394d89873464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34" hidden="0" customWidth="1"/>
    <x:col min="4" max="4" width="34" hidden="0" customWidth="1"/>
    <x:col min="5" max="5" width="36" hidden="0" customWidth="1"/>
    <x:col min="6" max="6" width="30" hidden="0" customWidth="1"/>
    <x:col min="7" max="7" width="36" hidden="0" customWidth="1"/>
    <x:col min="8" max="8" width="32" hidden="0" customWidth="1"/>
    <x:col min="9" max="9" width="28" hidden="0" customWidth="1"/>
    <x:col min="10" max="10" width="30" hidden="0" customWidth="1"/>
  </x:cols>
  <x:sheetData>
    <x:row r="1" ht="34" customHeight="1">
      <x:c r="A1" s="146" t="str">
        <x:v>MINI RALLY — PHASE 6 REPORTS</x:v>
      </x:c>
      <x:c r="B1" s="146"/>
      <x:c r="C1" s="146"/>
      <x:c r="D1" s="146"/>
      <x:c r="E1" s="146"/>
      <x:c r="F1" s="146"/>
      <x:c r="G1" s="146"/>
      <x:c r="H1" s="146"/>
      <x:c r="I1" s="146"/>
      <x:c r="J1" s="146"/>
    </x:row>
    <x:row r="2" ht="25" customHeight="1">
      <x:c r="A2" s="149" t="str">
        <x:v>BA/mockup approved 2026-07-31 | Exactly 3 report types | Release Tracking is a separate Portfolio surface | Production implementation is DEV-owned</x:v>
      </x:c>
      <x:c r="B2" s="149"/>
      <x:c r="C2" s="149"/>
      <x:c r="D2" s="149"/>
      <x:c r="E2" s="149"/>
      <x:c r="F2" s="149"/>
      <x:c r="G2" s="149"/>
      <x:c r="H2" s="149"/>
      <x:c r="I2" s="149"/>
      <x:c r="J2" s="149"/>
    </x:row>
    <x:row r="4" ht="32" customHeight="1">
      <x:c r="A4" s="152" t="str">
        <x:v>Phase Status</x:v>
      </x:c>
      <x:c r="B4" s="157" t="str">
        <x:v>BA/Mockup Approved</x:v>
      </x:c>
      <x:c r="C4" s="152" t="str">
        <x:v>Report Types</x:v>
      </x:c>
      <x:c r="D4" s="157" t="n">
        <x:v>3</x:v>
      </x:c>
      <x:c r="E4" s="152" t="str">
        <x:v>Product Surface</x:v>
      </x:c>
      <x:c r="F4" s="157" t="str">
        <x:v>Reports</x:v>
      </x:c>
      <x:c r="G4" s="152" t="str">
        <x:v>Open Decisions</x:v>
      </x:c>
      <x:c r="H4" s="157" t="n">
        <x:v>0</x:v>
      </x:c>
      <x:c r="I4" s="152" t="str">
        <x:v>Next Gate</x:v>
      </x:c>
      <x:c r="J4" s="157" t="str">
        <x:v>DEV Handoff</x:v>
      </x:c>
    </x:row>
    <x:row r="5" ht="32" customHeight="1">
      <x:c r="A5" s="152" t="str">
        <x:v>Scope</x:v>
      </x:c>
      <x:c r="B5" s="157" t="str">
        <x:v>BA + Mockup</x:v>
      </x:c>
      <x:c r="C5" s="152" t="str">
        <x:v>Historical Rule</x:v>
      </x:c>
      <x:c r="D5" s="157" t="str">
        <x:v>Per-report contract</x:v>
      </x:c>
      <x:c r="E5" s="152" t="str">
        <x:v>Units</x:v>
      </x:c>
      <x:c r="F5" s="157" t="str">
        <x:v>Points + Hours</x:v>
      </x:c>
      <x:c r="G5" s="152" t="str">
        <x:v>Playwright</x:v>
      </x:c>
      <x:c r="H5" s="157" t="str">
        <x:v>Not required by BA</x:v>
      </x:c>
      <x:c r="I5" s="152" t="str">
        <x:v>Production</x:v>
      </x:c>
      <x:c r="J5" s="157" t="str">
        <x:v>DEV-owned</x:v>
      </x:c>
    </x:row>
    <x:row r="7" ht="25" customHeight="1">
      <x:c r="A7" s="159" t="str">
        <x:v>RECOMMENDED REPORT INFORMATION ARCHITECTURE</x:v>
      </x:c>
      <x:c r="B7" s="159"/>
      <x:c r="C7" s="159"/>
      <x:c r="D7" s="159"/>
      <x:c r="E7" s="159"/>
      <x:c r="F7" s="159"/>
      <x:c r="G7" s="159"/>
      <x:c r="H7" s="159"/>
      <x:c r="I7" s="159"/>
      <x:c r="J7" s="159"/>
    </x:row>
    <x:row r="8" ht="34" customHeight="1">
      <x:c r="A8" s="162" t="str">
        <x:v>Area</x:v>
      </x:c>
      <x:c r="B8" s="162" t="str">
        <x:v>Report</x:v>
      </x:c>
      <x:c r="C8" s="162" t="str">
        <x:v>Primary Context</x:v>
      </x:c>
      <x:c r="D8" s="162" t="str">
        <x:v>Required Filters</x:v>
      </x:c>
      <x:c r="E8" s="162" t="str">
        <x:v>Business Question</x:v>
      </x:c>
      <x:c r="F8" s="162" t="str">
        <x:v>Recommended Visual</x:v>
      </x:c>
      <x:c r="G8" s="162" t="str">
        <x:v>Key KPI</x:v>
      </x:c>
      <x:c r="H8" s="162" t="str">
        <x:v>Default Drill-down</x:v>
      </x:c>
      <x:c r="I8" s="162" t="str">
        <x:v>Data Readiness</x:v>
      </x:c>
      <x:c r="J8" s="162" t="str">
        <x:v>BA Status</x:v>
      </x:c>
    </x:row>
    <x:row r="9" ht="64" customHeight="1">
      <x:c r="A9" s="76" t="str">
        <x:v>Iteration Analytics</x:v>
      </x:c>
      <x:c r="B9" s="76" t="str">
        <x:v>Iteration Burndown</x:v>
      </x:c>
      <x:c r="C9" s="76" t="str">
        <x:v>One selected Iteration</x:v>
      </x:c>
      <x:c r="D9" s="76" t="str">
        <x:v>Global Project/Team + Iteration picker</x:v>
      </x:c>
      <x:c r="E9" s="76" t="str">
        <x:v>Is remaining Task ToDo reducing against the planning baseline?</x:v>
      </x:c>
      <x:c r="F9" s="76" t="str">
        <x:v>ToDo hours bars + Accepted points bars + Ideal Task-hours line</x:v>
      </x:c>
      <x:c r="G9" s="76" t="str">
        <x:v>Remaining ToDo / Accepted Points</x:v>
      </x:c>
      <x:c r="H9" s="76" t="str">
        <x:v>Date snapshot</x:v>
      </x:c>
      <x:c r="I9" s="76" t="str">
        <x:v>Daily snapshots + start baseline required</x:v>
      </x:c>
      <x:c r="J9" s="221" t="str">
        <x:v>Approved</x:v>
      </x:c>
    </x:row>
    <x:row r="10" ht="64" customHeight="1">
      <x:c r="A10" s="76" t="str">
        <x:v>Iteration Analytics</x:v>
      </x:c>
      <x:c r="B10" s="76" t="str">
        <x:v>Velocity</x:v>
      </x:c>
      <x:c r="C10" s="76" t="str">
        <x:v>Last 5 or 10 completed Iterations</x:v>
      </x:c>
      <x:c r="D10" s="76" t="str">
        <x:v>Global Project/Team + window</x:v>
      </x:c>
      <x:c r="E10" s="76" t="str">
        <x:v>How much work is accepted on time versus late?</x:v>
      </x:c>
      <x:c r="F10" s="76" t="str">
        <x:v>Stacked During/After/Not Accepted + Trend</x:v>
      </x:c>
      <x:c r="G10" s="76" t="str">
        <x:v>Accepted During and averages</x:v>
      </x:c>
      <x:c r="H10" s="76" t="str">
        <x:v>Iteration work items</x:v>
      </x:c>
      <x:c r="I10" s="76" t="str">
        <x:v>acceptedDate required</x:v>
      </x:c>
      <x:c r="J10" s="221" t="str">
        <x:v>Approved</x:v>
      </x:c>
    </x:row>
    <x:row r="11" ht="64" customHeight="1">
      <x:c r="A11" s="76" t="str">
        <x:v>Team Execution</x:v>
      </x:c>
      <x:c r="B11" s="76" t="str">
        <x:v>Team Capacity</x:v>
      </x:c>
      <x:c r="C11" s="76" t="str">
        <x:v>One selected Iteration</x:v>
      </x:c>
      <x:c r="D11" s="76" t="str">
        <x:v>Global Project/Team + Iteration picker</x:v>
      </x:c>
      <x:c r="E11" s="76" t="str">
        <x:v>What are Capacity, Estimate, ToDo and Actual hours?</x:v>
      </x:c>
      <x:c r="F11" s="76" t="str">
        <x:v>Team Status-style expandable table</x:v>
      </x:c>
      <x:c r="G11" s="76" t="str">
        <x:v>Capacity / Estimate / ToDo / Actual</x:v>
      </x:c>
      <x:c r="H11" s="76" t="str">
        <x:v>Team -&gt; Member</x:v>
      </x:c>
      <x:c r="I11" s="76" t="str">
        <x:v>Reuse Team Status source</x:v>
      </x:c>
      <x:c r="J11" s="221" t="str">
        <x:v>Approved</x:v>
      </x:c>
    </x:row>
    <x:row r="12" ht="64" customHeight="1">
      <x:c r="A12" s="76" t="str">
        <x:v>Separate Surface</x:v>
      </x:c>
      <x:c r="B12" s="76" t="str">
        <x:v>Portfolio &gt; Release Tracking</x:v>
      </x:c>
      <x:c r="C12" s="76" t="str">
        <x:v>One selected Release</x:v>
      </x:c>
      <x:c r="D12" s="76" t="str">
        <x:v>Global Project/Team + Release</x:v>
      </x:c>
      <x:c r="E12" s="76" t="str">
        <x:v>Track Direct, Derived and Unparented Release delivery</x:v>
      </x:c>
      <x:c r="F12" s="76" t="str">
        <x:v>Feature list + Release Burnup</x:v>
      </x:c>
      <x:c r="G12" s="76" t="str">
        <x:v>Points or Count</x:v>
      </x:c>
      <x:c r="H12" s="76" t="str">
        <x:v>Feature / Work Item</x:v>
      </x:c>
      <x:c r="I12" s="76" t="str">
        <x:v>Governed by Release Tracking SRS</x:v>
      </x:c>
      <x:c r="J12" s="221" t="str">
        <x:v>Approved separately</x:v>
      </x:c>
    </x:row>
    <x:row r="14" ht="33" customHeight="1">
      <x:c r="A14" s="171" t="str">
        <x:v>Confirmed navigation: Reports renders one selected Type from Iteration Burndown, Velocity or Team Capacity. Release Tracking is not a Reports type and stays under Portfolio.</x:v>
      </x:c>
      <x:c r="B14" s="172"/>
      <x:c r="C14" s="172"/>
      <x:c r="D14" s="172"/>
      <x:c r="E14" s="172"/>
      <x:c r="F14" s="172"/>
      <x:c r="G14" s="172"/>
      <x:c r="H14" s="172"/>
      <x:c r="I14" s="172"/>
      <x:c r="J14" s="173"/>
    </x:row>
    <x:row r="16" ht="25" customHeight="1">
      <x:c r="A16" s="159" t="str">
        <x:v>METRIC CONTRACTS AND RECOMMENDATIONS</x:v>
      </x:c>
      <x:c r="B16" s="159"/>
      <x:c r="C16" s="159"/>
      <x:c r="D16" s="159"/>
      <x:c r="E16" s="159"/>
      <x:c r="F16" s="159"/>
      <x:c r="G16" s="159"/>
      <x:c r="H16" s="159"/>
      <x:c r="I16" s="159"/>
      <x:c r="J16" s="159"/>
    </x:row>
    <x:row r="17" ht="34" customHeight="1">
      <x:c r="A17" s="162" t="str">
        <x:v>Report</x:v>
      </x:c>
      <x:c r="B17" s="162" t="str">
        <x:v>Scope Rule</x:v>
      </x:c>
      <x:c r="C17" s="162" t="str">
        <x:v>Numerator / Actual</x:v>
      </x:c>
      <x:c r="D17" s="162" t="str">
        <x:v>Denominator / Baseline</x:v>
      </x:c>
      <x:c r="E17" s="162" t="str">
        <x:v>Completion Rule</x:v>
      </x:c>
      <x:c r="F17" s="162" t="str">
        <x:v>Special Handling</x:v>
      </x:c>
      <x:c r="G17" s="162" t="str">
        <x:v>Recommended Display</x:v>
      </x:c>
      <x:c r="H17" s="162" t="str">
        <x:v>Drill-down</x:v>
      </x:c>
      <x:c r="I17" s="162" t="str">
        <x:v>Data Source</x:v>
      </x:c>
      <x:c r="J17" s="162" t="str">
        <x:v>Assessment</x:v>
      </x:c>
    </x:row>
    <x:row r="18" ht="76" customHeight="1">
      <x:c r="A18" s="76" t="str">
        <x:v>Iteration Burndown</x:v>
      </x:c>
      <x:c r="B18" s="76" t="str">
        <x:v>Tasks under selected Iteration Story/Defect</x:v>
      </x:c>
      <x:c r="C18" s="76" t="str">
        <x:v>Remaining ToDo = end-of-day SUM(Task.todo); Accepted Points = cumulative Accepted/Release Plan Estimate</x:v>
      </x:c>
      <x:c r="D18" s="76" t="str">
        <x:v>Ideal = totalTaskEstimateAtStart</x:v>
      </x:c>
      <x:c r="E18" s="76" t="str">
        <x:v>Snapshots are immutable</x:v>
      </x:c>
      <x:c r="F18" s="76" t="str">
        <x:v>Workspace-local dates; no reconstructed past</x:v>
      </x:c>
      <x:c r="G18" s="76" t="str">
        <x:v>Dual-axis daily chart</x:v>
      </x:c>
      <x:c r="H18" s="76" t="str">
        <x:v>Daily snapshot</x:v>
      </x:c>
      <x:c r="I18" s="76" t="str">
        <x:v>IterationDailySnapshot + Iteration baseline</x:v>
      </x:c>
      <x:c r="J18" s="76" t="str">
        <x:v>Approved</x:v>
      </x:c>
    </x:row>
    <x:row r="19" ht="76" customHeight="1">
      <x:c r="A19" s="76" t="str">
        <x:v>Velocity</x:v>
      </x:c>
      <x:c r="B19" s="76" t="str">
        <x:v>Completed Iterations with scheduled work</x:v>
      </x:c>
      <x:c r="C19" s="76" t="str">
        <x:v>Accepted During / Accepted After / Not Accepted</x:v>
      </x:c>
      <x:c r="D19" s="76" t="str">
        <x:v>Trend = AVG Accepted During for up to last 10</x:v>
      </x:c>
      <x:c r="E19" s="76" t="str">
        <x:v>Last3/Best3/Worst3 use During only</x:v>
      </x:c>
      <x:c r="F19" s="76" t="str">
        <x:v>Current assignments recalculate chart; acceptedDate separates segments</x:v>
      </x:c>
      <x:c r="G19" s="76" t="str">
        <x:v>Stacked bars + trend</x:v>
      </x:c>
      <x:c r="H19" s="76" t="str">
        <x:v>Iteration items</x:v>
      </x:c>
      <x:c r="I19" s="76" t="str">
        <x:v>Story/Defect planEstimate + acceptedDate</x:v>
      </x:c>
      <x:c r="J19" s="76" t="str">
        <x:v>Approved</x:v>
      </x:c>
    </x:row>
    <x:row r="20" ht="76" customHeight="1">
      <x:c r="A20" s="76" t="str">
        <x:v>Team Capacity</x:v>
      </x:c>
      <x:c r="B20" s="76" t="str">
        <x:v>Selected Iteration and global Project/Team</x:v>
      </x:c>
      <x:c r="C20" s="76" t="str">
        <x:v>SUM Capacity / Estimate / ToDo / Actual hours</x:v>
      </x:c>
      <x:c r="D20" s="76" t="str">
        <x:v>Capacity from Team Status</x:v>
      </x:c>
      <x:c r="E20" s="76" t="str">
        <x:v>No separate capacity store</x:v>
      </x:c>
      <x:c r="F20" s="76" t="str">
        <x:v>All Teams expands Team to Member</x:v>
      </x:c>
      <x:c r="G20" s="76" t="str">
        <x:v>Four columns + summary</x:v>
      </x:c>
      <x:c r="H20" s="76" t="str">
        <x:v>Team/member rows</x:v>
      </x:c>
      <x:c r="I20" s="76" t="str">
        <x:v>Team Status capacity + Tasks</x:v>
      </x:c>
      <x:c r="J20" s="76" t="str">
        <x:v>Approved</x:v>
      </x:c>
    </x:row>
    <x:row r="21" ht="76" customHeight="1">
      <x:c r="A21" s="76" t="str">
        <x:v>Release Tracking</x:v>
      </x:c>
      <x:c r="B21" s="76" t="str">
        <x:v>Separate Portfolio SRS</x:v>
      </x:c>
      <x:c r="C21" s="76" t="str">
        <x:v>See Direct/Derived/Unparented and Burnup formulas</x:v>
      </x:c>
      <x:c r="D21" s="76" t="str">
        <x:v>Persisted historical baseline/events</x:v>
      </x:c>
      <x:c r="E21" s="76" t="str">
        <x:v>Chart Unit Points/Count</x:v>
      </x:c>
      <x:c r="F21" s="76" t="str">
        <x:v>Dependencies remains FB-P6-001</x:v>
      </x:c>
      <x:c r="G21" s="76" t="str">
        <x:v>Feature list + Burnup</x:v>
      </x:c>
      <x:c r="H21" s="76" t="str">
        <x:v>Feature/Work Item</x:v>
      </x:c>
      <x:c r="I21" s="76" t="str">
        <x:v>Phase 6/01_Release_Tracking/SRS.md</x:v>
      </x:c>
      <x:c r="J21" s="76" t="str">
        <x:v>Approved separately</x:v>
      </x:c>
    </x:row>
    <x:row r="23" ht="25" customHeight="1">
      <x:c r="A23" s="159" t="str">
        <x:v>PHASE 6 BA / MOCKUP PLAN</x:v>
      </x:c>
      <x:c r="B23" s="159"/>
      <x:c r="C23" s="159"/>
      <x:c r="D23" s="159"/>
      <x:c r="E23" s="159"/>
      <x:c r="F23" s="159"/>
      <x:c r="G23" s="159"/>
      <x:c r="H23" s="159"/>
      <x:c r="I23" s="159"/>
      <x:c r="J23" s="159"/>
    </x:row>
    <x:row r="24" ht="34" customHeight="1">
      <x:c r="A24" s="162" t="str">
        <x:v>PHASE 6 BA / MOCKUP STATUS</x:v>
      </x:c>
      <x:c r="B24" s="162" t="str">
        <x:v>Work Package</x:v>
      </x:c>
      <x:c r="C24" s="162" t="str">
        <x:v>Primary Outcome</x:v>
      </x:c>
      <x:c r="D24" s="162" t="str">
        <x:v>Owner</x:v>
      </x:c>
      <x:c r="E24" s="162" t="str">
        <x:v>Dependency</x:v>
      </x:c>
      <x:c r="F24" s="162" t="str">
        <x:v>Status</x:v>
      </x:c>
      <x:c r="G24" s="162" t="str">
        <x:v>Exit Criteria</x:v>
      </x:c>
      <x:c r="H24" s="162" t="str">
        <x:v>Mockup Output</x:v>
      </x:c>
      <x:c r="I24" s="162" t="str">
        <x:v>UAT Focus</x:v>
      </x:c>
      <x:c r="J24" s="162" t="str">
        <x:v>Notes</x:v>
      </x:c>
    </x:row>
    <x:row r="25" ht="58" customHeight="1">
      <x:c r="A25" s="76" t="str">
        <x:v>P6.0</x:v>
      </x:c>
      <x:c r="B25" s="76" t="str">
        <x:v>Scope &amp; Data Contract</x:v>
      </x:c>
      <x:c r="C25" s="76" t="str">
        <x:v>Confirm report and Release Tracking vocabulary</x:v>
      </x:c>
      <x:c r="D25" s="76" t="str">
        <x:v>BA/PO</x:v>
      </x:c>
      <x:c r="E25" s="76" t="str">
        <x:v>Closed Phase 5</x:v>
      </x:c>
      <x:c r="F25" s="221" t="str">
        <x:v>Done</x:v>
      </x:c>
      <x:c r="G25" s="76" t="str">
        <x:v>No open BA decision</x:v>
      </x:c>
      <x:c r="H25" s="76" t="str">
        <x:v>Contracts</x:v>
      </x:c>
      <x:c r="I25" s="76" t="str">
        <x:v>Cross-screen consistency</x:v>
      </x:c>
      <x:c r="J25" s="76" t="str">
        <x:v>Approved</x:v>
      </x:c>
    </x:row>
    <x:row r="26" ht="58" customHeight="1">
      <x:c r="A26" s="76" t="str">
        <x:v>P6.1</x:v>
      </x:c>
      <x:c r="B26" s="76" t="str">
        <x:v>Iteration Burndown</x:v>
      </x:c>
      <x:c r="C26" s="76" t="str">
        <x:v>Daily ToDo, Accepted Points and fixed Ideal</x:v>
      </x:c>
      <x:c r="D26" s="76" t="str">
        <x:v>BA/UX</x:v>
      </x:c>
      <x:c r="E26" s="76" t="str">
        <x:v>P6.0</x:v>
      </x:c>
      <x:c r="F26" s="221" t="str">
        <x:v>Done</x:v>
      </x:c>
      <x:c r="G26" s="76" t="str">
        <x:v>Formula and snapshot behavior explicit</x:v>
      </x:c>
      <x:c r="H26" s="76" t="str">
        <x:v>Mockup</x:v>
      </x:c>
      <x:c r="I26" s="76" t="str">
        <x:v>Missing history</x:v>
      </x:c>
      <x:c r="J26" s="76" t="str">
        <x:v>Approved</x:v>
      </x:c>
    </x:row>
    <x:row r="27" ht="58" customHeight="1">
      <x:c r="A27" s="76" t="str">
        <x:v>P6.2</x:v>
      </x:c>
      <x:c r="B27" s="76" t="str">
        <x:v>Velocity</x:v>
      </x:c>
      <x:c r="C27" s="76" t="str">
        <x:v>During/After/Not Accepted with trend/averages</x:v>
      </x:c>
      <x:c r="D27" s="76" t="str">
        <x:v>BA/UX</x:v>
      </x:c>
      <x:c r="E27" s="76" t="str">
        <x:v>P6.0</x:v>
      </x:c>
      <x:c r="F27" s="221" t="str">
        <x:v>Done</x:v>
      </x:c>
      <x:c r="G27" s="76" t="str">
        <x:v>5/10 window and eligibility explicit</x:v>
      </x:c>
      <x:c r="H27" s="76" t="str">
        <x:v>Mockup</x:v>
      </x:c>
      <x:c r="I27" s="76" t="str">
        <x:v>Late acceptance</x:v>
      </x:c>
      <x:c r="J27" s="76" t="str">
        <x:v>Approved</x:v>
      </x:c>
    </x:row>
    <x:row r="28" ht="58" customHeight="1">
      <x:c r="A28" s="76" t="str">
        <x:v>P6.3</x:v>
      </x:c>
      <x:c r="B28" s="76" t="str">
        <x:v>Team Capacity</x:v>
      </x:c>
      <x:c r="C28" s="76" t="str">
        <x:v>Team Status capacity-hour projection</x:v>
      </x:c>
      <x:c r="D28" s="76" t="str">
        <x:v>BA/UX</x:v>
      </x:c>
      <x:c r="E28" s="76" t="str">
        <x:v>P6.0</x:v>
      </x:c>
      <x:c r="F28" s="221" t="str">
        <x:v>Done</x:v>
      </x:c>
      <x:c r="G28" s="76" t="str">
        <x:v>All Teams and selected Team explicit</x:v>
      </x:c>
      <x:c r="H28" s="76" t="str">
        <x:v>Mockup</x:v>
      </x:c>
      <x:c r="I28" s="76" t="str">
        <x:v>Team/member expansion</x:v>
      </x:c>
      <x:c r="J28" s="76" t="str">
        <x:v>Approved</x:v>
      </x:c>
    </x:row>
    <x:row r="29" ht="58" customHeight="1">
      <x:c r="A29" s="76" t="str">
        <x:v>P6.4</x:v>
      </x:c>
      <x:c r="B29" s="76" t="str">
        <x:v>Release Tracking</x:v>
      </x:c>
      <x:c r="C29" s="76" t="str">
        <x:v>Dedicated Portfolio Release Tracking</x:v>
      </x:c>
      <x:c r="D29" s="76" t="str">
        <x:v>BA/UX</x:v>
      </x:c>
      <x:c r="E29" s="76" t="str">
        <x:v>P6.0</x:v>
      </x:c>
      <x:c r="F29" s="221" t="str">
        <x:v>Done</x:v>
      </x:c>
      <x:c r="G29" s="76" t="str">
        <x:v>Classification, status, issues and Burnup explicit</x:v>
      </x:c>
      <x:c r="H29" s="76" t="str">
        <x:v>Mockup</x:v>
      </x:c>
      <x:c r="I29" s="76" t="str">
        <x:v>Mismatch and scope</x:v>
      </x:c>
      <x:c r="J29" s="76" t="str">
        <x:v>Approved</x:v>
      </x:c>
    </x:row>
    <x:row r="30" ht="58" customHeight="1">
      <x:c r="A30" s="76" t="str">
        <x:v>P6.5</x:v>
      </x:c>
      <x:c r="B30" s="76" t="str">
        <x:v>Navigation &amp; Shell</x:v>
      </x:c>
      <x:c r="C30" s="76" t="str">
        <x:v>Three Reports types; Release Tracking final Portfolio item</x:v>
      </x:c>
      <x:c r="D30" s="76" t="str">
        <x:v>BA/UX</x:v>
      </x:c>
      <x:c r="E30" s="76" t="str">
        <x:v>P6.1..P6.4</x:v>
      </x:c>
      <x:c r="F30" s="221" t="str">
        <x:v>Done</x:v>
      </x:c>
      <x:c r="G30" s="76" t="str">
        <x:v>Navigation and filters aligned</x:v>
      </x:c>
      <x:c r="H30" s="76" t="str">
        <x:v>Mockup</x:v>
      </x:c>
      <x:c r="I30" s="76" t="str">
        <x:v>Context switching</x:v>
      </x:c>
      <x:c r="J30" s="76" t="str">
        <x:v>Approved</x:v>
      </x:c>
    </x:row>
    <x:row r="31" ht="58" customHeight="1">
      <x:c r="A31" s="76" t="str">
        <x:v>P6.6</x:v>
      </x:c>
      <x:c r="B31" s="76" t="str">
        <x:v>Documentation</x:v>
      </x:c>
      <x:c r="C31" s="76" t="str">
        <x:v>Reconcile SRS, source of truth and Product Plan</x:v>
      </x:c>
      <x:c r="D31" s="76" t="str">
        <x:v>Lead BA</x:v>
      </x:c>
      <x:c r="E31" s="76" t="str">
        <x:v>P6.5</x:v>
      </x:c>
      <x:c r="F31" s="221" t="str">
        <x:v>Done</x:v>
      </x:c>
      <x:c r="G31" s="76" t="str">
        <x:v>No contradictory active rule</x:v>
      </x:c>
      <x:c r="H31" s="76" t="str">
        <x:v>Handoff pack</x:v>
      </x:c>
      <x:c r="I31" s="76" t="str">
        <x:v>Formula traceability</x:v>
      </x:c>
      <x:c r="J31" s="76" t="str">
        <x:v>Approved</x:v>
      </x:c>
    </x:row>
    <x:row r="32" ht="58" customHeight="1">
      <x:c r="A32" s="76" t="str">
        <x:v>P6.7</x:v>
      </x:c>
      <x:c r="B32" s="76" t="str">
        <x:v>DEV Handoff</x:v>
      </x:c>
      <x:c r="C32" s="76" t="str">
        <x:v>Transfer production implementation and QA</x:v>
      </x:c>
      <x:c r="D32" s="76" t="str">
        <x:v>DEV/QA</x:v>
      </x:c>
      <x:c r="E32" s="76" t="str">
        <x:v>P6.6</x:v>
      </x:c>
      <x:c r="F32" s="231" t="str">
        <x:v>Ready</x:v>
      </x:c>
      <x:c r="G32" s="76" t="str">
        <x:v>BA/mockup package accepted</x:v>
      </x:c>
      <x:c r="H32" s="76" t="str">
        <x:v>Production build</x:v>
      </x:c>
      <x:c r="I32" s="76" t="str">
        <x:v>Automated and deployment tests</x:v>
      </x:c>
      <x:c r="J32" s="76" t="str">
        <x:v>DEV-owned</x:v>
      </x:c>
    </x:row>
    <x:row r="34" ht="25" customHeight="1">
      <x:c r="A34" s="176" t="str">
        <x:v>PHASE 6 DECISIONS — ALL BA DECISIONS CONFIRMED</x:v>
      </x:c>
      <x:c r="B34" s="176"/>
      <x:c r="C34" s="176"/>
      <x:c r="D34" s="176"/>
      <x:c r="E34" s="176"/>
      <x:c r="F34" s="176"/>
      <x:c r="G34" s="176"/>
      <x:c r="H34" s="176"/>
      <x:c r="I34" s="176"/>
      <x:c r="J34" s="176"/>
    </x:row>
    <x:row r="35" ht="35" customHeight="1">
      <x:c r="A35" s="179" t="str">
        <x:v>Question ID</x:v>
      </x:c>
      <x:c r="B35" s="179" t="str">
        <x:v>Report</x:v>
      </x:c>
      <x:c r="C35" s="179" t="str">
        <x:v>Decision Needed</x:v>
      </x:c>
      <x:c r="D35" s="179" t="str">
        <x:v>Recommended Default</x:v>
      </x:c>
      <x:c r="E35" s="179" t="str">
        <x:v>Reason</x:v>
      </x:c>
      <x:c r="F35" s="179" t="str">
        <x:v>Alternative</x:v>
      </x:c>
      <x:c r="G35" s="179" t="str">
        <x:v>Impact if Unresolved</x:v>
      </x:c>
      <x:c r="H35" s="179" t="str">
        <x:v>User Answer</x:v>
      </x:c>
      <x:c r="I35" s="179" t="str">
        <x:v>Status</x:v>
      </x:c>
      <x:c r="J35" s="179" t="str">
        <x:v>Decision Source</x:v>
      </x:c>
    </x:row>
    <x:row r="36" ht="72" customHeight="1">
      <x:c r="A36" s="76" t="str">
        <x:v>Q6-01</x:v>
      </x:c>
      <x:c r="B36" s="76" t="str">
        <x:v>Iteration Burndown</x:v>
      </x:c>
      <x:c r="C36" s="76" t="str">
        <x:v>Remaining series</x:v>
      </x:c>
      <x:c r="D36" s="76" t="str">
        <x:v>SUM Task.todo at end of day</x:v>
      </x:c>
      <x:c r="E36" s="76" t="str">
        <x:v>Represents current remaining hours</x:v>
      </x:c>
      <x:c r="F36" s="76" t="str">
        <x:v>Derive from accepted points</x:v>
      </x:c>
      <x:c r="G36" s="76" t="str">
        <x:v>Historical chart would be wrong</x:v>
      </x:c>
      <x:c r="H36" s="190" t="str">
        <x:v>Confirmed</x:v>
      </x:c>
      <x:c r="I36" s="221" t="str">
        <x:v>Confirmed</x:v>
      </x:c>
      <x:c r="J36" s="76" t="str">
        <x:v>Burndown SRS</x:v>
      </x:c>
    </x:row>
    <x:row r="37" ht="72" customHeight="1">
      <x:c r="A37" s="76" t="str">
        <x:v>Q6-02</x:v>
      </x:c>
      <x:c r="B37" s="76" t="str">
        <x:v>Iteration Burndown</x:v>
      </x:c>
      <x:c r="C37" s="76" t="str">
        <x:v>Ideal baseline</x:v>
      </x:c>
      <x:c r="D37" s="76" t="str">
        <x:v>Task Estimate captured once at Iteration start</x:v>
      </x:c>
      <x:c r="E37" s="76" t="str">
        <x:v>Stable planning target</x:v>
      </x:c>
      <x:c r="F37" s="76" t="str">
        <x:v>Current ToDo</x:v>
      </x:c>
      <x:c r="G37" s="76" t="str">
        <x:v>Ideal would move</x:v>
      </x:c>
      <x:c r="H37" s="190" t="str">
        <x:v>Confirmed</x:v>
      </x:c>
      <x:c r="I37" s="221" t="str">
        <x:v>Confirmed</x:v>
      </x:c>
      <x:c r="J37" s="76" t="str">
        <x:v>Burndown SRS</x:v>
      </x:c>
    </x:row>
    <x:row r="38" ht="72" customHeight="1">
      <x:c r="A38" s="76" t="str">
        <x:v>Q6-03</x:v>
      </x:c>
      <x:c r="B38" s="76" t="str">
        <x:v>Velocity</x:v>
      </x:c>
      <x:c r="C38" s="76" t="str">
        <x:v>Segments</x:v>
      </x:c>
      <x:c r="D38" s="76" t="str">
        <x:v>During / After / Not Accepted</x:v>
      </x:c>
      <x:c r="E38" s="76" t="str">
        <x:v>Distinguishes on-time and late</x:v>
      </x:c>
      <x:c r="F38" s="76" t="str">
        <x:v>One accepted total</x:v>
      </x:c>
      <x:c r="G38" s="76" t="str">
        <x:v>Lateness is hidden</x:v>
      </x:c>
      <x:c r="H38" s="190" t="str">
        <x:v>Confirmed</x:v>
      </x:c>
      <x:c r="I38" s="221" t="str">
        <x:v>Confirmed</x:v>
      </x:c>
      <x:c r="J38" s="76" t="str">
        <x:v>Velocity SRS</x:v>
      </x:c>
    </x:row>
    <x:row r="39" ht="72" customHeight="1">
      <x:c r="A39" s="76" t="str">
        <x:v>Q6-04</x:v>
      </x:c>
      <x:c r="B39" s="76" t="str">
        <x:v>Velocity</x:v>
      </x:c>
      <x:c r="C39" s="76" t="str">
        <x:v>Window and averages</x:v>
      </x:c>
      <x:c r="D39" s="76" t="str">
        <x:v>Last 5 or 10; During only</x:v>
      </x:c>
      <x:c r="E39" s="76" t="str">
        <x:v>Comparable team pace</x:v>
      </x:c>
      <x:c r="F39" s="76" t="str">
        <x:v>Include late/unaccepted</x:v>
      </x:c>
      <x:c r="G39" s="76" t="str">
        <x:v>Trend is distorted</x:v>
      </x:c>
      <x:c r="H39" s="190" t="str">
        <x:v>Confirmed</x:v>
      </x:c>
      <x:c r="I39" s="221" t="str">
        <x:v>Confirmed</x:v>
      </x:c>
      <x:c r="J39" s="76" t="str">
        <x:v>Velocity SRS</x:v>
      </x:c>
    </x:row>
    <x:row r="40" ht="86" customHeight="1">
      <x:c r="A40" s="76" t="str">
        <x:v>Q6-05</x:v>
      </x:c>
      <x:c r="B40" s="76" t="str">
        <x:v>Team Capacity</x:v>
      </x:c>
      <x:c r="C40" s="76" t="str">
        <x:v>Source and fields</x:v>
      </x:c>
      <x:c r="D40" s="76" t="str">
        <x:v>Team Status; Capacity, Estimate, ToDo, Actual</x:v>
      </x:c>
      <x:c r="E40" s="76" t="str">
        <x:v>Matches operational capacity</x:v>
      </x:c>
      <x:c r="F40" s="76" t="str">
        <x:v>Capacity Plan points</x:v>
      </x:c>
      <x:c r="G40" s="76" t="str">
        <x:v>Units/timebox mismatch</x:v>
      </x:c>
      <x:c r="H40" s="190" t="str">
        <x:v>Confirmed</x:v>
      </x:c>
      <x:c r="I40" s="221" t="str">
        <x:v>Confirmed</x:v>
      </x:c>
      <x:c r="J40" s="76" t="str">
        <x:v>Team Capacity SRS</x:v>
      </x:c>
    </x:row>
    <x:row r="41" ht="72" customHeight="1">
      <x:c r="A41" s="76" t="str">
        <x:v>Q6-06</x:v>
      </x:c>
      <x:c r="B41" s="76" t="str">
        <x:v>Release Tracking</x:v>
      </x:c>
      <x:c r="C41" s="76" t="str">
        <x:v>Classification</x:v>
      </x:c>
      <x:c r="D41" s="76" t="str">
        <x:v>Owning Release fields and direct child relationships</x:v>
      </x:c>
      <x:c r="E41" s="76" t="str">
        <x:v>Mutually exclusive buckets</x:v>
      </x:c>
      <x:c r="F41" s="76" t="str">
        <x:v>Child match percentage</x:v>
      </x:c>
      <x:c r="G41" s="76" t="str">
        <x:v>Counts become ambiguous</x:v>
      </x:c>
      <x:c r="H41" s="190" t="str">
        <x:v>Confirmed</x:v>
      </x:c>
      <x:c r="I41" s="221" t="str">
        <x:v>Confirmed</x:v>
      </x:c>
      <x:c r="J41" s="76" t="str">
        <x:v>Release Tracking SRS</x:v>
      </x:c>
    </x:row>
    <x:row r="42" ht="72" customHeight="1">
      <x:c r="A42" s="76" t="str">
        <x:v>Q6-07</x:v>
      </x:c>
      <x:c r="B42" s="76" t="str">
        <x:v>Release Tracking</x:v>
      </x:c>
      <x:c r="C42" s="76" t="str">
        <x:v>Unparented filter</x:v>
      </x:c>
      <x:c r="D42" s="76" t="str">
        <x:v>Only its own selected Release and current scope</x:v>
      </x:c>
      <x:c r="E42" s="76" t="str">
        <x:v>Preserves filter meaning</x:v>
      </x:c>
      <x:c r="F42" s="76" t="str">
        <x:v>Every Release</x:v>
      </x:c>
      <x:c r="G42" s="76" t="str">
        <x:v>Duplicates totals</x:v>
      </x:c>
      <x:c r="H42" s="190" t="str">
        <x:v>Confirmed</x:v>
      </x:c>
      <x:c r="I42" s="221" t="str">
        <x:v>Confirmed</x:v>
      </x:c>
      <x:c r="J42" s="76" t="str">
        <x:v>RT-Q-01 resolved</x:v>
      </x:c>
    </x:row>
    <x:row r="43" ht="52" customHeight="1">
      <x:c r="A43" t="str">
        <x:v>Q6-08</x:v>
      </x:c>
      <x:c r="B43" t="str">
        <x:v>Release Tracking</x:v>
      </x:c>
      <x:c r="C43" t="str">
        <x:v>Dependencies</x:v>
      </x:c>
      <x:c r="D43" t="str">
        <x:v>Future Backlog FB-P6-001</x:v>
      </x:c>
      <x:c r="E43" t="str">
        <x:v>Needs separate dependency contract</x:v>
      </x:c>
      <x:c r="F43" t="str">
        <x:v>Expose placeholder as active</x:v>
      </x:c>
      <x:c r="G43" t="str">
        <x:v>Implies unsupported behavior</x:v>
      </x:c>
      <x:c r="H43" t="str">
        <x:v>Confirmed</x:v>
      </x:c>
      <x:c r="I43" s="227" t="str">
        <x:v>Confirmed</x:v>
      </x:c>
      <x:c r="J43" t="str">
        <x:v>Release Tracking SRS</x:v>
      </x:c>
    </x:row>
    <x:row r="44" ht="28" customHeight="1">
      <x:c r="A44" s="130" t="str">
        <x:v>Source precedence: Phase 6 report SRS files and Phase 6/01_Release_Tracking/SRS.md override historical workbook drafts and static mock fixtures.</x:v>
      </x:c>
      <x:c r="B44" s="130"/>
      <x:c r="C44" s="130"/>
      <x:c r="D44" s="130"/>
      <x:c r="E44" s="130"/>
      <x:c r="F44" s="130"/>
      <x:c r="G44" s="130"/>
      <x:c r="H44" s="130"/>
      <x:c r="I44" s="130"/>
      <x:c r="J44" s="130"/>
    </x:row>
  </x:sheetData>
  <x:mergeCells>
    <x:mergeCell ref="A1:J1"/>
    <x:mergeCell ref="A2:J2"/>
    <x:mergeCell ref="A7:J7"/>
    <x:mergeCell ref="A14:J14"/>
    <x:mergeCell ref="A16:J16"/>
    <x:mergeCell ref="A23:J23"/>
    <x:mergeCell ref="A34:J34"/>
    <x:mergeCell ref="A44:J44"/>
  </x:mergeCells>
  <x:conditionalFormatting sqref="J9:J12">
    <x:cfRule type="containsText" dxfId="11" priority="1" operator="containsText" text="Decision Pending"/>
    <x:cfRule type="containsText" dxfId="12" priority="2" operator="containsText" text="Draft Proposal"/>
  </x:conditionalFormatting>
  <x:conditionalFormatting sqref="F25:F32">
    <x:cfRule type="containsText" dxfId="13" priority="3" operator="containsText" text="Decision Pending"/>
    <x:cfRule type="containsText" dxfId="14" priority="4" operator="containsText" text="Planned"/>
  </x:conditionalFormatting>
  <x:dataValidations count="1">
    <x:dataValidation type="list" sqref="I36:I42">
      <x:formula1>"Decision Pending,Confirmed,Rejected,Needs Revision"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39" hidden="0" customWidth="1"/>
    <x:col min="4" max="4" width="17" hidden="0" customWidth="1"/>
    <x:col min="5" max="5" width="18" hidden="0" customWidth="1"/>
    <x:col min="6" max="6" width="18" hidden="0" customWidth="1"/>
    <x:col min="7" max="7" width="20" hidden="0" customWidth="1"/>
    <x:col min="8" max="8" width="22" hidden="0" customWidth="1"/>
    <x:col min="9" max="9" width="29" hidden="0" customWidth="1"/>
    <x:col min="10" max="10" width="18" hidden="0" customWidth="1"/>
  </x:cols>
  <x:sheetData>
    <x:row r="1" ht="34" customHeight="1">
      <x:c r="A1" s="195" t="str">
        <x:v>PORTFOLIO &gt; RELEASE TRACKING — BUSINESS CONTRACT</x:v>
      </x:c>
      <x:c r="B1" s="195"/>
      <x:c r="C1" s="195"/>
      <x:c r="D1" s="195"/>
      <x:c r="E1" s="195"/>
      <x:c r="F1" s="195"/>
      <x:c r="G1" s="195"/>
      <x:c r="H1" s="195"/>
      <x:c r="I1" s="195"/>
      <x:c r="J1" s="195"/>
    </x:row>
    <x:row r="2" ht="28" customHeight="1">
      <x:c r="A2" s="197" t="str">
        <x:v>BA/mockup approved | Updated 2026-07-31 | All business decisions closed | DEV implementation and production history excluded</x:v>
      </x:c>
      <x:c r="B2" s="197"/>
      <x:c r="C2" s="197"/>
      <x:c r="D2" s="197"/>
      <x:c r="E2" s="197"/>
      <x:c r="F2" s="197"/>
      <x:c r="G2" s="197"/>
      <x:c r="H2" s="197"/>
      <x:c r="I2" s="197"/>
      <x:c r="J2" s="197"/>
    </x:row>
    <x:row r="3">
      <x:c r="A3" s="193"/>
      <x:c r="B3" s="193"/>
      <x:c r="C3" s="193"/>
      <x:c r="D3" s="193"/>
      <x:c r="E3" s="193"/>
      <x:c r="F3" s="193"/>
      <x:c r="G3" s="193"/>
      <x:c r="H3" s="193"/>
      <x:c r="I3" s="193"/>
      <x:c r="J3" s="193"/>
    </x:row>
    <x:row r="4" ht="30" customHeight="1">
      <x:c r="A4" s="205" t="str">
        <x:v>Phase</x:v>
      </x:c>
      <x:c r="B4" s="204" t="str">
        <x:v>Phase 6</x:v>
      </x:c>
      <x:c r="C4" s="205" t="str">
        <x:v>Navigation</x:v>
      </x:c>
      <x:c r="D4" s="204" t="str">
        <x:v>Portfolio &gt; Release Tracking (final Portfolio item)</x:v>
      </x:c>
      <x:c r="E4" s="205" t="str">
        <x:v>Primary Filter</x:v>
      </x:c>
      <x:c r="F4" s="204" t="str">
        <x:v>Selected Release</x:v>
      </x:c>
      <x:c r="G4" s="205" t="str">
        <x:v>Shared Unit</x:v>
      </x:c>
      <x:c r="H4" s="204" t="str">
        <x:v>Chart Unit: Points / Count</x:v>
      </x:c>
      <x:c r="I4" s="205" t="str">
        <x:v>Open Decisions</x:v>
      </x:c>
      <x:c r="J4" s="206" t="n">
        <x:v>0</x:v>
      </x:c>
    </x:row>
    <x:row r="5" ht="30" customHeight="1">
      <x:c r="A5" s="205" t="str">
        <x:v>BA Status</x:v>
      </x:c>
      <x:c r="B5" s="234" t="str">
        <x:v>Approved</x:v>
      </x:c>
      <x:c r="C5" s="205" t="str">
        <x:v>Classification Rules</x:v>
      </x:c>
      <x:c r="D5" s="204" t="n">
        <x:v>3</x:v>
      </x:c>
      <x:c r="E5" s="205" t="str">
        <x:v>Mockup</x:v>
      </x:c>
      <x:c r="F5" s="204" t="str">
        <x:v>Approved</x:v>
      </x:c>
      <x:c r="G5" s="205" t="str">
        <x:v>Production History</x:v>
      </x:c>
      <x:c r="H5" s="204" t="str">
        <x:v>DEV-owned</x:v>
      </x:c>
      <x:c r="I5" s="205" t="str">
        <x:v>Next Gate</x:v>
      </x:c>
      <x:c r="J5" s="204" t="str">
        <x:v>DEV Handoff</x:v>
      </x:c>
    </x:row>
    <x:row r="6">
      <x:c r="A6" s="193"/>
      <x:c r="B6" s="193"/>
      <x:c r="C6" s="193"/>
      <x:c r="D6" s="193"/>
      <x:c r="E6" s="193"/>
      <x:c r="F6" s="193"/>
      <x:c r="G6" s="193"/>
      <x:c r="H6" s="193"/>
      <x:c r="I6" s="193"/>
      <x:c r="J6" s="193"/>
    </x:row>
    <x:row r="7" ht="23" customHeight="1">
      <x:c r="A7" s="199" t="str">
        <x:v>CLASSIFICATION RULES</x:v>
      </x:c>
      <x:c r="B7" s="199"/>
      <x:c r="C7" s="199"/>
      <x:c r="D7" s="199"/>
      <x:c r="E7" s="199"/>
      <x:c r="F7" s="199"/>
      <x:c r="G7" s="199"/>
      <x:c r="H7" s="199"/>
      <x:c r="I7" s="199"/>
      <x:c r="J7" s="199"/>
    </x:row>
    <x:row r="8" ht="34" customHeight="1">
      <x:c r="A8" s="202" t="str">
        <x:v>Rule ID</x:v>
      </x:c>
      <x:c r="B8" s="202" t="str">
        <x:v>Bucket / Topic</x:v>
      </x:c>
      <x:c r="C8" s="202" t="str">
        <x:v>Selected Release R condition</x:v>
      </x:c>
      <x:c r="D8" s="202" t="str">
        <x:v>Appears in list?</x:v>
      </x:c>
      <x:c r="E8" s="202" t="str">
        <x:v>Counts in Feature progress?</x:v>
      </x:c>
      <x:c r="F8" s="202" t="str">
        <x:v>Counts in Release Planned?</x:v>
      </x:c>
      <x:c r="G8" s="202" t="str">
        <x:v>Counts in Release Accepted?</x:v>
      </x:c>
      <x:c r="H8" s="202" t="str">
        <x:v>Deduplication</x:v>
      </x:c>
      <x:c r="I8" s="202" t="str">
        <x:v>Example</x:v>
      </x:c>
      <x:c r="J8" s="202" t="str">
        <x:v>Status</x:v>
      </x:c>
    </x:row>
    <x:row r="9" ht="42" customHeight="1">
      <x:c r="A9" s="203" t="str">
        <x:v>RT-BR-01</x:v>
      </x:c>
      <x:c r="B9" s="203" t="str">
        <x:v>Features in Release</x:v>
      </x:c>
      <x:c r="C9" s="203" t="str">
        <x:v>Feature.Release = R</x:v>
      </x:c>
      <x:c r="D9" s="203" t="str">
        <x:v>Yes, as Feature</x:v>
      </x:c>
      <x:c r="E9" s="203" t="str">
        <x:v>All direct Story/Defect children</x:v>
      </x:c>
      <x:c r="F9" s="203" t="str">
        <x:v>N/A at Feature level</x:v>
      </x:c>
      <x:c r="G9" s="203" t="str">
        <x:v>N/A at Feature level</x:v>
      </x:c>
      <x:c r="H9" s="203" t="str">
        <x:v>Feature ID once</x:v>
      </x:c>
      <x:c r="I9" s="203" t="str">
        <x:v>F1.Release=A; filter A -&gt; direct</x:v>
      </x:c>
      <x:c r="J9" s="208" t="str">
        <x:v>Confirmed</x:v>
      </x:c>
    </x:row>
    <x:row r="10" ht="42" customHeight="1">
      <x:c r="A10" s="203" t="str">
        <x:v>RT-BR-02</x:v>
      </x:c>
      <x:c r="B10" s="203" t="str">
        <x:v>Derived Features</x:v>
      </x:c>
      <x:c r="C10" s="203" t="str">
        <x:v>Feature.Release != R AND any direct Story/Defect.Release = R</x:v>
      </x:c>
      <x:c r="D10" s="203" t="str">
        <x:v>Yes, as Feature</x:v>
      </x:c>
      <x:c r="E10" s="203" t="str">
        <x:v>All direct Story/Defect children</x:v>
      </x:c>
      <x:c r="F10" s="203" t="str">
        <x:v>N/A at Feature level</x:v>
      </x:c>
      <x:c r="G10" s="203" t="str">
        <x:v>N/A at Feature level</x:v>
      </x:c>
      <x:c r="H10" s="203" t="str">
        <x:v>Cannot also be direct in same filter</x:v>
      </x:c>
      <x:c r="I10" s="203" t="str">
        <x:v>F1.Release=A; child.Release=B; filter B -&gt; Derived</x:v>
      </x:c>
      <x:c r="J10" s="208" t="str">
        <x:v>Confirmed</x:v>
      </x:c>
    </x:row>
    <x:row r="11" ht="42" customHeight="1">
      <x:c r="A11" s="203" t="str">
        <x:v>RT-BR-03</x:v>
      </x:c>
      <x:c r="B11" s="203" t="str">
        <x:v>Child without Release</x:v>
      </x:c>
      <x:c r="C11" s="203" t="str">
        <x:v>Item.Release is empty / Unscheduled</x:v>
      </x:c>
      <x:c r="D11" s="203" t="str">
        <x:v>No</x:v>
      </x:c>
      <x:c r="E11" s="203" t="str">
        <x:v>Yes</x:v>
      </x:c>
      <x:c r="F11" s="203" t="str">
        <x:v>No</x:v>
      </x:c>
      <x:c r="G11" s="203" t="str">
        <x:v>No</x:v>
      </x:c>
      <x:c r="H11" s="203" t="str">
        <x:v>Does not derive Feature into any Release</x:v>
      </x:c>
      <x:c r="I11" s="203" t="str">
        <x:v>Child remains in F1 denominator but is not track-ready</x:v>
      </x:c>
      <x:c r="J11" s="208" t="str">
        <x:v>Confirmed</x:v>
      </x:c>
    </x:row>
    <x:row r="12" ht="42" customHeight="1">
      <x:c r="A12" s="203" t="str">
        <x:v>RT-BR-04</x:v>
      </x:c>
      <x:c r="B12" s="203" t="str">
        <x:v>Unparented Story/Defect</x:v>
      </x:c>
      <x:c r="C12" s="203" t="str">
        <x:v>Item has Release and no Feature parent</x:v>
      </x:c>
      <x:c r="D12" s="203" t="str">
        <x:v>Yes, in Unparented</x:v>
      </x:c>
      <x:c r="E12" s="203" t="str">
        <x:v>No parent Feature</x:v>
      </x:c>
      <x:c r="F12" s="203" t="str">
        <x:v>Yes, when Item.Release = R</x:v>
      </x:c>
      <x:c r="G12" s="203" t="str">
        <x:v>Yes, when State is Accepted/Release</x:v>
      </x:c>
      <x:c r="H12" s="203" t="str">
        <x:v>Work Item ID once</x:v>
      </x:c>
      <x:c r="I12" s="203" t="str">
        <x:v>D1.Release=B, no Feature</x:v>
      </x:c>
      <x:c r="J12" s="236" t="str">
        <x:v>Confirmed</x:v>
      </x:c>
    </x:row>
    <x:row r="13" ht="42" customHeight="1">
      <x:c r="A13" s="203" t="str">
        <x:v>RT-BR-05</x:v>
      </x:c>
      <x:c r="B13" s="203" t="str">
        <x:v>Completion</x:v>
      </x:c>
      <x:c r="C13" s="203" t="str">
        <x:v>State in {Accepted, Release}</x:v>
      </x:c>
      <x:c r="D13" s="203" t="str">
        <x:v>State visible</x:v>
      </x:c>
      <x:c r="E13" s="203" t="str">
        <x:v>Accepted numerator</x:v>
      </x:c>
      <x:c r="F13" s="203" t="str">
        <x:v>Planned denominator</x:v>
      </x:c>
      <x:c r="G13" s="203" t="str">
        <x:v>Accepted numerator</x:v>
      </x:c>
      <x:c r="H13" s="203" t="str">
        <x:v>Completed stays separate</x:v>
      </x:c>
      <x:c r="I13" s="203" t="str">
        <x:v>Completed does not count as accepted</x:v>
      </x:c>
      <x:c r="J13" s="208" t="str">
        <x:v>Confirmed</x:v>
      </x:c>
    </x:row>
    <x:row r="14">
      <x:c r="A14" s="193"/>
      <x:c r="B14" s="193"/>
      <x:c r="C14" s="193"/>
      <x:c r="D14" s="193"/>
      <x:c r="E14" s="193"/>
      <x:c r="F14" s="193"/>
      <x:c r="G14" s="193"/>
      <x:c r="H14" s="193"/>
      <x:c r="I14" s="193"/>
      <x:c r="J14" s="193"/>
    </x:row>
    <x:row r="15" ht="23" customHeight="1">
      <x:c r="A15" s="199" t="str">
        <x:v>METRIC CONTRACTS</x:v>
      </x:c>
      <x:c r="B15" s="199"/>
      <x:c r="C15" s="199"/>
      <x:c r="D15" s="199"/>
      <x:c r="E15" s="199"/>
      <x:c r="F15" s="199"/>
      <x:c r="G15" s="199"/>
      <x:c r="H15" s="199"/>
      <x:c r="I15" s="199"/>
      <x:c r="J15" s="199"/>
    </x:row>
    <x:row r="16" ht="34" customHeight="1">
      <x:c r="A16" s="202" t="str">
        <x:v>Metric</x:v>
      </x:c>
      <x:c r="B16" s="202" t="str">
        <x:v>Scope</x:v>
      </x:c>
      <x:c r="C16" s="202" t="str">
        <x:v>Formula / Rule</x:v>
      </x:c>
      <x:c r="D16" s="202" t="str">
        <x:v>Other-Release child</x:v>
      </x:c>
      <x:c r="E16" s="202" t="str">
        <x:v>Unreleased child</x:v>
      </x:c>
      <x:c r="F16" s="202" t="str">
        <x:v>Zero denominator</x:v>
      </x:c>
      <x:c r="G16" s="202" t="str">
        <x:v>Display</x:v>
      </x:c>
      <x:c r="H16" s="202" t="str">
        <x:v>Drill-down</x:v>
      </x:c>
      <x:c r="I16" s="202" t="str">
        <x:v>Data readiness</x:v>
      </x:c>
      <x:c r="J16" s="202" t="str">
        <x:v>Status</x:v>
      </x:c>
    </x:row>
    <x:row r="17" ht="42" customHeight="1">
      <x:c r="A17" s="203" t="str">
        <x:v>Direct Feature Status</x:v>
      </x:c>
      <x:c r="B17" s="203" t="str">
        <x:v>Feature.releaseId = R in current scope</x:v>
      </x:c>
      <x:c r="C17" s="203" t="str">
        <x:v>Accepted/total from every direct Story/Defect child; percent = floor(accepted/total*100)</x:v>
      </x:c>
      <x:c r="D17" s="203" t="str">
        <x:v>Included</x:v>
      </x:c>
      <x:c r="E17" s="203" t="str">
        <x:v>Included</x:v>
      </x:c>
      <x:c r="F17" s="203" t="str">
        <x:v>0% and 0/0</x:v>
      </x:c>
      <x:c r="G17" s="203" t="str">
        <x:v>% plus accepted/total</x:v>
      </x:c>
      <x:c r="H17" s="203" t="str">
        <x:v>All direct children</x:v>
      </x:c>
      <x:c r="I17" s="203" t="str">
        <x:v>Current state</x:v>
      </x:c>
      <x:c r="J17" s="208" t="str">
        <x:v>Confirmed</x:v>
      </x:c>
    </x:row>
    <x:row r="18" ht="42" customHeight="1">
      <x:c r="A18" s="203" t="str">
        <x:v>Derived Feature Status</x:v>
      </x:c>
      <x:c r="B18" s="203" t="str">
        <x:v>Feature.releaseId != R with matching child</x:v>
      </x:c>
      <x:c r="C18" s="203" t="str">
        <x:v>Accepted/total from children whose releaseId = R and ownership is in current scope</x:v>
      </x:c>
      <x:c r="D18" s="203" t="str">
        <x:v>Only matching R</x:v>
      </x:c>
      <x:c r="E18" s="203" t="str">
        <x:v>Excluded</x:v>
      </x:c>
      <x:c r="F18" s="203" t="str">
        <x:v>0/0</x:v>
      </x:c>
      <x:c r="G18" s="203" t="str">
        <x:v>Accepted/total only</x:v>
      </x:c>
      <x:c r="H18" s="203" t="str">
        <x:v>Matching children</x:v>
      </x:c>
      <x:c r="I18" s="203" t="str">
        <x:v>Current state</x:v>
      </x:c>
      <x:c r="J18" s="208" t="str">
        <x:v>Confirmed</x:v>
      </x:c>
    </x:row>
    <x:row r="19" ht="42" customHeight="1">
      <x:c r="A19" s="203" t="str">
        <x:v>Release Planned</x:v>
      </x:c>
      <x:c r="B19" s="203" t="str">
        <x:v>TrackedLeaves(R,S)</x:v>
      </x:c>
      <x:c r="C19" s="203" t="str">
        <x:v>Points = SUM planEstimate; Count = Work Item count</x:v>
      </x:c>
      <x:c r="D19" s="203" t="str">
        <x:v>Only child assigned R</x:v>
      </x:c>
      <x:c r="E19" s="203" t="str">
        <x:v>Excluded</x:v>
      </x:c>
      <x:c r="F19" s="203" t="str">
        <x:v>0</x:v>
      </x:c>
      <x:c r="G19" s="203" t="str">
        <x:v>Planned series/KPI</x:v>
      </x:c>
      <x:c r="H19" s="203" t="str">
        <x:v>Release items</x:v>
      </x:c>
      <x:c r="I19" s="203" t="str">
        <x:v>Current + history</x:v>
      </x:c>
      <x:c r="J19" s="208" t="str">
        <x:v>Confirmed</x:v>
      </x:c>
    </x:row>
    <x:row r="20" ht="42" customHeight="1">
      <x:c r="A20" s="203" t="str">
        <x:v>Release Accepted</x:v>
      </x:c>
      <x:c r="B20" s="203" t="str">
        <x:v>TrackedLeaves(R,S) in Accepted or Release</x:v>
      </x:c>
      <x:c r="C20" s="203" t="str">
        <x:v>Points = SUM planEstimate; Count = Work Item count</x:v>
      </x:c>
      <x:c r="D20" s="203" t="str">
        <x:v>Only child assigned R</x:v>
      </x:c>
      <x:c r="E20" s="203" t="str">
        <x:v>Excluded</x:v>
      </x:c>
      <x:c r="F20" s="203" t="str">
        <x:v>0</x:v>
      </x:c>
      <x:c r="G20" s="203" t="str">
        <x:v>Accepted series/KPI</x:v>
      </x:c>
      <x:c r="H20" s="203" t="str">
        <x:v>Accepted items</x:v>
      </x:c>
      <x:c r="I20" s="203" t="str">
        <x:v>Current + history</x:v>
      </x:c>
      <x:c r="J20" s="208" t="str">
        <x:v>Confirmed</x:v>
      </x:c>
    </x:row>
    <x:row r="21" ht="42" customHeight="1">
      <x:c r="A21" s="203" t="str">
        <x:v>Preliminary / Ideal / History</x:v>
      </x:c>
      <x:c r="B21" s="203" t="str">
        <x:v>Direct + Derived Features and Release date range</x:v>
      </x:c>
      <x:c r="C21" s="203" t="str">
        <x:v>Preliminary uses top-down estimate; historical series requires snapshots/events; Ideal uses persisted Release baseline</x:v>
      </x:c>
      <x:c r="D21" s="203" t="str">
        <x:v>Feature deduped</x:v>
      </x:c>
      <x:c r="E21" s="203" t="str">
        <x:v>Not tracked</x:v>
      </x:c>
      <x:c r="F21" s="203" t="str">
        <x:v>Unavailable state</x:v>
      </x:c>
      <x:c r="G21" s="203" t="str">
        <x:v>Burnup</x:v>
      </x:c>
      <x:c r="H21" s="203" t="str">
        <x:v>Date / iteration</x:v>
      </x:c>
      <x:c r="I21" s="203" t="str">
        <x:v>DEV data dependency</x:v>
      </x:c>
      <x:c r="J21" s="208" t="str">
        <x:v>Confirmed contract</x:v>
      </x:c>
    </x:row>
    <x:row r="22">
      <x:c r="A22" s="193"/>
      <x:c r="B22" s="193"/>
      <x:c r="C22" s="193"/>
      <x:c r="D22" s="193"/>
      <x:c r="E22" s="193"/>
      <x:c r="F22" s="193"/>
      <x:c r="G22" s="193"/>
      <x:c r="H22" s="193"/>
      <x:c r="I22" s="193"/>
      <x:c r="J22" s="193"/>
    </x:row>
    <x:row r="23">
      <x:c r="A23" s="193"/>
      <x:c r="B23" s="193"/>
      <x:c r="C23" s="193"/>
      <x:c r="D23" s="193"/>
      <x:c r="E23" s="193"/>
      <x:c r="F23" s="193"/>
      <x:c r="G23" s="193"/>
      <x:c r="H23" s="193"/>
      <x:c r="I23" s="193"/>
      <x:c r="J23" s="193"/>
    </x:row>
    <x:row r="24" ht="23" customHeight="1">
      <x:c r="A24" s="199" t="str">
        <x:v>MOCKUP / PAGE CONTRACT</x:v>
      </x:c>
      <x:c r="B24" s="199"/>
      <x:c r="C24" s="199"/>
      <x:c r="D24" s="199"/>
      <x:c r="E24" s="199"/>
      <x:c r="F24" s="199"/>
      <x:c r="G24" s="199"/>
      <x:c r="H24" s="199"/>
      <x:c r="I24" s="199"/>
      <x:c r="J24" s="199"/>
    </x:row>
    <x:row r="25" ht="34" customHeight="1">
      <x:c r="A25" s="202" t="str">
        <x:v>Area</x:v>
      </x:c>
      <x:c r="B25" s="202" t="str">
        <x:v>Control / Component</x:v>
      </x:c>
      <x:c r="C25" s="202" t="str">
        <x:v>Default</x:v>
      </x:c>
      <x:c r="D25" s="202" t="str">
        <x:v>Business behavior</x:v>
      </x:c>
      <x:c r="E25" s="202" t="str">
        <x:v>Data shown</x:v>
      </x:c>
      <x:c r="F25" s="202" t="str">
        <x:v>Empty state</x:v>
      </x:c>
      <x:c r="G25" s="202" t="str">
        <x:v>Interaction</x:v>
      </x:c>
      <x:c r="H25" s="202" t="str">
        <x:v>Permission posture</x:v>
      </x:c>
      <x:c r="I25" s="202" t="str">
        <x:v>Source</x:v>
      </x:c>
      <x:c r="J25" s="202" t="str">
        <x:v>Status</x:v>
      </x:c>
    </x:row>
    <x:row r="26" ht="42" customHeight="1">
      <x:c r="A26" s="203" t="str">
        <x:v>Header</x:v>
      </x:c>
      <x:c r="B26" s="203" t="str">
        <x:v>Release selector + dates + previous/next</x:v>
      </x:c>
      <x:c r="C26" s="203" t="str">
        <x:v>First Project Release</x:v>
      </x:c>
      <x:c r="D26" s="203" t="str">
        <x:v>Global Project/Team scope; no duplicate filter</x:v>
      </x:c>
      <x:c r="E26" s="203" t="str">
        <x:v>Release and date window</x:v>
      </x:c>
      <x:c r="F26" s="203" t="str">
        <x:v>No Release for Project</x:v>
      </x:c>
      <x:c r="G26" s="203" t="str">
        <x:v>Select/step Release</x:v>
      </x:c>
      <x:c r="H26" s="203" t="str">
        <x:v>Authorized read</x:v>
      </x:c>
      <x:c r="I26" s="203" t="str">
        <x:v>Release registry</x:v>
      </x:c>
      <x:c r="J26" s="208" t="str">
        <x:v>Confirmed</x:v>
      </x:c>
    </x:row>
    <x:row r="27" ht="42" customHeight="1">
      <x:c r="A27" s="203" t="str">
        <x:v>Summary</x:v>
      </x:c>
      <x:c r="B27" s="203" t="str">
        <x:v>Direct / Derived / Unparented counters + terminology tooltip</x:v>
      </x:c>
      <x:c r="C27" s="203" t="str">
        <x:v>Direct</x:v>
      </x:c>
      <x:c r="D27" s="203" t="str">
        <x:v>Counts use owning fields and current scope</x:v>
      </x:c>
      <x:c r="E27" s="203" t="str">
        <x:v>Three non-overlapping counts</x:v>
      </x:c>
      <x:c r="F27" s="203" t="str">
        <x:v>0 allowed</x:v>
      </x:c>
      <x:c r="G27" s="203" t="str">
        <x:v>Select active bucket</x:v>
      </x:c>
      <x:c r="H27" s="203" t="str">
        <x:v>Read-only</x:v>
      </x:c>
      <x:c r="I27" s="203" t="str">
        <x:v>Classification rules</x:v>
      </x:c>
      <x:c r="J27" s="208" t="str">
        <x:v>Confirmed</x:v>
      </x:c>
    </x:row>
    <x:row r="28" ht="42" customHeight="1">
      <x:c r="A28" s="203" t="str">
        <x:v>List</x:v>
      </x:c>
      <x:c r="B28" s="203" t="str">
        <x:v>Bucket selector, search, resizable/sortable columns</x:v>
      </x:c>
      <x:c r="C28" s="203" t="str">
        <x:v>Direct</x:v>
      </x:c>
      <x:c r="D28" s="203" t="str">
        <x:v>Numeric rank per bucket; Chart Unit controls Status</x:v>
      </x:c>
      <x:c r="E28" s="203" t="str">
        <x:v>Rank, ID, Team, Issue, Name, Status</x:v>
      </x:c>
      <x:c r="F28" s="203" t="str">
        <x:v>Empty bucket</x:v>
      </x:c>
      <x:c r="G28" s="203" t="str">
        <x:v>Sort/resize/open item</x:v>
      </x:c>
      <x:c r="H28" s="203" t="str">
        <x:v>Read-only</x:v>
      </x:c>
      <x:c r="I28" s="203" t="str">
        <x:v>Feature/Work Item</x:v>
      </x:c>
      <x:c r="J28" s="208" t="str">
        <x:v>Confirmed</x:v>
      </x:c>
    </x:row>
    <x:row r="29" ht="42" customHeight="1">
      <x:c r="A29" s="203" t="str">
        <x:v>Chart</x:v>
      </x:c>
      <x:c r="B29" s="203" t="str">
        <x:v>Release Burnup</x:v>
      </x:c>
      <x:c r="C29" s="203" t="str">
        <x:v>Points</x:v>
      </x:c>
      <x:c r="D29" s="203" t="str">
        <x:v>Points/Count, correct title/dates/Y label and iteration row</x:v>
      </x:c>
      <x:c r="E29" s="203" t="str">
        <x:v>Accepted, Planned, Preliminary, Ideal</x:v>
      </x:c>
      <x:c r="F29" s="203" t="str">
        <x:v>Unavailable history</x:v>
      </x:c>
      <x:c r="G29" s="203" t="str">
        <x:v>Hover</x:v>
      </x:c>
      <x:c r="H29" s="203" t="str">
        <x:v>Read-only</x:v>
      </x:c>
      <x:c r="I29" s="203" t="str">
        <x:v>Snapshots/events + baseline</x:v>
      </x:c>
      <x:c r="J29" s="208" t="str">
        <x:v>Confirmed</x:v>
      </x:c>
    </x:row>
    <x:row r="30" ht="42" customHeight="1">
      <x:c r="A30" s="203" t="str">
        <x:v>Issues</x:v>
      </x:c>
      <x:c r="B30" s="203" t="str">
        <x:v>Red mismatch icon + overlay</x:v>
      </x:c>
      <x:c r="C30" s="203" t="str">
        <x:v>Closed</x:v>
      </x:c>
      <x:c r="D30" s="203" t="str">
        <x:v>Group by issue; selected Release comparison; full-mismatch warning; outside-click closes</x:v>
      </x:c>
      <x:c r="E30" s="203" t="str">
        <x:v>Feature progress + mismatched items</x:v>
      </x:c>
      <x:c r="F30" s="203" t="str">
        <x:v>No icon if no mismatch</x:v>
      </x:c>
      <x:c r="G30" s="203" t="str">
        <x:v>Open/close item</x:v>
      </x:c>
      <x:c r="H30" s="203" t="str">
        <x:v>Read-only</x:v>
      </x:c>
      <x:c r="I30" s="203" t="str">
        <x:v>Direct children</x:v>
      </x:c>
      <x:c r="J30" s="208" t="str">
        <x:v>Confirmed</x:v>
      </x:c>
    </x:row>
    <x:row r="31" ht="42" customHeight="1">
      <x:c r="A31" s="203" t="str">
        <x:v>Dependencies</x:v>
      </x:c>
      <x:c r="B31" s="203" t="str">
        <x:v>Disabled Future control</x:v>
      </x:c>
      <x:c r="C31" s="203" t="str">
        <x:v>Unavailable</x:v>
      </x:c>
      <x:c r="D31" s="203" t="str">
        <x:v>No active behavior</x:v>
      </x:c>
      <x:c r="E31" s="203" t="str">
        <x:v>Future label</x:v>
      </x:c>
      <x:c r="F31" s="203" t="str">
        <x:v>Not available</x:v>
      </x:c>
      <x:c r="G31" s="203" t="str">
        <x:v>No action</x:v>
      </x:c>
      <x:c r="H31" s="203" t="str">
        <x:v>Read-only</x:v>
      </x:c>
      <x:c r="I31" s="203" t="str">
        <x:v>FB-P6-001</x:v>
      </x:c>
      <x:c r="J31" s="208" t="str">
        <x:v>Future Backlog</x:v>
      </x:c>
    </x:row>
    <x:row r="32">
      <x:c r="A32" s="193"/>
      <x:c r="B32" s="193"/>
      <x:c r="C32" s="193"/>
      <x:c r="D32" s="193"/>
      <x:c r="E32" s="193"/>
      <x:c r="F32" s="193"/>
      <x:c r="G32" s="193"/>
      <x:c r="H32" s="193"/>
      <x:c r="I32" s="193"/>
      <x:c r="J32" s="193"/>
    </x:row>
    <x:row r="33">
      <x:c r="A33" s="193"/>
      <x:c r="B33" s="193"/>
      <x:c r="C33" s="193"/>
      <x:c r="D33" s="193"/>
      <x:c r="E33" s="193"/>
      <x:c r="F33" s="193"/>
      <x:c r="G33" s="193"/>
      <x:c r="H33" s="193"/>
      <x:c r="I33" s="193"/>
      <x:c r="J33" s="193"/>
    </x:row>
    <x:row r="34" ht="23" customHeight="1">
      <x:c r="A34" s="199" t="str">
        <x:v>CONFIRMED DECISIONS</x:v>
      </x:c>
      <x:c r="B34" s="199"/>
      <x:c r="C34" s="199"/>
      <x:c r="D34" s="199"/>
      <x:c r="E34" s="199"/>
      <x:c r="F34" s="199"/>
      <x:c r="G34" s="199"/>
      <x:c r="H34" s="199"/>
      <x:c r="I34" s="199"/>
      <x:c r="J34" s="199"/>
    </x:row>
    <x:row r="35" ht="34" customHeight="1">
      <x:c r="A35" s="202" t="str">
        <x:v>ID</x:v>
      </x:c>
      <x:c r="B35" s="202" t="str">
        <x:v>Decision</x:v>
      </x:c>
      <x:c r="C35" s="202" t="str">
        <x:v>Approved Rule</x:v>
      </x:c>
      <x:c r="D35" s="202" t="str">
        <x:v>Reason</x:v>
      </x:c>
      <x:c r="E35" s="202" t="str">
        <x:v>Alternative</x:v>
      </x:c>
      <x:c r="F35" s="202" t="str">
        <x:v>Impact</x:v>
      </x:c>
      <x:c r="G35" s="202" t="str">
        <x:v>Mockup</x:v>
      </x:c>
      <x:c r="H35" s="202" t="str">
        <x:v>Owner</x:v>
      </x:c>
      <x:c r="I35" s="202" t="str">
        <x:v>Next Action</x:v>
      </x:c>
      <x:c r="J35" s="202" t="str">
        <x:v>Status</x:v>
      </x:c>
    </x:row>
    <x:row r="36" ht="42" customHeight="1">
      <x:c r="A36" s="203" t="str">
        <x:v>RT-Q-01</x:v>
      </x:c>
      <x:c r="B36" s="203" t="str">
        <x:v>Unparented Release filter</x:v>
      </x:c>
      <x:c r="C36" s="203" t="str">
        <x:v>Only under its own selected Release and current Project/Team scope</x:v>
      </x:c>
      <x:c r="D36" s="203" t="str">
        <x:v>Preserves filter meaning</x:v>
      </x:c>
      <x:c r="E36" s="203" t="str">
        <x:v>Every Release</x:v>
      </x:c>
      <x:c r="F36" s="203" t="str">
        <x:v>Would duplicate counts/totals</x:v>
      </x:c>
      <x:c r="G36" s="203" t="str">
        <x:v>Implemented</x:v>
      </x:c>
      <x:c r="H36" s="203" t="str">
        <x:v>BA/PO</x:v>
      </x:c>
      <x:c r="I36" s="203" t="str">
        <x:v>None</x:v>
      </x:c>
      <x:c r="J36" s="236" t="str">
        <x:v>Confirmed</x:v>
      </x:c>
    </x:row>
    <x:row r="37" ht="42" customHeight="1">
      <x:c r="A37" s="203" t="str">
        <x:v>RT-Q-02</x:v>
      </x:c>
      <x:c r="B37" s="203" t="str">
        <x:v>Derived rank</x:v>
      </x:c>
      <x:c r="C37" s="203" t="str">
        <x:v>Numeric sequential rank inside active Derived bucket</x:v>
      </x:c>
      <x:c r="D37" s="203" t="str">
        <x:v>Consistent list behavior</x:v>
      </x:c>
      <x:c r="E37" s="203" t="str">
        <x:v>D marker</x:v>
      </x:c>
      <x:c r="F37" s="203" t="str">
        <x:v>Mixed rank semantics</x:v>
      </x:c>
      <x:c r="G37" s="203" t="str">
        <x:v>Implemented</x:v>
      </x:c>
      <x:c r="H37" s="203" t="str">
        <x:v>BA/PO</x:v>
      </x:c>
      <x:c r="I37" s="203" t="str">
        <x:v>None</x:v>
      </x:c>
      <x:c r="J37" s="236" t="str">
        <x:v>Confirmed</x:v>
      </x:c>
    </x:row>
    <x:row r="38">
      <x:c r="A38" s="193" t="str">
        <x:v>RT-Q-03</x:v>
      </x:c>
      <x:c r="B38" s="193" t="str">
        <x:v>Points / Count selector</x:v>
      </x:c>
      <x:c r="C38" s="193" t="str">
        <x:v>Chart Unit is the only selector and changes list plus chart</x:v>
      </x:c>
      <x:c r="D38" s="193" t="str">
        <x:v>Single source of display unit</x:v>
      </x:c>
      <x:c r="E38" s="193" t="str">
        <x:v>Separate Grid Unit</x:v>
      </x:c>
      <x:c r="F38" s="193" t="str">
        <x:v>Controls can disagree</x:v>
      </x:c>
      <x:c r="G38" s="193" t="str">
        <x:v>Implemented</x:v>
      </x:c>
      <x:c r="H38" s="193" t="str">
        <x:v>BA/PO</x:v>
      </x:c>
      <x:c r="I38" s="193" t="str">
        <x:v>None</x:v>
      </x:c>
      <x:c r="J38" s="239" t="str">
        <x:v>Confirmed</x:v>
      </x:c>
    </x:row>
    <x:row r="39">
      <x:c r="A39" s="193" t="str">
        <x:v>RT-Q-04</x:v>
      </x:c>
      <x:c r="B39" s="193" t="str">
        <x:v>Views</x:v>
      </x:c>
      <x:c r="C39" s="193" t="str">
        <x:v>Chart only; Breakdown removed; Dependencies stays Future</x:v>
      </x:c>
      <x:c r="D39" s="193" t="str">
        <x:v>Matches approved slice</x:v>
      </x:c>
      <x:c r="E39" s="193" t="str">
        <x:v>Expose unfinished views</x:v>
      </x:c>
      <x:c r="F39" s="193" t="str">
        <x:v>Implies unsupported behavior</x:v>
      </x:c>
      <x:c r="G39" s="193" t="str">
        <x:v>Implemented</x:v>
      </x:c>
      <x:c r="H39" s="193" t="str">
        <x:v>BA/PO</x:v>
      </x:c>
      <x:c r="I39" s="193" t="str">
        <x:v>FB-P6-001</x:v>
      </x:c>
      <x:c r="J39" s="239" t="str">
        <x:v>Confirmed</x:v>
      </x:c>
    </x:row>
    <x:row r="40" ht="32" customHeight="1">
      <x:c r="A40" s="211" t="str">
        <x:v>Source: 04_Developement_tracking/Phase 6/01_Release_Tracking/SRS.md. BA/mockup approved 2026-07-31; DEV owns production persistence, history, APIs, authorization, tests and deployment.</x:v>
      </x:c>
      <x:c r="B40" s="211"/>
      <x:c r="C40" s="211"/>
      <x:c r="D40" s="211"/>
      <x:c r="E40" s="211"/>
      <x:c r="F40" s="211"/>
      <x:c r="G40" s="211"/>
      <x:c r="H40" s="211"/>
      <x:c r="I40" s="211"/>
      <x:c r="J40" s="211"/>
    </x:row>
  </x:sheetData>
  <x:mergeCells>
    <x:mergeCell ref="A1:J1"/>
    <x:mergeCell ref="A2:J2"/>
    <x:mergeCell ref="A7:J7"/>
    <x:mergeCell ref="A15:J15"/>
    <x:mergeCell ref="A24:J24"/>
    <x:mergeCell ref="A34:J34"/>
    <x:mergeCell ref="A40:J40"/>
  </x:mergeCells>
  <x:pageMargins left="0.7" right="0.7" top="0.75" bottom="0.75" header="0.3" footer="0.3"/>
</x:worksheet>
</file>