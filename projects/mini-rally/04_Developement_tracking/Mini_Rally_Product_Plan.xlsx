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b4f5e90dc145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b44fbfe4c4b46a4"/>
    <x:sheet xmlns:r="http://schemas.openxmlformats.org/officeDocument/2006/relationships" name="Phase Roadmap" sheetId="2" r:id="R877f675190e549d1"/>
    <x:sheet xmlns:r="http://schemas.openxmlformats.org/officeDocument/2006/relationships" name="BA Tasks" sheetId="3" r:id="Rbc5e975b7b3a4db3"/>
    <x:sheet xmlns:r="http://schemas.openxmlformats.org/officeDocument/2006/relationships" name="DEV Tasks" sheetId="4" r:id="R0c530702eaf84965"/>
    <x:sheet xmlns:r="http://schemas.openxmlformats.org/officeDocument/2006/relationships" name="Decision Log" sheetId="5" r:id="R14f16b87279743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67085"/>
      <x:name val="Carlito"/>
    </x:font>
    <x:font>
      <x:b/>
      <x:sz val="10"/>
      <x:color rgb="FFFFFFFF"/>
      <x:name val="Carlito"/>
    </x:font>
    <x:font>
      <x:sz val="10"/>
      <x:color rgb="FF243447"/>
      <x:name val="Carlito"/>
    </x:font>
    <x:font>
      <x:b/>
      <x:sz val="10"/>
      <x:color rgb="FF2F6B2F"/>
      <x:name val="Carlito"/>
    </x:font>
    <x:font>
      <x:b/>
      <x:sz val="10"/>
      <x:color rgb="FF5F497A"/>
      <x:name val="Carlito"/>
    </x:font>
    <x:font>
      <x:b/>
      <x:sz val="10"/>
      <x:color rgb="FF555555"/>
      <x:name val="Carlito"/>
    </x:font>
    <x:font>
      <x:b/>
      <x:sz val="10"/>
      <x:color rgb="FF8A5A00"/>
      <x:name val="Carlito"/>
    </x:font>
    <x:font>
      <x:b/>
      <x:sz val="10"/>
      <x:color rgb="FF1F4E78"/>
      <x:name val="Carlito"/>
    </x:font>
    <x:font>
      <x:b/>
      <x:sz val="10"/>
      <x:color rgb="FF9C2F1B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sz val="11"/>
      <x:color rgb="FF243447"/>
      <x:name val="Carlito"/>
    </x:font>
    <x:font>
      <x:i/>
      <x:sz val="9"/>
      <x:color rgb="FF667085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4DFEC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F8FAFC"/>
      </x:patternFill>
    </x:fill>
  </x:fills>
  <x:borders count="10">
    <x:border/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</x:border>
    <x:border>
      <x:top style="thin">
        <x:color rgb="FFD0D5DD"/>
      </x:top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horizontal="center"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horizontal="center"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7" fillId="7" borderId="1" xfId="0" applyNumberFormat="1" applyFont="1" applyFill="1" applyBorder="1" applyAlignment="1">
      <x:alignment vertical="top" wrapText="1"/>
    </x:xf>
    <x:xf numFmtId="0" fontId="7" fillId="7" borderId="1" xfId="0" applyNumberFormat="1" applyFont="1" applyFill="1" applyBorder="1" applyAlignment="1">
      <x:alignment horizontal="center" vertical="top" wrapText="1"/>
    </x:xf>
    <x:xf numFmtId="0" fontId="4" fillId="8" borderId="1" xfId="0" applyNumberFormat="1" applyFont="1" applyFill="1" applyBorder="1" applyAlignment="1">
      <x:alignment vertical="top"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1" xfId="0" applyNumberFormat="1" applyFont="1" applyFill="1" applyBorder="1" applyAlignment="1">
      <x:alignment horizontal="center"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9" fillId="9" borderId="1" xfId="0" applyNumberFormat="1" applyFont="1" applyFill="1" applyBorder="1" applyAlignment="1">
      <x:alignment vertical="top" wrapText="1"/>
    </x:xf>
    <x:xf numFmtId="0" fontId="9" fillId="9" borderId="1" xfId="0" applyNumberFormat="1" applyFont="1" applyFill="1" applyBorder="1" applyAlignment="1">
      <x:alignment horizontal="center" vertical="top" wrapText="1"/>
    </x:xf>
    <x:xf numFmtId="0" fontId="4" fillId="10" borderId="1" xfId="0" applyNumberFormat="1" applyFont="1" applyFill="1" applyBorder="1" applyAlignment="1">
      <x:alignment vertical="top" wrapText="1"/>
    </x:xf>
    <x:xf numFmtId="0" fontId="10" fillId="10" borderId="1" xfId="0" applyNumberFormat="1" applyFont="1" applyFill="1" applyBorder="1" applyAlignment="1">
      <x:alignment vertical="top" wrapText="1"/>
    </x:xf>
    <x:xf numFmtId="0" fontId="10" fillId="10" borderId="1" xfId="0" applyNumberFormat="1" applyFont="1" applyFill="1" applyBorder="1" applyAlignment="1">
      <x:alignment horizontal="center" vertical="top"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12" fillId="9" borderId="0" xfId="0" applyNumberFormat="1" applyFont="1" applyFill="1" applyBorder="1"/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3" fillId="11" borderId="0" xfId="0" applyNumberFormat="1" applyFont="1" applyFill="1" applyBorder="1" applyAlignment="1">
      <x:alignment wrapText="1"/>
    </x:xf>
    <x:xf numFmtId="0" fontId="13" fillId="11" borderId="0" xfId="0" applyNumberFormat="1" applyFont="1" applyFill="1" applyBorder="1" applyAlignment="1">
      <x:alignment vertical="top" wrapText="1"/>
    </x:xf>
    <x:xf numFmtId="0" fontId="13" fillId="11" borderId="2" xfId="0" applyNumberFormat="1" applyFont="1" applyFill="1" applyBorder="1" applyAlignment="1">
      <x:alignment vertical="top" wrapText="1"/>
    </x:xf>
    <x:xf numFmtId="0" fontId="13" fillId="11" borderId="3" xfId="0" applyNumberFormat="1" applyFont="1" applyFill="1" applyBorder="1" applyAlignment="1">
      <x:alignment vertical="top" wrapText="1"/>
    </x:xf>
    <x:xf numFmtId="0" fontId="13" fillId="11" borderId="4" xfId="0" applyNumberFormat="1" applyFont="1" applyFill="1" applyBorder="1" applyAlignment="1">
      <x:alignment vertical="top" wrapText="1"/>
    </x:xf>
    <x:xf numFmtId="0" fontId="13" fillId="11" borderId="5" xfId="0" applyNumberFormat="1" applyFont="1" applyFill="1" applyBorder="1" applyAlignment="1">
      <x:alignment vertical="top" wrapText="1"/>
    </x:xf>
    <x:xf numFmtId="0" fontId="13" fillId="11" borderId="6" xfId="0" applyNumberFormat="1" applyFont="1" applyFill="1" applyBorder="1" applyAlignment="1">
      <x:alignment vertical="top" wrapText="1"/>
    </x:xf>
    <x:xf numFmtId="0" fontId="13" fillId="11" borderId="7" xfId="0" applyNumberFormat="1" applyFont="1" applyFill="1" applyBorder="1" applyAlignment="1">
      <x:alignment vertical="top" wrapText="1"/>
    </x:xf>
    <x:xf numFmtId="0" fontId="13" fillId="11" borderId="8" xfId="0" applyNumberFormat="1" applyFont="1" applyFill="1" applyBorder="1" applyAlignment="1">
      <x:alignment vertical="top" wrapText="1"/>
    </x:xf>
    <x:xf numFmtId="0" fontId="13" fillId="11" borderId="9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2ae84e73fa46ea" /><Relationship Type="http://schemas.openxmlformats.org/officeDocument/2006/relationships/theme" Target="/xl/theme/theme1.xml" Id="R04af33651c014794" /><Relationship Type="http://schemas.openxmlformats.org/officeDocument/2006/relationships/sharedStrings" Target="/xl/sharedStrings.xml" Id="Rac9f792a464c43f2" /><Relationship Type="http://schemas.openxmlformats.org/officeDocument/2006/relationships/worksheet" Target="/xl/worksheets/sheet1.xml" Id="R1b44fbfe4c4b46a4" /><Relationship Type="http://schemas.openxmlformats.org/officeDocument/2006/relationships/worksheet" Target="/xl/worksheets/sheet2.xml" Id="R877f675190e549d1" /><Relationship Type="http://schemas.openxmlformats.org/officeDocument/2006/relationships/worksheet" Target="/xl/worksheets/sheet3.xml" Id="Rbc5e975b7b3a4db3" /><Relationship Type="http://schemas.openxmlformats.org/officeDocument/2006/relationships/worksheet" Target="/xl/worksheets/sheet4.xml" Id="R0c530702eaf84965" /><Relationship Type="http://schemas.openxmlformats.org/officeDocument/2006/relationships/worksheet" Target="/xl/worksheets/sheet5.xml" Id="R14f16b87279743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0" hidden="0" customWidth="1"/>
    <x:col min="3" max="3" width="24" hidden="0" customWidth="1"/>
    <x:col min="4" max="4" width="10" hidden="0" customWidth="1"/>
    <x:col min="5" max="5" width="24" hidden="0" customWidth="1"/>
    <x:col min="6" max="6" width="10" hidden="0" customWidth="1"/>
    <x:col min="7" max="7" width="26" hidden="0" customWidth="1"/>
    <x:col min="8" max="8" width="10" hidden="0" customWidth="1"/>
    <x:col min="9" max="9" width="30" hidden="0" customWidth="1"/>
    <x:col min="10" max="10" width="6" hidden="0" customWidth="1"/>
  </x:cols>
  <x:sheetData>
    <x:row r="1" ht="32" customHeight="1">
      <x:c r="A1" s="3" t="str">
        <x:v>MINI RALLY — PRODUCT EXECUTION PLAN</x:v>
      </x:c>
      <x:c r="B1" s="3" t="str">
        <x:v>MINI RALLY — PRODUCT EXECUTION PLAN</x:v>
      </x:c>
      <x:c r="C1" s="3" t="str">
        <x:v>MINI RALLY — PRODUCT EXECUTION PLAN</x:v>
      </x:c>
      <x:c r="D1" s="3" t="str">
        <x:v>MINI RALLY — PRODUCT EXECUTION PLAN</x:v>
      </x:c>
      <x:c r="E1" s="3" t="str">
        <x:v>MINI RALLY — PRODUCT EXECUTION PLAN</x:v>
      </x:c>
      <x:c r="F1" s="3" t="str">
        <x:v>MINI RALLY — PRODUCT EXECUTION PLAN</x:v>
      </x:c>
      <x:c r="G1" s="3" t="str">
        <x:v>MINI RALLY — PRODUCT EXECUTION PLAN</x:v>
      </x:c>
      <x:c r="H1" s="3" t="str">
        <x:v>MINI RALLY — PRODUCT EXECUTION PLAN</x:v>
      </x:c>
      <x:c r="I1" s="3" t="str">
        <x:v>MINI RALLY — PRODUCT EXECUTION PLAN</x:v>
      </x:c>
      <x:c r="J1" s="3" t="str">
        <x:v>MINI RALLY — PRODUCT EXECUTION PLAN</x:v>
      </x:c>
    </x:row>
    <x:row r="2" ht="27" customHeight="1">
      <x:c r="A2" s="6" t="str">
        <x:v>Single planning workbook | Baseline: 2026-07-20 | Scope: BA, FE DEV, DevInt and UAT</x:v>
      </x:c>
      <x:c r="B2" s="6" t="str">
        <x:v>Single planning workbook | Baseline: 2026-07-20 | Scope: BA, FE DEV, DevInt and UAT</x:v>
      </x:c>
      <x:c r="C2" s="6" t="str">
        <x:v>Single planning workbook | Baseline: 2026-07-20 | Scope: BA, FE DEV, DevInt and UAT</x:v>
      </x:c>
      <x:c r="D2" s="6" t="str">
        <x:v>Single planning workbook | Baseline: 2026-07-20 | Scope: BA, FE DEV, DevInt and UAT</x:v>
      </x:c>
      <x:c r="E2" s="6" t="str">
        <x:v>Single planning workbook | Baseline: 2026-07-20 | Scope: BA, FE DEV, DevInt and UAT</x:v>
      </x:c>
      <x:c r="F2" s="6" t="str">
        <x:v>Single planning workbook | Baseline: 2026-07-20 | Scope: BA, FE DEV, DevInt and UAT</x:v>
      </x:c>
      <x:c r="G2" s="6" t="str">
        <x:v>Single planning workbook | Baseline: 2026-07-20 | Scope: BA, FE DEV, DevInt and UAT</x:v>
      </x:c>
      <x:c r="H2" s="6" t="str">
        <x:v>Single planning workbook | Baseline: 2026-07-20 | Scope: BA, FE DEV, DevInt and UAT</x:v>
      </x:c>
      <x:c r="I2" s="6" t="str">
        <x:v>Single planning workbook | Baseline: 2026-07-20 | Scope: BA, FE DEV, DevInt and UAT</x:v>
      </x:c>
      <x:c r="J2" s="6" t="str">
        <x:v>Single planning workbook | Baseline: 2026-07-20 | Scope: BA, FE DEV, DevInt and UAT</x:v>
      </x:c>
    </x:row>
    <x:row r="4" ht="26" customHeight="1">
      <x:c r="A4" s="36" t="str">
        <x:v>BA Tasks</x:v>
      </x:c>
      <x:c r="B4" s="36" t="str">
        <x:v>BA Tasks</x:v>
      </x:c>
      <x:c r="D4" s="36" t="str">
        <x:v>DEV Tasks</x:v>
      </x:c>
      <x:c r="E4" s="36" t="str">
        <x:v>DEV Tasks</x:v>
      </x:c>
      <x:c r="G4" s="36" t="str">
        <x:v>Product Gate</x:v>
      </x:c>
      <x:c r="H4" s="36" t="str">
        <x:v>Product Gate</x:v>
      </x:c>
    </x:row>
    <x:row r="5">
      <x:c r="A5" s="15" t="str">
        <x:v>Total</x:v>
      </x:c>
      <x:c r="B5" s="15" t="n">
        <x:f>COUNTA('BA Tasks'!$A$5:$A$104)</x:f>
        <x:v>28</x:v>
      </x:c>
      <x:c r="D5" s="15" t="str">
        <x:v>Total</x:v>
      </x:c>
      <x:c r="E5" s="15" t="n">
        <x:f>COUNTA('DEV Tasks'!$A$5:$A$104)</x:f>
        <x:v>33</x:v>
      </x:c>
      <x:c r="G5" s="15" t="str">
        <x:v>BA baseline</x:v>
      </x:c>
      <x:c r="H5" s="15" t="str">
        <x:v>Phase 0-4 reconciled</x:v>
      </x:c>
    </x:row>
    <x:row r="6">
      <x:c r="A6" s="15" t="str">
        <x:v>Done</x:v>
      </x:c>
      <x:c r="B6" s="15" t="n">
        <x:f>COUNTIF('BA Tasks'!$H$5:$H$104,"Done")</x:f>
        <x:v>19</x:v>
      </x:c>
      <x:c r="D6" s="15" t="str">
        <x:v>Done</x:v>
      </x:c>
      <x:c r="E6" s="15" t="n">
        <x:f>COUNTIF('DEV Tasks'!$H$5:$H$104,"Done")</x:f>
        <x:v>0</x:v>
      </x:c>
      <x:c r="G6" s="15" t="str">
        <x:v>DEV current</x:v>
      </x:c>
      <x:c r="H6" s="15" t="str">
        <x:v>Phase 0-3 DevInt</x:v>
      </x:c>
    </x:row>
    <x:row r="7">
      <x:c r="A7" s="15" t="str">
        <x:v>Open</x:v>
      </x:c>
      <x:c r="B7" s="15" t="n">
        <x:f>B5-B6</x:f>
        <x:v>9</x:v>
      </x:c>
      <x:c r="D7" s="15" t="str">
        <x:v>Open</x:v>
      </x:c>
      <x:c r="E7" s="15" t="n">
        <x:f>E5-E6</x:f>
        <x:v>33</x:v>
      </x:c>
      <x:c r="G7" s="15" t="str">
        <x:v>Next gate</x:v>
      </x:c>
      <x:c r="H7" s="15" t="str">
        <x:v>Close confirmed gaps, then Phase 4</x:v>
      </x:c>
    </x:row>
    <x:row r="9">
      <x:c r="A9" s="38" t="str">
        <x:v>HOW TO USE THIS WORKBOOK</x:v>
      </x:c>
      <x:c r="B9" s="38" t="str">
        <x:v>HOW TO USE THIS WORKBOOK</x:v>
      </x:c>
      <x:c r="C9" s="38" t="str">
        <x:v>HOW TO USE THIS WORKBOOK</x:v>
      </x:c>
      <x:c r="D9" s="38" t="str">
        <x:v>HOW TO USE THIS WORKBOOK</x:v>
      </x:c>
      <x:c r="E9" s="38" t="str">
        <x:v>HOW TO USE THIS WORKBOOK</x:v>
      </x:c>
      <x:c r="F9" s="38" t="str">
        <x:v>HOW TO USE THIS WORKBOOK</x:v>
      </x:c>
      <x:c r="G9" s="38" t="str">
        <x:v>HOW TO USE THIS WORKBOOK</x:v>
      </x:c>
      <x:c r="H9" s="38" t="str">
        <x:v>HOW TO USE THIS WORKBOOK</x:v>
      </x:c>
      <x:c r="I9" s="38" t="str">
        <x:v>HOW TO USE THIS WORKBOOK</x:v>
      </x:c>
      <x:c r="J9" s="38" t="str">
        <x:v>HOW TO USE THIS WORKBOOK</x:v>
      </x:c>
    </x:row>
    <x:row r="10">
      <x:c r="A10" s="43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B10" s="44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C10" s="44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D10" s="44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E10" s="44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F10" s="44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G10" s="44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H10" s="44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I10" s="44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J10" s="45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</x:row>
    <x:row r="11">
      <x:c r="A11" s="46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B11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C11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D11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E11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F11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G11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H11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I11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J11" s="47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</x:row>
    <x:row r="12">
      <x:c r="A12" s="46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B12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C12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D12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E12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F12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G12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H12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I12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J12" s="47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</x:row>
    <x:row r="13">
      <x:c r="A13" s="46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B13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C13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D13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E13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F13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G13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H13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I13" s="42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J13" s="47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</x:row>
    <x:row r="14">
      <x:c r="A14" s="48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B14" s="49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C14" s="49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D14" s="49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E14" s="49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F14" s="49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G14" s="49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H14" s="49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I14" s="49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  <x:c r="J14" s="50" t="str">
        <x:v>1. BA owns business rules, SRS/mockup alignment and UAT acceptance.
2. DEV owns FE/business implementation, automated regression and DevInt evidence.
3. Update task Status and Target dates directly; Overview formulas summarize progress.
4. A phase exits only when its exit criteria and BA confirmation are satisfied.
5. No schema, database or infrastructure task is included. Future Board/Release Tracking items remain deferred.</x:v>
      </x:c>
    </x:row>
    <x:row r="16" ht="32" customHeight="1">
      <x:c r="A16" s="11" t="str">
        <x:v>Execution Order</x:v>
      </x:c>
      <x:c r="B16" s="11" t="str">
        <x:v>1</x:v>
      </x:c>
      <x:c r="C16" s="11" t="str">
        <x:v>Phase 0-1 DevInt</x:v>
      </x:c>
      <x:c r="D16" s="11" t="str">
        <x:v>2</x:v>
      </x:c>
      <x:c r="E16" s="11" t="str">
        <x:v>Phase 2-3 DevInt</x:v>
      </x:c>
      <x:c r="F16" s="11" t="str">
        <x:v>3</x:v>
      </x:c>
      <x:c r="G16" s="11" t="str">
        <x:v>Phase 4 implementation</x:v>
      </x:c>
      <x:c r="H16" s="11" t="str">
        <x:v>4</x:v>
      </x:c>
      <x:c r="I16" s="11" t="str">
        <x:v>Phase 5 definition + build</x:v>
      </x:c>
      <x:c r="J16" s="11" t="str"/>
    </x:row>
    <x:row r="18" ht="30" customHeight="1">
      <x:c r="A18" s="52" t="str">
        <x:v>Sources of truth: 04_Developement_tracking/RECONCILED_SOURCE_OF_TRUTH.md, phase SRS/checklists, 06_Dev testing align, 07_Test Business/specs, and reconciliation/DEV_HANDOFF.md</x:v>
      </x:c>
      <x:c r="B18" s="52" t="str">
        <x:v>Sources of truth: 04_Developement_tracking/RECONCILED_SOURCE_OF_TRUTH.md, phase SRS/checklists, 06_Dev testing align, 07_Test Business/specs, and reconciliation/DEV_HANDOFF.md</x:v>
      </x:c>
      <x:c r="C18" s="52" t="str">
        <x:v>Sources of truth: 04_Developement_tracking/RECONCILED_SOURCE_OF_TRUTH.md, phase SRS/checklists, 06_Dev testing align, 07_Test Business/specs, and reconciliation/DEV_HANDOFF.md</x:v>
      </x:c>
      <x:c r="D18" s="52" t="str">
        <x:v>Sources of truth: 04_Developement_tracking/RECONCILED_SOURCE_OF_TRUTH.md, phase SRS/checklists, 06_Dev testing align, 07_Test Business/specs, and reconciliation/DEV_HANDOFF.md</x:v>
      </x:c>
      <x:c r="E18" s="52" t="str">
        <x:v>Sources of truth: 04_Developement_tracking/RECONCILED_SOURCE_OF_TRUTH.md, phase SRS/checklists, 06_Dev testing align, 07_Test Business/specs, and reconciliation/DEV_HANDOFF.md</x:v>
      </x:c>
      <x:c r="F18" s="52" t="str">
        <x:v>Sources of truth: 04_Developement_tracking/RECONCILED_SOURCE_OF_TRUTH.md, phase SRS/checklists, 06_Dev testing align, 07_Test Business/specs, and reconciliation/DEV_HANDOFF.md</x:v>
      </x:c>
      <x:c r="G18" s="52" t="str">
        <x:v>Sources of truth: 04_Developement_tracking/RECONCILED_SOURCE_OF_TRUTH.md, phase SRS/checklists, 06_Dev testing align, 07_Test Business/specs, and reconciliation/DEV_HANDOFF.md</x:v>
      </x:c>
      <x:c r="H18" s="52" t="str">
        <x:v>Sources of truth: 04_Developement_tracking/RECONCILED_SOURCE_OF_TRUTH.md, phase SRS/checklists, 06_Dev testing align, 07_Test Business/specs, and reconciliation/DEV_HANDOFF.md</x:v>
      </x:c>
      <x:c r="I18" s="52" t="str">
        <x:v>Sources of truth: 04_Developement_tracking/RECONCILED_SOURCE_OF_TRUTH.md, phase SRS/checklists, 06_Dev testing align, 07_Test Business/specs, and reconciliation/DEV_HANDOFF.md</x:v>
      </x:c>
      <x:c r="J18" s="52" t="str">
        <x:v>Sources of truth: 04_Developement_tracking/RECONCILED_SOURCE_OF_TRUTH.md, phase SRS/checklists, 06_Dev testing align, 07_Test Business/specs, and reconciliation/DEV_HANDOFF.md</x:v>
      </x:c>
    </x:row>
  </x:sheetData>
  <x:mergeCells>
    <x:mergeCell ref="A1:J1"/>
    <x:mergeCell ref="A2:J2"/>
    <x:mergeCell ref="A4:B4"/>
    <x:mergeCell ref="D4:E4"/>
    <x:mergeCell ref="G4:H4"/>
    <x:mergeCell ref="A9:J9"/>
    <x:mergeCell ref="A10:J14"/>
    <x:mergeCell ref="A18:J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45" hidden="0" customWidth="1"/>
    <x:col min="4" max="4" width="16" hidden="0" customWidth="1"/>
    <x:col min="5" max="5" width="16" hidden="0" customWidth="1"/>
    <x:col min="6" max="6" width="15" hidden="0" customWidth="1"/>
    <x:col min="7" max="7" width="13" hidden="0" customWidth="1"/>
    <x:col min="8" max="8" width="13" hidden="0" customWidth="1"/>
    <x:col min="9" max="9" width="46" hidden="0" customWidth="1"/>
    <x:col min="10" max="10" width="35" hidden="0" customWidth="1"/>
  </x:cols>
  <x:sheetData>
    <x:row r="1" ht="32" customHeight="1">
      <x:c r="A1" s="3" t="str">
        <x:v>MINI RALLY — PHASE ROADMAP</x:v>
      </x:c>
      <x:c r="B1" s="3" t="str">
        <x:v>MINI RALLY — PHASE ROADMAP</x:v>
      </x:c>
      <x:c r="C1" s="3" t="str">
        <x:v>MINI RALLY — PHASE ROADMAP</x:v>
      </x:c>
      <x:c r="D1" s="3" t="str">
        <x:v>MINI RALLY — PHASE ROADMAP</x:v>
      </x:c>
      <x:c r="E1" s="3" t="str">
        <x:v>MINI RALLY — PHASE ROADMAP</x:v>
      </x:c>
      <x:c r="F1" s="3" t="str">
        <x:v>MINI RALLY — PHASE ROADMAP</x:v>
      </x:c>
      <x:c r="G1" s="3" t="str">
        <x:v>MINI RALLY — PHASE ROADMAP</x:v>
      </x:c>
      <x:c r="H1" s="3" t="str">
        <x:v>MINI RALLY — PHASE ROADMAP</x:v>
      </x:c>
      <x:c r="I1" s="3" t="str">
        <x:v>MINI RALLY — PHASE ROADMAP</x:v>
      </x:c>
      <x:c r="J1" s="3" t="str">
        <x:v>MINI RALLY — PHASE ROADMAP</x:v>
      </x:c>
    </x:row>
    <x:row r="2" ht="27" customHeight="1">
      <x:c r="A2" s="6" t="str">
        <x:v>Product baseline 2026-07-20 | BA documents/mockup reconciled; DEV dates are an editable proposal</x:v>
      </x:c>
      <x:c r="B2" s="6" t="str">
        <x:v>Product baseline 2026-07-20 | BA documents/mockup reconciled; DEV dates are an editable proposal</x:v>
      </x:c>
      <x:c r="C2" s="6" t="str">
        <x:v>Product baseline 2026-07-20 | BA documents/mockup reconciled; DEV dates are an editable proposal</x:v>
      </x:c>
      <x:c r="D2" s="6" t="str">
        <x:v>Product baseline 2026-07-20 | BA documents/mockup reconciled; DEV dates are an editable proposal</x:v>
      </x:c>
      <x:c r="E2" s="6" t="str">
        <x:v>Product baseline 2026-07-20 | BA documents/mockup reconciled; DEV dates are an editable proposal</x:v>
      </x:c>
      <x:c r="F2" s="6" t="str">
        <x:v>Product baseline 2026-07-20 | BA documents/mockup reconciled; DEV dates are an editable proposal</x:v>
      </x:c>
      <x:c r="G2" s="6" t="str">
        <x:v>Product baseline 2026-07-20 | BA documents/mockup reconciled; DEV dates are an editable proposal</x:v>
      </x:c>
      <x:c r="H2" s="6" t="str">
        <x:v>Product baseline 2026-07-20 | BA documents/mockup reconciled; DEV dates are an editable proposal</x:v>
      </x:c>
      <x:c r="I2" s="6" t="str">
        <x:v>Product baseline 2026-07-20 | BA documents/mockup reconciled; DEV dates are an editable proposal</x:v>
      </x:c>
      <x:c r="J2" s="6" t="str">
        <x:v>Product baseline 2026-07-20 | BA documents/mockup reconciled; DEV dates are an editable proposal</x:v>
      </x:c>
    </x:row>
    <x:row r="4" ht="32" customHeight="1">
      <x:c r="A4" s="11" t="str">
        <x:v>Phase</x:v>
      </x:c>
      <x:c r="B4" s="11" t="str">
        <x:v>Theme</x:v>
      </x:c>
      <x:c r="C4" s="11" t="str">
        <x:v>Scope</x:v>
      </x:c>
      <x:c r="D4" s="11" t="str">
        <x:v>BA Status</x:v>
      </x:c>
      <x:c r="E4" s="11" t="str">
        <x:v>DEV Status</x:v>
      </x:c>
      <x:c r="F4" s="11" t="str">
        <x:v>Current Gate</x:v>
      </x:c>
      <x:c r="G4" s="11" t="str">
        <x:v>Target Start</x:v>
      </x:c>
      <x:c r="H4" s="11" t="str">
        <x:v>Target End</x:v>
      </x:c>
      <x:c r="I4" s="11" t="str">
        <x:v>Exit Criteria</x:v>
      </x:c>
      <x:c r="J4" s="11" t="str">
        <x:v>Next Action</x:v>
      </x:c>
    </x:row>
    <x:row r="5" ht="58" customHeight="1">
      <x:c r="A5" s="15" t="str">
        <x:v>Phase 0</x:v>
      </x:c>
      <x:c r="B5" s="15" t="str">
        <x:v>Foundation</x:v>
      </x:c>
      <x:c r="C5" s="15" t="str">
        <x:v>App shell, authentication, workspace and project context</x:v>
      </x:c>
      <x:c r="D5" s="19" t="str">
        <x:v>Done</x:v>
      </x:c>
      <x:c r="E5" s="28" t="str">
        <x:v>In Progress</x:v>
      </x:c>
      <x:c r="F5" s="15" t="str">
        <x:v>DevInt</x:v>
      </x:c>
      <x:c r="G5" s="16" t="n">
        <x:v>46223</x:v>
      </x:c>
      <x:c r="H5" s="16" t="n">
        <x:v>46227</x:v>
      </x:c>
      <x:c r="I5" s="15" t="str">
        <x:v>P0 documents and mockup reconciled; DevInt result recorded</x:v>
      </x:c>
      <x:c r="J5" s="15" t="str">
        <x:v>Close confirmed DevInt gaps</x:v>
      </x:c>
    </x:row>
    <x:row r="6" ht="58" customHeight="1">
      <x:c r="A6" s="15" t="str">
        <x:v>Phase 1</x:v>
      </x:c>
      <x:c r="B6" s="15" t="str">
        <x:v>Core backlog</x:v>
      </x:c>
      <x:c r="C6" s="15" t="str">
        <x:v>Projects, Teams/Users in Settings, backlog, work item and task management</x:v>
      </x:c>
      <x:c r="D6" s="19" t="str">
        <x:v>Done</x:v>
      </x:c>
      <x:c r="E6" s="28" t="str">
        <x:v>In Progress</x:v>
      </x:c>
      <x:c r="F6" s="15" t="str">
        <x:v>DevInt</x:v>
      </x:c>
      <x:c r="G6" s="16" t="n">
        <x:v>46223</x:v>
      </x:c>
      <x:c r="H6" s="16" t="n">
        <x:v>46234</x:v>
      </x:c>
      <x:c r="I6" s="15" t="str">
        <x:v>One consistent work-item flow and task roll-up behavior</x:v>
      </x:c>
      <x:c r="J6" s="15" t="str">
        <x:v>Close task/status and navigation gaps</x:v>
      </x:c>
    </x:row>
    <x:row r="7" ht="58" customHeight="1">
      <x:c r="A7" s="15" t="str">
        <x:v>Phase 2</x:v>
      </x:c>
      <x:c r="B7" s="15" t="str">
        <x:v>Iteration planning</x:v>
      </x:c>
      <x:c r="C7" s="15" t="str">
        <x:v>Iteration lifecycle, backlog assignment and iteration status metrics</x:v>
      </x:c>
      <x:c r="D7" s="19" t="str">
        <x:v>Done</x:v>
      </x:c>
      <x:c r="E7" s="28" t="str">
        <x:v>In Progress</x:v>
      </x:c>
      <x:c r="F7" s="15" t="str">
        <x:v>DevInt</x:v>
      </x:c>
      <x:c r="G7" s="16" t="n">
        <x:v>46230</x:v>
      </x:c>
      <x:c r="H7" s="16" t="n">
        <x:v>46241</x:v>
      </x:c>
      <x:c r="I7" s="15" t="str">
        <x:v>Planning/Committed/Accepted rules pass UAT</x:v>
      </x:c>
      <x:c r="J7" s="15" t="str">
        <x:v>Close iteration and totals gaps</x:v>
      </x:c>
    </x:row>
    <x:row r="8" ht="58" customHeight="1">
      <x:c r="A8" s="15" t="str">
        <x:v>Phase 3</x:v>
      </x:c>
      <x:c r="B8" s="15" t="str">
        <x:v>Execution &amp; quality</x:v>
      </x:c>
      <x:c r="C8" s="15" t="str">
        <x:v>Team Status, Release/Milestone management and Defect flow</x:v>
      </x:c>
      <x:c r="D8" s="19" t="str">
        <x:v>Done</x:v>
      </x:c>
      <x:c r="E8" s="28" t="str">
        <x:v>In Progress</x:v>
      </x:c>
      <x:c r="F8" s="15" t="str">
        <x:v>DevInt</x:v>
      </x:c>
      <x:c r="G8" s="16" t="n">
        <x:v>46237</x:v>
      </x:c>
      <x:c r="H8" s="16" t="n">
        <x:v>46248</x:v>
      </x:c>
      <x:c r="I8" s="15" t="str">
        <x:v>Confirmed Phase 3 business rules pass DevInt</x:v>
      </x:c>
      <x:c r="J8" s="15" t="str">
        <x:v>Close Release/Milestone and Quality gaps</x:v>
      </x:c>
    </x:row>
    <x:row r="9" ht="58" customHeight="1">
      <x:c r="A9" s="15" t="str">
        <x:v>Phase 4</x:v>
      </x:c>
      <x:c r="B9" s="15" t="str">
        <x:v>Governance</x:v>
      </x:c>
      <x:c r="C9" s="15" t="str">
        <x:v>Notifications, roles/permissions, settings and audit</x:v>
      </x:c>
      <x:c r="D9" s="19" t="str">
        <x:v>Done</x:v>
      </x:c>
      <x:c r="E9" s="31" t="str">
        <x:v>Ready</x:v>
      </x:c>
      <x:c r="F9" s="15" t="str">
        <x:v>UAT Prep</x:v>
      </x:c>
      <x:c r="G9" s="16" t="n">
        <x:v>46244</x:v>
      </x:c>
      <x:c r="H9" s="16" t="n">
        <x:v>46262</x:v>
      </x:c>
      <x:c r="I9" s="15" t="str">
        <x:v>Phase 4 implementation matches SRS/mockup and permissions matrix</x:v>
      </x:c>
      <x:c r="J9" s="15" t="str">
        <x:v>Start implementation and DevInt</x:v>
      </x:c>
    </x:row>
    <x:row r="10" ht="58" customHeight="1">
      <x:c r="A10" s="15" t="str">
        <x:v>Phase 5</x:v>
      </x:c>
      <x:c r="B10" s="15" t="str">
        <x:v>Portfolio</x:v>
      </x:c>
      <x:c r="C10" s="15" t="str">
        <x:v>Release Planning and reporting</x:v>
      </x:c>
      <x:c r="D10" s="22" t="str">
        <x:v>Planned</x:v>
      </x:c>
      <x:c r="E10" s="34" t="str">
        <x:v>Needs BA</x:v>
      </x:c>
      <x:c r="F10" s="15" t="str">
        <x:v>Definition</x:v>
      </x:c>
      <x:c r="G10" s="16" t="n">
        <x:v>46237</x:v>
      </x:c>
      <x:c r="H10" s="16" t="n">
        <x:v>46290</x:v>
      </x:c>
      <x:c r="I10" s="15" t="str">
        <x:v>Scope, metrics and screens confirmed before development</x:v>
      </x:c>
      <x:c r="J10" s="15" t="str">
        <x:v>Confirm Phase 5 SRS and mockup</x:v>
      </x:c>
    </x:row>
    <x:row r="11" ht="58" customHeight="1">
      <x:c r="A11" s="15" t="str">
        <x:v>Future</x:v>
      </x:c>
      <x:c r="B11" s="15" t="str">
        <x:v>Deferred scope</x:v>
      </x:c>
      <x:c r="C11" s="15" t="str">
        <x:v>Iteration board, Team board and Release Tracking progress</x:v>
      </x:c>
      <x:c r="D11" s="25" t="str">
        <x:v>Future Backlog</x:v>
      </x:c>
      <x:c r="E11" s="25" t="str">
        <x:v>Future Backlog</x:v>
      </x:c>
      <x:c r="F11" s="15" t="str">
        <x:v>Backlog</x:v>
      </x:c>
      <x:c r="G11" s="16"/>
      <x:c r="H11" s="16"/>
      <x:c r="I11" s="15" t="str">
        <x:v>Only promoted after BA prioritization</x:v>
      </x:c>
      <x:c r="J11" s="15" t="str">
        <x:v>Quarterly product review</x:v>
      </x:c>
    </x:row>
  </x:sheetData>
  <x:mergeCells>
    <x:mergeCell ref="A1:J1"/>
    <x:mergeCell ref="A2:J2"/>
  </x:mergeCells>
  <x:dataValidations count="1">
    <x:dataValidation type="list" sqref="D5:E11">
      <x:formula1>"Done,In Progress,Ready,Planned,Future Backlog,Needs BA"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2" hidden="0" customWidth="1"/>
    <x:col min="4" max="4" width="42" hidden="0" customWidth="1"/>
    <x:col min="5" max="5" width="35" hidden="0" customWidth="1"/>
    <x:col min="6" max="6" width="24" hidden="0" customWidth="1"/>
    <x:col min="7" max="7" width="10" hidden="0" customWidth="1"/>
    <x:col min="8" max="8" width="16" hidden="0" customWidth="1"/>
    <x:col min="9" max="9" width="15" hidden="0" customWidth="1"/>
    <x:col min="10" max="10" width="13" hidden="0" customWidth="1"/>
    <x:col min="11" max="11" width="13" hidden="0" customWidth="1"/>
    <x:col min="12" max="12" width="46" hidden="0" customWidth="1"/>
    <x:col min="13" max="13" width="25" hidden="0" customWidth="1"/>
    <x:col min="14" max="14" width="34" hidden="0" customWidth="1"/>
  </x:cols>
  <x:sheetData>
    <x:row r="1" ht="32" customHeight="1">
      <x:c r="A1" s="3" t="str">
        <x:v>MINI RALLY — BA EXECUTION PLAN</x:v>
      </x:c>
      <x:c r="B1" s="3" t="str">
        <x:v>MINI RALLY — BA EXECUTION PLAN</x:v>
      </x:c>
      <x:c r="C1" s="3" t="str">
        <x:v>MINI RALLY — BA EXECUTION PLAN</x:v>
      </x:c>
      <x:c r="D1" s="3" t="str">
        <x:v>MINI RALLY — BA EXECUTION PLAN</x:v>
      </x:c>
      <x:c r="E1" s="3" t="str">
        <x:v>MINI RALLY — BA EXECUTION PLAN</x:v>
      </x:c>
      <x:c r="F1" s="3" t="str">
        <x:v>MINI RALLY — BA EXECUTION PLAN</x:v>
      </x:c>
      <x:c r="G1" s="3" t="str">
        <x:v>MINI RALLY — BA EXECUTION PLAN</x:v>
      </x:c>
      <x:c r="H1" s="3" t="str">
        <x:v>MINI RALLY — BA EXECUTION PLAN</x:v>
      </x:c>
      <x:c r="I1" s="3" t="str">
        <x:v>MINI RALLY — BA EXECUTION PLAN</x:v>
      </x:c>
      <x:c r="J1" s="3" t="str">
        <x:v>MINI RALLY — BA EXECUTION PLAN</x:v>
      </x:c>
      <x:c r="K1" s="3" t="str">
        <x:v>MINI RALLY — BA EXECUTION PLAN</x:v>
      </x:c>
      <x:c r="L1" s="3" t="str">
        <x:v>MINI RALLY — BA EXECUTION PLAN</x:v>
      </x:c>
      <x:c r="M1" s="3" t="str">
        <x:v>MINI RALLY — BA EXECUTION PLAN</x:v>
      </x:c>
      <x:c r="N1" s="3" t="str">
        <x:v>MINI RALLY — BA EXECUTION PLAN</x:v>
      </x:c>
    </x:row>
    <x:row r="2" ht="27" customHeight="1">
      <x:c r="A2" s="6" t="str">
        <x:v>Business analysis, SRS, mockup, UAT and governance tasks</x:v>
      </x:c>
      <x:c r="B2" s="6" t="str">
        <x:v>Business analysis, SRS, mockup, UAT and governance tasks</x:v>
      </x:c>
      <x:c r="C2" s="6" t="str">
        <x:v>Business analysis, SRS, mockup, UAT and governance tasks</x:v>
      </x:c>
      <x:c r="D2" s="6" t="str">
        <x:v>Business analysis, SRS, mockup, UAT and governance tasks</x:v>
      </x:c>
      <x:c r="E2" s="6" t="str">
        <x:v>Business analysis, SRS, mockup, UAT and governance tasks</x:v>
      </x:c>
      <x:c r="F2" s="6" t="str">
        <x:v>Business analysis, SRS, mockup, UAT and governance tasks</x:v>
      </x:c>
      <x:c r="G2" s="6" t="str">
        <x:v>Business analysis, SRS, mockup, UAT and governance tasks</x:v>
      </x:c>
      <x:c r="H2" s="6" t="str">
        <x:v>Business analysis, SRS, mockup, UAT and governance tasks</x:v>
      </x:c>
      <x:c r="I2" s="6" t="str">
        <x:v>Business analysis, SRS, mockup, UAT and governance tasks</x:v>
      </x:c>
      <x:c r="J2" s="6" t="str">
        <x:v>Business analysis, SRS, mockup, UAT and governance tasks</x:v>
      </x:c>
      <x:c r="K2" s="6" t="str">
        <x:v>Business analysis, SRS, mockup, UAT and governance tasks</x:v>
      </x:c>
      <x:c r="L2" s="6" t="str">
        <x:v>Business analysis, SRS, mockup, UAT and governance tasks</x:v>
      </x:c>
      <x:c r="M2" s="6" t="str">
        <x:v>Business analysis, SRS, mockup, UAT and governance tasks</x:v>
      </x:c>
      <x:c r="N2" s="6" t="str">
        <x:v>Business analysis, SRS, mockup, UAT and governance tasks</x:v>
      </x:c>
    </x:row>
    <x:row r="4" ht="32" customHeight="1">
      <x:c r="A4" s="11" t="str">
        <x:v>Task ID</x:v>
      </x:c>
      <x:c r="B4" s="11" t="str">
        <x:v>Phase</x:v>
      </x:c>
      <x:c r="C4" s="11" t="str">
        <x:v>Workstream</x:v>
      </x:c>
      <x:c r="D4" s="11" t="str">
        <x:v>Task / Outcome</x:v>
      </x:c>
      <x:c r="E4" s="11" t="str">
        <x:v>Deliverable / Source</x:v>
      </x:c>
      <x:c r="F4" s="11" t="str">
        <x:v>Dependency</x:v>
      </x:c>
      <x:c r="G4" s="11" t="str">
        <x:v>Priority</x:v>
      </x:c>
      <x:c r="H4" s="11" t="str">
        <x:v>Status</x:v>
      </x:c>
      <x:c r="I4" s="11" t="str">
        <x:v>Owner Role</x:v>
      </x:c>
      <x:c r="J4" s="11" t="str">
        <x:v>Target Start</x:v>
      </x:c>
      <x:c r="K4" s="11" t="str">
        <x:v>Target End</x:v>
      </x:c>
      <x:c r="L4" s="11" t="str">
        <x:v>Acceptance / Definition of Done</x:v>
      </x:c>
      <x:c r="M4" s="11" t="str">
        <x:v>Next Gate</x:v>
      </x:c>
      <x:c r="N4" s="11" t="str">
        <x:v>Notes</x:v>
      </x:c>
    </x:row>
    <x:row r="5" ht="46" customHeight="1">
      <x:c r="A5" s="15" t="str">
        <x:v>BA-0001</x:v>
      </x:c>
      <x:c r="B5" s="15" t="str">
        <x:v>Phase 0</x:v>
      </x:c>
      <x:c r="C5" s="15" t="str">
        <x:v>Foundation</x:v>
      </x:c>
      <x:c r="D5" s="15" t="str">
        <x:v>Confirm app shell, authentication, workspace and project-context behavior</x:v>
      </x:c>
      <x:c r="E5" s="15" t="str">
        <x:v>Phase 0 SRS + mockup checklist</x:v>
      </x:c>
      <x:c r="F5" s="15" t="str">
        <x:v>None</x:v>
      </x:c>
      <x:c r="G5" s="15" t="str">
        <x:v>P0</x:v>
      </x:c>
      <x:c r="H5" s="19" t="str">
        <x:v>Done</x:v>
      </x:c>
      <x:c r="I5" s="15" t="str">
        <x:v>BA</x:v>
      </x:c>
      <x:c r="J5" s="16" t="n">
        <x:v>46221</x:v>
      </x:c>
      <x:c r="K5" s="16" t="n">
        <x:v>46223</x:v>
      </x:c>
      <x:c r="L5" s="15" t="str">
        <x:v>All Phase 0 screens use the same context and navigation model</x:v>
      </x:c>
      <x:c r="M5" s="15" t="str">
        <x:v>DevInt verification</x:v>
      </x:c>
      <x:c r="N5" s="15" t="str">
        <x:v>Reconciled baseline</x:v>
      </x:c>
    </x:row>
    <x:row r="6" ht="46" customHeight="1">
      <x:c r="A6" s="15" t="str">
        <x:v>BA-0002</x:v>
      </x:c>
      <x:c r="B6" s="15" t="str">
        <x:v>Phase 0</x:v>
      </x:c>
      <x:c r="C6" s="15" t="str">
        <x:v>Project</x:v>
      </x:c>
      <x:c r="D6" s="15" t="str">
        <x:v>Confirm multi-project model and project-level context</x:v>
      </x:c>
      <x:c r="E6" s="15" t="str">
        <x:v>Project SRS</x:v>
      </x:c>
      <x:c r="F6" s="15" t="str">
        <x:v>BA-0001</x:v>
      </x:c>
      <x:c r="G6" s="15" t="str">
        <x:v>P0</x:v>
      </x:c>
      <x:c r="H6" s="19" t="str">
        <x:v>Done</x:v>
      </x:c>
      <x:c r="I6" s="15" t="str">
        <x:v>BA</x:v>
      </x:c>
      <x:c r="J6" s="16" t="n">
        <x:v>46221</x:v>
      </x:c>
      <x:c r="K6" s="16" t="n">
        <x:v>46223</x:v>
      </x:c>
      <x:c r="L6" s="15" t="str">
        <x:v>User can manage multiple projects without cross-project data ambiguity</x:v>
      </x:c>
      <x:c r="M6" s="15" t="str">
        <x:v>DevInt verification</x:v>
      </x:c>
      <x:c r="N6" s="15" t="str">
        <x:v>Teams and users are managed under Settings</x:v>
      </x:c>
    </x:row>
    <x:row r="7" ht="46" customHeight="1">
      <x:c r="A7" s="15" t="str">
        <x:v>BA-0003</x:v>
      </x:c>
      <x:c r="B7" s="15" t="str">
        <x:v>Phase 0</x:v>
      </x:c>
      <x:c r="C7" s="15" t="str">
        <x:v>Testing</x:v>
      </x:c>
      <x:c r="D7" s="15" t="str">
        <x:v>Maintain Phase 0 business scenarios and traceability</x:v>
      </x:c>
      <x:c r="E7" s="15" t="str">
        <x:v>07_Test Business/specs/PHASE0_TEST_SCENARIOS.md</x:v>
      </x:c>
      <x:c r="F7" s="15" t="str">
        <x:v>BA-0001</x:v>
      </x:c>
      <x:c r="G7" s="15" t="str">
        <x:v>P1</x:v>
      </x:c>
      <x:c r="H7" s="19" t="str">
        <x:v>Done</x:v>
      </x:c>
      <x:c r="I7" s="15" t="str">
        <x:v>BA/UAT</x:v>
      </x:c>
      <x:c r="J7" s="16" t="n">
        <x:v>46222</x:v>
      </x:c>
      <x:c r="K7" s="16" t="n">
        <x:v>46223</x:v>
      </x:c>
      <x:c r="L7" s="15" t="str">
        <x:v>All Phase 0 requirements have positive and negative cases</x:v>
      </x:c>
      <x:c r="M7" s="15" t="str">
        <x:v>Execute UAT</x:v>
      </x:c>
      <x:c r="N7" s="15" t="str"/>
    </x:row>
    <x:row r="8" ht="46" customHeight="1">
      <x:c r="A8" s="15" t="str">
        <x:v>BA-0101</x:v>
      </x:c>
      <x:c r="B8" s="15" t="str">
        <x:v>Phase 1</x:v>
      </x:c>
      <x:c r="C8" s="15" t="str">
        <x:v>Backlog</x:v>
      </x:c>
      <x:c r="D8" s="15" t="str">
        <x:v>Confirm shared work-item identity across Backlog and Iteration screens</x:v>
      </x:c>
      <x:c r="E8" s="15" t="str">
        <x:v>Backlog and Work Item SRS</x:v>
      </x:c>
      <x:c r="F8" s="15" t="str">
        <x:v>BA-0002</x:v>
      </x:c>
      <x:c r="G8" s="15" t="str">
        <x:v>P0</x:v>
      </x:c>
      <x:c r="H8" s="19" t="str">
        <x:v>Done</x:v>
      </x:c>
      <x:c r="I8" s="15" t="str">
        <x:v>BA</x:v>
      </x:c>
      <x:c r="J8" s="16" t="n">
        <x:v>46221</x:v>
      </x:c>
      <x:c r="K8" s="16" t="n">
        <x:v>46223</x:v>
      </x:c>
      <x:c r="L8" s="15" t="str">
        <x:v>Changing a work item in one screen is reflected everywhere</x:v>
      </x:c>
      <x:c r="M8" s="15" t="str">
        <x:v>DevInt verification</x:v>
      </x:c>
      <x:c r="N8" s="15" t="str"/>
    </x:row>
    <x:row r="9" ht="46" customHeight="1">
      <x:c r="A9" s="15" t="str">
        <x:v>BA-0102</x:v>
      </x:c>
      <x:c r="B9" s="15" t="str">
        <x:v>Phase 1</x:v>
      </x:c>
      <x:c r="C9" s="15" t="str">
        <x:v>Work Item State</x:v>
      </x:c>
      <x:c r="D9" s="15" t="str">
        <x:v>Confirm Schedule State and Flow State use one mirrored lifecycle</x:v>
      </x:c>
      <x:c r="E9" s="15" t="str">
        <x:v>RECONCILED_SOURCE_OF_TRUTH.md</x:v>
      </x:c>
      <x:c r="F9" s="15" t="str">
        <x:v>BA-0101</x:v>
      </x:c>
      <x:c r="G9" s="15" t="str">
        <x:v>P0</x:v>
      </x:c>
      <x:c r="H9" s="19" t="str">
        <x:v>Done</x:v>
      </x:c>
      <x:c r="I9" s="15" t="str">
        <x:v>BA</x:v>
      </x:c>
      <x:c r="J9" s="16" t="n">
        <x:v>46221</x:v>
      </x:c>
      <x:c r="K9" s="16" t="n">
        <x:v>46223</x:v>
      </x:c>
      <x:c r="L9" s="15" t="str">
        <x:v>Idea, Defined, In-Progress, Completed, Accepted, Release; default Idea</x:v>
      </x:c>
      <x:c r="M9" s="15" t="str">
        <x:v>DevInt verification</x:v>
      </x:c>
      <x:c r="N9" s="15" t="str">
        <x:v>Defect State remains separate</x:v>
      </x:c>
    </x:row>
    <x:row r="10" ht="46" customHeight="1">
      <x:c r="A10" s="15" t="str">
        <x:v>BA-0103</x:v>
      </x:c>
      <x:c r="B10" s="15" t="str">
        <x:v>Phase 1</x:v>
      </x:c>
      <x:c r="C10" s="15" t="str">
        <x:v>Tasks</x:v>
      </x:c>
      <x:c r="D10" s="15" t="str">
        <x:v>Confirm task lifecycle and parent roll-up/reopen rules</x:v>
      </x:c>
      <x:c r="E10" s="15" t="str">
        <x:v>Task Management SRS</x:v>
      </x:c>
      <x:c r="F10" s="15" t="str">
        <x:v>BA-0102</x:v>
      </x:c>
      <x:c r="G10" s="15" t="str">
        <x:v>P0</x:v>
      </x:c>
      <x:c r="H10" s="19" t="str">
        <x:v>Done</x:v>
      </x:c>
      <x:c r="I10" s="15" t="str">
        <x:v>BA</x:v>
      </x:c>
      <x:c r="J10" s="16" t="n">
        <x:v>46221</x:v>
      </x:c>
      <x:c r="K10" s="16" t="n">
        <x:v>46223</x:v>
      </x:c>
      <x:c r="L10" s="15" t="str">
        <x:v>All tasks Completed -&gt; parent Completed; reopening one -&gt; parent In-Progress</x:v>
      </x:c>
      <x:c r="M10" s="15" t="str">
        <x:v>DevInt verification</x:v>
      </x:c>
      <x:c r="N10" s="15" t="str">
        <x:v>Manual parent status remains allowed</x:v>
      </x:c>
    </x:row>
    <x:row r="11" ht="46" customHeight="1">
      <x:c r="A11" s="15" t="str">
        <x:v>BA-0104</x:v>
      </x:c>
      <x:c r="B11" s="15" t="str">
        <x:v>Phase 1</x:v>
      </x:c>
      <x:c r="C11" s="15" t="str">
        <x:v>Settings</x:v>
      </x:c>
      <x:c r="D11" s="15" t="str">
        <x:v>Move Teams and User Management under Settings gear</x:v>
      </x:c>
      <x:c r="E11" s="15" t="str">
        <x:v>Manage Projects/Teams/Users SRS + mockup</x:v>
      </x:c>
      <x:c r="F11" s="15" t="str">
        <x:v>BA-0002</x:v>
      </x:c>
      <x:c r="G11" s="15" t="str">
        <x:v>P1</x:v>
      </x:c>
      <x:c r="H11" s="19" t="str">
        <x:v>Done</x:v>
      </x:c>
      <x:c r="I11" s="15" t="str">
        <x:v>BA</x:v>
      </x:c>
      <x:c r="J11" s="16" t="n">
        <x:v>46222</x:v>
      </x:c>
      <x:c r="K11" s="16" t="n">
        <x:v>46223</x:v>
      </x:c>
      <x:c r="L11" s="15" t="str">
        <x:v>Manage Projects contains Projects only; admin entities are under Settings</x:v>
      </x:c>
      <x:c r="M11" s="15" t="str">
        <x:v>DevInt verification</x:v>
      </x:c>
      <x:c r="N11" s="15" t="str"/>
    </x:row>
    <x:row r="12" ht="46" customHeight="1">
      <x:c r="A12" s="15" t="str">
        <x:v>BA-0105</x:v>
      </x:c>
      <x:c r="B12" s="15" t="str">
        <x:v>Phase 1</x:v>
      </x:c>
      <x:c r="C12" s="15" t="str">
        <x:v>Testing</x:v>
      </x:c>
      <x:c r="D12" s="15" t="str">
        <x:v>Maintain Phase 1 UAT and traceability pack</x:v>
      </x:c>
      <x:c r="E12" s="15" t="str">
        <x:v>07_Test Business/specs/PHASE1_TEST_SCENARIOS.md</x:v>
      </x:c>
      <x:c r="F12" s="15" t="str">
        <x:v>BA-0101..0104</x:v>
      </x:c>
      <x:c r="G12" s="15" t="str">
        <x:v>P1</x:v>
      </x:c>
      <x:c r="H12" s="19" t="str">
        <x:v>Done</x:v>
      </x:c>
      <x:c r="I12" s="15" t="str">
        <x:v>BA/UAT</x:v>
      </x:c>
      <x:c r="J12" s="16" t="n">
        <x:v>46222</x:v>
      </x:c>
      <x:c r="K12" s="16" t="n">
        <x:v>46223</x:v>
      </x:c>
      <x:c r="L12" s="15" t="str">
        <x:v>Business scenarios cover create/edit/status/task roll-up</x:v>
      </x:c>
      <x:c r="M12" s="15" t="str">
        <x:v>Execute UAT</x:v>
      </x:c>
      <x:c r="N12" s="15" t="str"/>
    </x:row>
    <x:row r="13" ht="46" customHeight="1">
      <x:c r="A13" s="15" t="str">
        <x:v>BA-0201</x:v>
      </x:c>
      <x:c r="B13" s="15" t="str">
        <x:v>Phase 2</x:v>
      </x:c>
      <x:c r="C13" s="15" t="str">
        <x:v>Iteration Lifecycle</x:v>
      </x:c>
      <x:c r="D13" s="15" t="str">
        <x:v>Confirm Planning -&gt; Committed -&gt; Accepted behavior</x:v>
      </x:c>
      <x:c r="E13" s="15" t="str">
        <x:v>Iterations SRS</x:v>
      </x:c>
      <x:c r="F13" s="15" t="str">
        <x:v>BA-0101</x:v>
      </x:c>
      <x:c r="G13" s="15" t="str">
        <x:v>P0</x:v>
      </x:c>
      <x:c r="H13" s="19" t="str">
        <x:v>Done</x:v>
      </x:c>
      <x:c r="I13" s="15" t="str">
        <x:v>BA</x:v>
      </x:c>
      <x:c r="J13" s="16" t="n">
        <x:v>46221</x:v>
      </x:c>
      <x:c r="K13" s="16" t="n">
        <x:v>46223</x:v>
      </x:c>
      <x:c r="L13" s="15" t="str">
        <x:v>Default Planning; user can manually change; auto-accept is convenience only</x:v>
      </x:c>
      <x:c r="M13" s="15" t="str">
        <x:v>DevInt verification</x:v>
      </x:c>
      <x:c r="N13" s="15" t="str">
        <x:v>No lock on committed sprint</x:v>
      </x:c>
    </x:row>
    <x:row r="14" ht="46" customHeight="1">
      <x:c r="A14" s="15" t="str">
        <x:v>BA-0202</x:v>
      </x:c>
      <x:c r="B14" s="15" t="str">
        <x:v>Phase 2</x:v>
      </x:c>
      <x:c r="C14" s="15" t="str">
        <x:v>Scope</x:v>
      </x:c>
      <x:c r="D14" s="15" t="str">
        <x:v>Confirm backlog assignment does not auto-commit and scope can change during sprint</x:v>
      </x:c>
      <x:c r="E14" s="15" t="str">
        <x:v>Iterations SRS</x:v>
      </x:c>
      <x:c r="F14" s="15" t="str">
        <x:v>BA-0201</x:v>
      </x:c>
      <x:c r="G14" s="15" t="str">
        <x:v>P0</x:v>
      </x:c>
      <x:c r="H14" s="19" t="str">
        <x:v>Done</x:v>
      </x:c>
      <x:c r="I14" s="15" t="str">
        <x:v>BA</x:v>
      </x:c>
      <x:c r="J14" s="16" t="n">
        <x:v>46221</x:v>
      </x:c>
      <x:c r="K14" s="16" t="n">
        <x:v>46223</x:v>
      </x:c>
      <x:c r="L14" s="15" t="str">
        <x:v>US/DE can be added while iteration runs; board does not auto-move cards</x:v>
      </x:c>
      <x:c r="M14" s="15" t="str">
        <x:v>DevInt verification</x:v>
      </x:c>
      <x:c r="N14" s="15" t="str"/>
    </x:row>
    <x:row r="15" ht="46" customHeight="1">
      <x:c r="A15" s="15" t="str">
        <x:v>BA-0203</x:v>
      </x:c>
      <x:c r="B15" s="15" t="str">
        <x:v>Phase 2</x:v>
      </x:c>
      <x:c r="C15" s="15" t="str">
        <x:v>Iteration Metrics</x:v>
      </x:c>
      <x:c r="D15" s="15" t="str">
        <x:v>Confirm Task Active and Totals definitions</x:v>
      </x:c>
      <x:c r="E15" s="15" t="str">
        <x:v>Iteration Status SRS + mockup</x:v>
      </x:c>
      <x:c r="F15" s="15" t="str">
        <x:v>BA-0103</x:v>
      </x:c>
      <x:c r="G15" s="15" t="str">
        <x:v>P0</x:v>
      </x:c>
      <x:c r="H15" s="19" t="str">
        <x:v>Done</x:v>
      </x:c>
      <x:c r="I15" s="15" t="str">
        <x:v>BA</x:v>
      </x:c>
      <x:c r="J15" s="16" t="n">
        <x:v>46221</x:v>
      </x:c>
      <x:c r="K15" s="16" t="n">
        <x:v>46223</x:v>
      </x:c>
      <x:c r="L15" s="15" t="str">
        <x:v>Task Active counts all tasks under iteration US/DE; totals show Plan Estimate, Task Estimate, To Do</x:v>
      </x:c>
      <x:c r="M15" s="15" t="str">
        <x:v>DevInt verification</x:v>
      </x:c>
      <x:c r="N15" s="15" t="str">
        <x:v>List view only</x:v>
      </x:c>
    </x:row>
    <x:row r="16" ht="46" customHeight="1">
      <x:c r="A16" s="15" t="str">
        <x:v>BA-0204</x:v>
      </x:c>
      <x:c r="B16" s="15" t="str">
        <x:v>Phase 2</x:v>
      </x:c>
      <x:c r="C16" s="15" t="str">
        <x:v>Testing</x:v>
      </x:c>
      <x:c r="D16" s="15" t="str">
        <x:v>Review Phase 2 DevInt results one screen at a time</x:v>
      </x:c>
      <x:c r="E16" s="15" t="str">
        <x:v>06_Dev testing align tracker</x:v>
      </x:c>
      <x:c r="F16" s="15" t="str">
        <x:v>BA-0201..0203</x:v>
      </x:c>
      <x:c r="G16" s="15" t="str">
        <x:v>P0</x:v>
      </x:c>
      <x:c r="H16" s="28" t="str">
        <x:v>In Progress</x:v>
      </x:c>
      <x:c r="I16" s="15" t="str">
        <x:v>BA/UAT</x:v>
      </x:c>
      <x:c r="J16" s="16" t="n">
        <x:v>46230</x:v>
      </x:c>
      <x:c r="K16" s="16" t="n">
        <x:v>46241</x:v>
      </x:c>
      <x:c r="L16" s="15" t="str">
        <x:v>Each gap has Match/Gap, decision, owner and retest evidence</x:v>
      </x:c>
      <x:c r="M16" s="15" t="str">
        <x:v>BA gap confirmation</x:v>
      </x:c>
      <x:c r="N16" s="15" t="str">
        <x:v>Do not batch-confirm unknown gaps</x:v>
      </x:c>
    </x:row>
    <x:row r="17" ht="46" customHeight="1">
      <x:c r="A17" s="15" t="str">
        <x:v>BA-0301</x:v>
      </x:c>
      <x:c r="B17" s="15" t="str">
        <x:v>Phase 3</x:v>
      </x:c>
      <x:c r="C17" s="15" t="str">
        <x:v>Release/Milestone</x:v>
      </x:c>
      <x:c r="D17" s="15" t="str">
        <x:v>Confirm Release and Milestone are independent M:N entities</x:v>
      </x:c>
      <x:c r="E17" s="15" t="str">
        <x:v>Release and Milestone SRS</x:v>
      </x:c>
      <x:c r="F17" s="15" t="str">
        <x:v>BA-0101</x:v>
      </x:c>
      <x:c r="G17" s="15" t="str">
        <x:v>P0</x:v>
      </x:c>
      <x:c r="H17" s="19" t="str">
        <x:v>Done</x:v>
      </x:c>
      <x:c r="I17" s="15" t="str">
        <x:v>BA</x:v>
      </x:c>
      <x:c r="J17" s="16" t="n">
        <x:v>46221</x:v>
      </x:c>
      <x:c r="K17" s="16" t="n">
        <x:v>46223</x:v>
      </x:c>
      <x:c r="L17" s="15" t="str">
        <x:v>Either entity can be created first; linkage is optional and non-hierarchical</x:v>
      </x:c>
      <x:c r="M17" s="15" t="str">
        <x:v>DevInt verification</x:v>
      </x:c>
      <x:c r="N17" s="15" t="str"/>
    </x:row>
    <x:row r="18" ht="46" customHeight="1">
      <x:c r="A18" s="15" t="str">
        <x:v>BA-0302</x:v>
      </x:c>
      <x:c r="B18" s="15" t="str">
        <x:v>Phase 3</x:v>
      </x:c>
      <x:c r="C18" s="15" t="str">
        <x:v>Work Item Links</x:v>
      </x:c>
      <x:c r="D18" s="15" t="str">
        <x:v>Confirm work item supports zero/one Release and zero/many Milestones</x:v>
      </x:c>
      <x:c r="E18" s="15" t="str">
        <x:v>RECONCILED_SOURCE_OF_TRUTH.md</x:v>
      </x:c>
      <x:c r="F18" s="15" t="str">
        <x:v>BA-0301</x:v>
      </x:c>
      <x:c r="G18" s="15" t="str">
        <x:v>P0</x:v>
      </x:c>
      <x:c r="H18" s="19" t="str">
        <x:v>Done</x:v>
      </x:c>
      <x:c r="I18" s="15" t="str">
        <x:v>BA</x:v>
      </x:c>
      <x:c r="J18" s="16" t="n">
        <x:v>46221</x:v>
      </x:c>
      <x:c r="K18" s="16" t="n">
        <x:v>46223</x:v>
      </x:c>
      <x:c r="L18" s="15" t="str">
        <x:v>Release dropdown and related milestone dropdown follow confirmed cardinality</x:v>
      </x:c>
      <x:c r="M18" s="15" t="str">
        <x:v>DevInt verification</x:v>
      </x:c>
      <x:c r="N18" s="15" t="str">
        <x:v>Only related milestones are suggested</x:v>
      </x:c>
    </x:row>
    <x:row r="19" ht="46" customHeight="1">
      <x:c r="A19" s="15" t="str">
        <x:v>BA-0303</x:v>
      </x:c>
      <x:c r="B19" s="15" t="str">
        <x:v>Phase 3</x:v>
      </x:c>
      <x:c r="C19" s="15" t="str">
        <x:v>Milestone Dates</x:v>
      </x:c>
      <x:c r="D19" s="15" t="str">
        <x:v>Confirm manual and release-derived milestone date modes</x:v>
      </x:c>
      <x:c r="E19" s="15" t="str">
        <x:v>Milestone SRS</x:v>
      </x:c>
      <x:c r="F19" s="15" t="str">
        <x:v>BA-0301</x:v>
      </x:c>
      <x:c r="G19" s="15" t="str">
        <x:v>P0</x:v>
      </x:c>
      <x:c r="H19" s="19" t="str">
        <x:v>Done</x:v>
      </x:c>
      <x:c r="I19" s="15" t="str">
        <x:v>BA</x:v>
      </x:c>
      <x:c r="J19" s="16" t="n">
        <x:v>46221</x:v>
      </x:c>
      <x:c r="K19" s="16" t="n">
        <x:v>46223</x:v>
      </x:c>
      <x:c r="L19" s="15" t="str">
        <x:v>No releases: manual dates; linked releases: MIN start and MAX end, read-only</x:v>
      </x:c>
      <x:c r="M19" s="15" t="str">
        <x:v>DevInt verification</x:v>
      </x:c>
      <x:c r="N19" s="15" t="str">
        <x:v>Removing all release links restores manual editing</x:v>
      </x:c>
    </x:row>
    <x:row r="20" ht="46" customHeight="1">
      <x:c r="A20" s="15" t="str">
        <x:v>BA-0304</x:v>
      </x:c>
      <x:c r="B20" s="15" t="str">
        <x:v>Phase 3</x:v>
      </x:c>
      <x:c r="C20" s="15" t="str">
        <x:v>Team Status</x:v>
      </x:c>
      <x:c r="D20" s="15" t="str">
        <x:v>Confirm inline task editing and totals</x:v>
      </x:c>
      <x:c r="E20" s="15" t="str">
        <x:v>Team Status SRS + mockup</x:v>
      </x:c>
      <x:c r="F20" s="15" t="str">
        <x:v>BA-0103</x:v>
      </x:c>
      <x:c r="G20" s="15" t="str">
        <x:v>P1</x:v>
      </x:c>
      <x:c r="H20" s="19" t="str">
        <x:v>Done</x:v>
      </x:c>
      <x:c r="I20" s="15" t="str">
        <x:v>BA</x:v>
      </x:c>
      <x:c r="J20" s="16" t="n">
        <x:v>46222</x:v>
      </x:c>
      <x:c r="K20" s="16" t="n">
        <x:v>46223</x:v>
      </x:c>
      <x:c r="L20" s="15" t="str">
        <x:v>Task Dashboard edits inline and reflects shared task data</x:v>
      </x:c>
      <x:c r="M20" s="15" t="str">
        <x:v>DevInt verification</x:v>
      </x:c>
      <x:c r="N20" s="15" t="str">
        <x:v>Team/Iteration Board deferred</x:v>
      </x:c>
    </x:row>
    <x:row r="21" ht="46" customHeight="1">
      <x:c r="A21" s="15" t="str">
        <x:v>BA-0305</x:v>
      </x:c>
      <x:c r="B21" s="15" t="str">
        <x:v>Phase 3</x:v>
      </x:c>
      <x:c r="C21" s="15" t="str">
        <x:v>Quality</x:v>
      </x:c>
      <x:c r="D21" s="15" t="str">
        <x:v>Confirm Defect keeps Defect State plus mirrored work-item states</x:v>
      </x:c>
      <x:c r="E21" s="15" t="str">
        <x:v>Quality/Defect SRS</x:v>
      </x:c>
      <x:c r="F21" s="15" t="str">
        <x:v>BA-0102</x:v>
      </x:c>
      <x:c r="G21" s="15" t="str">
        <x:v>P1</x:v>
      </x:c>
      <x:c r="H21" s="19" t="str">
        <x:v>Done</x:v>
      </x:c>
      <x:c r="I21" s="15" t="str">
        <x:v>BA</x:v>
      </x:c>
      <x:c r="J21" s="16" t="n">
        <x:v>46222</x:v>
      </x:c>
      <x:c r="K21" s="16" t="n">
        <x:v>46223</x:v>
      </x:c>
      <x:c r="L21" s="15" t="str">
        <x:v>Defect State is distinct; Flow/Schedule lifecycle remains common</x:v>
      </x:c>
      <x:c r="M21" s="15" t="str">
        <x:v>DevInt verification</x:v>
      </x:c>
      <x:c r="N21" s="15" t="str"/>
    </x:row>
    <x:row r="22" ht="46" customHeight="1">
      <x:c r="A22" s="15" t="str">
        <x:v>BA-0306</x:v>
      </x:c>
      <x:c r="B22" s="15" t="str">
        <x:v>Phase 3</x:v>
      </x:c>
      <x:c r="C22" s="15" t="str">
        <x:v>Testing</x:v>
      </x:c>
      <x:c r="D22" s="15" t="str">
        <x:v>Review Phase 3 DevInt gaps and accept fixes</x:v>
      </x:c>
      <x:c r="E22" s="15" t="str">
        <x:v>06_Dev testing align tracker</x:v>
      </x:c>
      <x:c r="F22" s="15" t="str">
        <x:v>BA-0301..0305</x:v>
      </x:c>
      <x:c r="G22" s="15" t="str">
        <x:v>P0</x:v>
      </x:c>
      <x:c r="H22" s="28" t="str">
        <x:v>In Progress</x:v>
      </x:c>
      <x:c r="I22" s="15" t="str">
        <x:v>BA/UAT</x:v>
      </x:c>
      <x:c r="J22" s="16" t="n">
        <x:v>46237</x:v>
      </x:c>
      <x:c r="K22" s="16" t="n">
        <x:v>46248</x:v>
      </x:c>
      <x:c r="L22" s="15" t="str">
        <x:v>Release, Milestone, Team Status and Quality scenarios pass retest</x:v>
      </x:c>
      <x:c r="M22" s="15" t="str">
        <x:v>BA gap confirmation</x:v>
      </x:c>
      <x:c r="N22" s="15" t="str"/>
    </x:row>
    <x:row r="23" ht="46" customHeight="1">
      <x:c r="A23" s="15" t="str">
        <x:v>BA-0401</x:v>
      </x:c>
      <x:c r="B23" s="15" t="str">
        <x:v>Phase 4</x:v>
      </x:c>
      <x:c r="C23" s="15" t="str">
        <x:v>Notifications</x:v>
      </x:c>
      <x:c r="D23" s="15" t="str">
        <x:v>Maintain confirmed notification SRS and mockup</x:v>
      </x:c>
      <x:c r="E23" s="15" t="str">
        <x:v>Phase 4 Notification SRS/checklist</x:v>
      </x:c>
      <x:c r="F23" s="15" t="str">
        <x:v>Phase 0-3 baseline</x:v>
      </x:c>
      <x:c r="G23" s="15" t="str">
        <x:v>P1</x:v>
      </x:c>
      <x:c r="H23" s="19" t="str">
        <x:v>Done</x:v>
      </x:c>
      <x:c r="I23" s="15" t="str">
        <x:v>BA</x:v>
      </x:c>
      <x:c r="J23" s="16" t="n">
        <x:v>46221</x:v>
      </x:c>
      <x:c r="K23" s="16" t="n">
        <x:v>46223</x:v>
      </x:c>
      <x:c r="L23" s="15" t="str">
        <x:v>Notification triggers, read state and navigation targets are testable</x:v>
      </x:c>
      <x:c r="M23" s="15" t="str">
        <x:v>DEV implementation</x:v>
      </x:c>
      <x:c r="N23" s="15" t="str"/>
    </x:row>
    <x:row r="24" ht="46" customHeight="1">
      <x:c r="A24" s="15" t="str">
        <x:v>BA-0402</x:v>
      </x:c>
      <x:c r="B24" s="15" t="str">
        <x:v>Phase 4</x:v>
      </x:c>
      <x:c r="C24" s="15" t="str">
        <x:v>RBAC</x:v>
      </x:c>
      <x:c r="D24" s="15" t="str">
        <x:v>Maintain roles/permissions matrix and UX rules</x:v>
      </x:c>
      <x:c r="E24" s="15" t="str">
        <x:v>Roles &amp; Permissions SRS</x:v>
      </x:c>
      <x:c r="F24" s="15" t="str">
        <x:v>BA-0002</x:v>
      </x:c>
      <x:c r="G24" s="15" t="str">
        <x:v>P0</x:v>
      </x:c>
      <x:c r="H24" s="19" t="str">
        <x:v>Done</x:v>
      </x:c>
      <x:c r="I24" s="15" t="str">
        <x:v>BA</x:v>
      </x:c>
      <x:c r="J24" s="16" t="n">
        <x:v>46221</x:v>
      </x:c>
      <x:c r="K24" s="16" t="n">
        <x:v>46223</x:v>
      </x:c>
      <x:c r="L24" s="15" t="str">
        <x:v>Every action and screen has explicit permission behavior</x:v>
      </x:c>
      <x:c r="M24" s="15" t="str">
        <x:v>DEV implementation</x:v>
      </x:c>
      <x:c r="N24" s="15" t="str"/>
    </x:row>
    <x:row r="25" ht="46" customHeight="1">
      <x:c r="A25" s="15" t="str">
        <x:v>BA-0403</x:v>
      </x:c>
      <x:c r="B25" s="15" t="str">
        <x:v>Phase 4</x:v>
      </x:c>
      <x:c r="C25" s="15" t="str">
        <x:v>Settings/Audit</x:v>
      </x:c>
      <x:c r="D25" s="15" t="str">
        <x:v>Maintain Settings and Audit scope</x:v>
      </x:c>
      <x:c r="E25" s="15" t="str">
        <x:v>Settings &amp; Audit SRS</x:v>
      </x:c>
      <x:c r="F25" s="15" t="str">
        <x:v>BA-0402</x:v>
      </x:c>
      <x:c r="G25" s="15" t="str">
        <x:v>P1</x:v>
      </x:c>
      <x:c r="H25" s="19" t="str">
        <x:v>Done</x:v>
      </x:c>
      <x:c r="I25" s="15" t="str">
        <x:v>BA</x:v>
      </x:c>
      <x:c r="J25" s="16" t="n">
        <x:v>46221</x:v>
      </x:c>
      <x:c r="K25" s="16" t="n">
        <x:v>46223</x:v>
      </x:c>
      <x:c r="L25" s="15" t="str">
        <x:v>Configuration changes and auditable actions are defined</x:v>
      </x:c>
      <x:c r="M25" s="15" t="str">
        <x:v>DEV implementation</x:v>
      </x:c>
      <x:c r="N25" s="15" t="str"/>
    </x:row>
    <x:row r="26" ht="46" customHeight="1">
      <x:c r="A26" s="15" t="str">
        <x:v>BA-0404</x:v>
      </x:c>
      <x:c r="B26" s="15" t="str">
        <x:v>Phase 4</x:v>
      </x:c>
      <x:c r="C26" s="15" t="str">
        <x:v>Testing</x:v>
      </x:c>
      <x:c r="D26" s="15" t="str">
        <x:v>Prepare Phase 4 UAT and traceability</x:v>
      </x:c>
      <x:c r="E26" s="15" t="str">
        <x:v>07_Test Business/specs/PHASE4_TEST_SCENARIOS.md</x:v>
      </x:c>
      <x:c r="F26" s="15" t="str">
        <x:v>BA-0401..0403</x:v>
      </x:c>
      <x:c r="G26" s="15" t="str">
        <x:v>P1</x:v>
      </x:c>
      <x:c r="H26" s="31" t="str">
        <x:v>Ready</x:v>
      </x:c>
      <x:c r="I26" s="15" t="str">
        <x:v>BA/UAT</x:v>
      </x:c>
      <x:c r="J26" s="16" t="n">
        <x:v>46244</x:v>
      </x:c>
      <x:c r="K26" s="16" t="n">
        <x:v>46248</x:v>
      </x:c>
      <x:c r="L26" s="15" t="str">
        <x:v>Scenario pack is reviewed before DevInt begins</x:v>
      </x:c>
      <x:c r="M26" s="15" t="str">
        <x:v>UAT readiness review</x:v>
      </x:c>
      <x:c r="N26" s="15" t="str"/>
    </x:row>
    <x:row r="27" ht="46" customHeight="1">
      <x:c r="A27" s="15" t="str">
        <x:v>BA-0501</x:v>
      </x:c>
      <x:c r="B27" s="15" t="str">
        <x:v>Phase 5</x:v>
      </x:c>
      <x:c r="C27" s="15" t="str">
        <x:v>Release Planning</x:v>
      </x:c>
      <x:c r="D27" s="15" t="str">
        <x:v>Define Release Planning scope, metrics and views</x:v>
      </x:c>
      <x:c r="E27" s="15" t="str">
        <x:v>Future_Backlog/02_Release_Planning.md</x:v>
      </x:c>
      <x:c r="F27" s="15" t="str">
        <x:v>BA-0301..0303</x:v>
      </x:c>
      <x:c r="G27" s="15" t="str">
        <x:v>P0</x:v>
      </x:c>
      <x:c r="H27" s="22" t="str">
        <x:v>Planned</x:v>
      </x:c>
      <x:c r="I27" s="15" t="str">
        <x:v>BA/PO</x:v>
      </x:c>
      <x:c r="J27" s="16" t="n">
        <x:v>46237</x:v>
      </x:c>
      <x:c r="K27" s="16" t="n">
        <x:v>46241</x:v>
      </x:c>
      <x:c r="L27" s="15" t="str">
        <x:v>SRS distinguishes planning from deferred release progress tracking</x:v>
      </x:c>
      <x:c r="M27" s="15" t="str">
        <x:v>PO scope confirmation</x:v>
      </x:c>
      <x:c r="N27" s="15" t="str">
        <x:v>Portfolio menu placeholder exists</x:v>
      </x:c>
    </x:row>
    <x:row r="28" ht="46" customHeight="1">
      <x:c r="A28" s="15" t="str">
        <x:v>BA-0502</x:v>
      </x:c>
      <x:c r="B28" s="15" t="str">
        <x:v>Phase 5</x:v>
      </x:c>
      <x:c r="C28" s="15" t="str">
        <x:v>Reports</x:v>
      </x:c>
      <x:c r="D28" s="15" t="str">
        <x:v>Define product reports, filters, calculations and export behavior</x:v>
      </x:c>
      <x:c r="E28" s="15" t="str">
        <x:v>Phase 5 SRS to create</x:v>
      </x:c>
      <x:c r="F28" s="15" t="str">
        <x:v>BA-0501</x:v>
      </x:c>
      <x:c r="G28" s="15" t="str">
        <x:v>P1</x:v>
      </x:c>
      <x:c r="H28" s="22" t="str">
        <x:v>Planned</x:v>
      </x:c>
      <x:c r="I28" s="15" t="str">
        <x:v>BA/PO</x:v>
      </x:c>
      <x:c r="J28" s="16" t="n">
        <x:v>46244</x:v>
      </x:c>
      <x:c r="K28" s="16" t="n">
        <x:v>46248</x:v>
      </x:c>
      <x:c r="L28" s="15" t="str">
        <x:v>Report catalogue and metric formulas are approved</x:v>
      </x:c>
      <x:c r="M28" s="15" t="str">
        <x:v>PO scope confirmation</x:v>
      </x:c>
      <x:c r="N28" s="15" t="str"/>
    </x:row>
    <x:row r="29" ht="46" customHeight="1">
      <x:c r="A29" s="15" t="str">
        <x:v>BA-0503</x:v>
      </x:c>
      <x:c r="B29" s="15" t="str">
        <x:v>Phase 5</x:v>
      </x:c>
      <x:c r="C29" s="15" t="str">
        <x:v>UX</x:v>
      </x:c>
      <x:c r="D29" s="15" t="str">
        <x:v>Create and reconcile Phase 5 mockup</x:v>
      </x:c>
      <x:c r="E29" s="15" t="str">
        <x:v>Phase 5 mockup to create</x:v>
      </x:c>
      <x:c r="F29" s="15" t="str">
        <x:v>BA-0501..0502</x:v>
      </x:c>
      <x:c r="G29" s="15" t="str">
        <x:v>P1</x:v>
      </x:c>
      <x:c r="H29" s="22" t="str">
        <x:v>Planned</x:v>
      </x:c>
      <x:c r="I29" s="15" t="str">
        <x:v>BA/UX</x:v>
      </x:c>
      <x:c r="J29" s="16" t="n">
        <x:v>46251</x:v>
      </x:c>
      <x:c r="K29" s="16" t="n">
        <x:v>46255</x:v>
      </x:c>
      <x:c r="L29" s="15" t="str">
        <x:v>All screens link into one portfolio/reporting flow</x:v>
      </x:c>
      <x:c r="M29" s="15" t="str">
        <x:v>Mockup walkthrough</x:v>
      </x:c>
      <x:c r="N29" s="15" t="str"/>
    </x:row>
    <x:row r="30" ht="46" customHeight="1">
      <x:c r="A30" s="15" t="str">
        <x:v>BA-0504</x:v>
      </x:c>
      <x:c r="B30" s="15" t="str">
        <x:v>Phase 5</x:v>
      </x:c>
      <x:c r="C30" s="15" t="str">
        <x:v>Testing</x:v>
      </x:c>
      <x:c r="D30" s="15" t="str">
        <x:v>Create Phase 5 UAT and traceability pack</x:v>
      </x:c>
      <x:c r="E30" s="15" t="str">
        <x:v>Phase 5 test pack to create</x:v>
      </x:c>
      <x:c r="F30" s="15" t="str">
        <x:v>BA-0501..0503</x:v>
      </x:c>
      <x:c r="G30" s="15" t="str">
        <x:v>P1</x:v>
      </x:c>
      <x:c r="H30" s="22" t="str">
        <x:v>Planned</x:v>
      </x:c>
      <x:c r="I30" s="15" t="str">
        <x:v>BA/UAT</x:v>
      </x:c>
      <x:c r="J30" s="16" t="n">
        <x:v>46258</x:v>
      </x:c>
      <x:c r="K30" s="16" t="n">
        <x:v>46262</x:v>
      </x:c>
      <x:c r="L30" s="15" t="str">
        <x:v>Every approved requirement maps to UAT coverage</x:v>
      </x:c>
      <x:c r="M30" s="15" t="str">
        <x:v>DEV handoff</x:v>
      </x:c>
      <x:c r="N30" s="15" t="str"/>
    </x:row>
    <x:row r="31" ht="46" customHeight="1">
      <x:c r="A31" s="15" t="str">
        <x:v>BA-G001</x:v>
      </x:c>
      <x:c r="B31" s="15" t="str">
        <x:v>Cross-phase</x:v>
      </x:c>
      <x:c r="C31" s="15" t="str">
        <x:v>Governance</x:v>
      </x:c>
      <x:c r="D31" s="15" t="str">
        <x:v>Keep one source of truth and update traceability after each decision</x:v>
      </x:c>
      <x:c r="E31" s="15" t="str">
        <x:v>RECONCILED_SOURCE_OF_TRUTH.md + this workbook</x:v>
      </x:c>
      <x:c r="F31" s="15" t="str">
        <x:v>All BA tasks</x:v>
      </x:c>
      <x:c r="G31" s="15" t="str">
        <x:v>P0</x:v>
      </x:c>
      <x:c r="H31" s="28" t="str">
        <x:v>In Progress</x:v>
      </x:c>
      <x:c r="I31" s="15" t="str">
        <x:v>Lead BA</x:v>
      </x:c>
      <x:c r="J31" s="16" t="n">
        <x:v>46223</x:v>
      </x:c>
      <x:c r="K31" s="16" t="n">
        <x:v>46290</x:v>
      </x:c>
      <x:c r="L31" s="15" t="str">
        <x:v>No active SRS/mockup/test document contradicts confirmed business rules</x:v>
      </x:c>
      <x:c r="M31" s="15" t="str">
        <x:v>Weekly baseline review</x:v>
      </x:c>
      <x:c r="N31" s="15" t="str">
        <x:v>Reconciliation folder holds one dev handoff only</x:v>
      </x:c>
    </x:row>
    <x:row r="32" ht="46" customHeight="1">
      <x:c r="A32" s="15" t="str">
        <x:v>BA-G002</x:v>
      </x:c>
      <x:c r="B32" s="15" t="str">
        <x:v>Future</x:v>
      </x:c>
      <x:c r="C32" s="15" t="str">
        <x:v>Backlog</x:v>
      </x:c>
      <x:c r="D32" s="15" t="str">
        <x:v>Quarterly review of deferred Team Board, Iteration Board and Release Tracking</x:v>
      </x:c>
      <x:c r="E32" s="15" t="str">
        <x:v>Future_Backlog</x:v>
      </x:c>
      <x:c r="F32" s="15" t="str">
        <x:v>PO priority</x:v>
      </x:c>
      <x:c r="G32" s="15" t="str">
        <x:v>P3</x:v>
      </x:c>
      <x:c r="H32" s="25" t="str">
        <x:v>Future Backlog</x:v>
      </x:c>
      <x:c r="I32" s="15" t="str">
        <x:v>BA/PO</x:v>
      </x:c>
      <x:c r="J32" s="16"/>
      <x:c r="K32" s="16"/>
      <x:c r="L32" s="15" t="str">
        <x:v>Promote only with approved problem statement and capacity</x:v>
      </x:c>
      <x:c r="M32" s="15" t="str">
        <x:v>Quarterly review</x:v>
      </x:c>
      <x:c r="N32" s="15" t="str"/>
    </x:row>
  </x:sheetData>
  <x:mergeCells>
    <x:mergeCell ref="A1:N1"/>
    <x:mergeCell ref="A2:N2"/>
  </x:mergeCells>
  <x:dataValidations count="2">
    <x:dataValidation type="list" sqref="G5:G32">
      <x:formula1>"P0,P1,P2,P3"</x:formula1>
    </x:dataValidation>
    <x:dataValidation type="list" sqref="H5:H32">
      <x:formula1>"Done,In Progress,Ready,Planned,Future Backlog,Blocked,Needs BA"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2" hidden="0" customWidth="1"/>
    <x:col min="4" max="4" width="42" hidden="0" customWidth="1"/>
    <x:col min="5" max="5" width="35" hidden="0" customWidth="1"/>
    <x:col min="6" max="6" width="24" hidden="0" customWidth="1"/>
    <x:col min="7" max="7" width="10" hidden="0" customWidth="1"/>
    <x:col min="8" max="8" width="16" hidden="0" customWidth="1"/>
    <x:col min="9" max="9" width="15" hidden="0" customWidth="1"/>
    <x:col min="10" max="10" width="13" hidden="0" customWidth="1"/>
    <x:col min="11" max="11" width="13" hidden="0" customWidth="1"/>
    <x:col min="12" max="12" width="46" hidden="0" customWidth="1"/>
    <x:col min="13" max="13" width="25" hidden="0" customWidth="1"/>
    <x:col min="14" max="14" width="34" hidden="0" customWidth="1"/>
  </x:cols>
  <x:sheetData>
    <x:row r="1" ht="32" customHeight="1">
      <x:c r="A1" s="3" t="str">
        <x:v>MINI RALLY — DEV EXECUTION PLAN</x:v>
      </x:c>
      <x:c r="B1" s="3" t="str">
        <x:v>MINI RALLY — DEV EXECUTION PLAN</x:v>
      </x:c>
      <x:c r="C1" s="3" t="str">
        <x:v>MINI RALLY — DEV EXECUTION PLAN</x:v>
      </x:c>
      <x:c r="D1" s="3" t="str">
        <x:v>MINI RALLY — DEV EXECUTION PLAN</x:v>
      </x:c>
      <x:c r="E1" s="3" t="str">
        <x:v>MINI RALLY — DEV EXECUTION PLAN</x:v>
      </x:c>
      <x:c r="F1" s="3" t="str">
        <x:v>MINI RALLY — DEV EXECUTION PLAN</x:v>
      </x:c>
      <x:c r="G1" s="3" t="str">
        <x:v>MINI RALLY — DEV EXECUTION PLAN</x:v>
      </x:c>
      <x:c r="H1" s="3" t="str">
        <x:v>MINI RALLY — DEV EXECUTION PLAN</x:v>
      </x:c>
      <x:c r="I1" s="3" t="str">
        <x:v>MINI RALLY — DEV EXECUTION PLAN</x:v>
      </x:c>
      <x:c r="J1" s="3" t="str">
        <x:v>MINI RALLY — DEV EXECUTION PLAN</x:v>
      </x:c>
      <x:c r="K1" s="3" t="str">
        <x:v>MINI RALLY — DEV EXECUTION PLAN</x:v>
      </x:c>
      <x:c r="L1" s="3" t="str">
        <x:v>MINI RALLY — DEV EXECUTION PLAN</x:v>
      </x:c>
      <x:c r="M1" s="3" t="str">
        <x:v>MINI RALLY — DEV EXECUTION PLAN</x:v>
      </x:c>
      <x:c r="N1" s="3" t="str">
        <x:v>MINI RALLY — DEV EXECUTION PLAN</x:v>
      </x:c>
    </x:row>
    <x:row r="2" ht="27" customHeight="1">
      <x:c r="A2" s="6" t="str">
        <x:v>Frontend/business implementation and DevInt tasks; schemas, DB and infrastructure are outside this plan</x:v>
      </x:c>
      <x:c r="B2" s="6" t="str">
        <x:v>Frontend/business implementation and DevInt tasks; schemas, DB and infrastructure are outside this plan</x:v>
      </x:c>
      <x:c r="C2" s="6" t="str">
        <x:v>Frontend/business implementation and DevInt tasks; schemas, DB and infrastructure are outside this plan</x:v>
      </x:c>
      <x:c r="D2" s="6" t="str">
        <x:v>Frontend/business implementation and DevInt tasks; schemas, DB and infrastructure are outside this plan</x:v>
      </x:c>
      <x:c r="E2" s="6" t="str">
        <x:v>Frontend/business implementation and DevInt tasks; schemas, DB and infrastructure are outside this plan</x:v>
      </x:c>
      <x:c r="F2" s="6" t="str">
        <x:v>Frontend/business implementation and DevInt tasks; schemas, DB and infrastructure are outside this plan</x:v>
      </x:c>
      <x:c r="G2" s="6" t="str">
        <x:v>Frontend/business implementation and DevInt tasks; schemas, DB and infrastructure are outside this plan</x:v>
      </x:c>
      <x:c r="H2" s="6" t="str">
        <x:v>Frontend/business implementation and DevInt tasks; schemas, DB and infrastructure are outside this plan</x:v>
      </x:c>
      <x:c r="I2" s="6" t="str">
        <x:v>Frontend/business implementation and DevInt tasks; schemas, DB and infrastructure are outside this plan</x:v>
      </x:c>
      <x:c r="J2" s="6" t="str">
        <x:v>Frontend/business implementation and DevInt tasks; schemas, DB and infrastructure are outside this plan</x:v>
      </x:c>
      <x:c r="K2" s="6" t="str">
        <x:v>Frontend/business implementation and DevInt tasks; schemas, DB and infrastructure are outside this plan</x:v>
      </x:c>
      <x:c r="L2" s="6" t="str">
        <x:v>Frontend/business implementation and DevInt tasks; schemas, DB and infrastructure are outside this plan</x:v>
      </x:c>
      <x:c r="M2" s="6" t="str">
        <x:v>Frontend/business implementation and DevInt tasks; schemas, DB and infrastructure are outside this plan</x:v>
      </x:c>
      <x:c r="N2" s="6" t="str">
        <x:v>Frontend/business implementation and DevInt tasks; schemas, DB and infrastructure are outside this plan</x:v>
      </x:c>
    </x:row>
    <x:row r="4" ht="32" customHeight="1">
      <x:c r="A4" s="11" t="str">
        <x:v>Task ID</x:v>
      </x:c>
      <x:c r="B4" s="11" t="str">
        <x:v>Phase</x:v>
      </x:c>
      <x:c r="C4" s="11" t="str">
        <x:v>Workstream</x:v>
      </x:c>
      <x:c r="D4" s="11" t="str">
        <x:v>Task / Outcome</x:v>
      </x:c>
      <x:c r="E4" s="11" t="str">
        <x:v>Deliverable / Source</x:v>
      </x:c>
      <x:c r="F4" s="11" t="str">
        <x:v>Dependency</x:v>
      </x:c>
      <x:c r="G4" s="11" t="str">
        <x:v>Priority</x:v>
      </x:c>
      <x:c r="H4" s="11" t="str">
        <x:v>Status</x:v>
      </x:c>
      <x:c r="I4" s="11" t="str">
        <x:v>Owner Role</x:v>
      </x:c>
      <x:c r="J4" s="11" t="str">
        <x:v>Target Start</x:v>
      </x:c>
      <x:c r="K4" s="11" t="str">
        <x:v>Target End</x:v>
      </x:c>
      <x:c r="L4" s="11" t="str">
        <x:v>Acceptance / Definition of Done</x:v>
      </x:c>
      <x:c r="M4" s="11" t="str">
        <x:v>Next Gate</x:v>
      </x:c>
      <x:c r="N4" s="11" t="str">
        <x:v>Notes</x:v>
      </x:c>
    </x:row>
    <x:row r="5" ht="46" customHeight="1">
      <x:c r="A5" s="15" t="str">
        <x:v>DEV-0001</x:v>
      </x:c>
      <x:c r="B5" s="15" t="str">
        <x:v>Phase 0</x:v>
      </x:c>
      <x:c r="C5" s="15" t="str">
        <x:v>App Shell</x:v>
      </x:c>
      <x:c r="D5" s="15" t="str">
        <x:v>Align navigation, project/workspace context and route guards with reconciled SRS</x:v>
      </x:c>
      <x:c r="E5" s="15" t="str">
        <x:v>Phase 0 App Shell SRS</x:v>
      </x:c>
      <x:c r="F5" s="15" t="str">
        <x:v>BA-0001</x:v>
      </x:c>
      <x:c r="G5" s="15" t="str">
        <x:v>P0</x:v>
      </x:c>
      <x:c r="H5" s="28" t="str">
        <x:v>In Progress</x:v>
      </x:c>
      <x:c r="I5" s="15" t="str">
        <x:v>FE DEV</x:v>
      </x:c>
      <x:c r="J5" s="16" t="n">
        <x:v>46223</x:v>
      </x:c>
      <x:c r="K5" s="16" t="n">
        <x:v>46227</x:v>
      </x:c>
      <x:c r="L5" s="15" t="str">
        <x:v>DevInt Phase 0 scenarios pass without context leakage</x:v>
      </x:c>
      <x:c r="M5" s="15" t="str">
        <x:v>BA retest</x:v>
      </x:c>
      <x:c r="N5" s="15" t="str">
        <x:v>No DB/infra change in this plan</x:v>
      </x:c>
    </x:row>
    <x:row r="6" ht="46" customHeight="1">
      <x:c r="A6" s="15" t="str">
        <x:v>DEV-0002</x:v>
      </x:c>
      <x:c r="B6" s="15" t="str">
        <x:v>Phase 0</x:v>
      </x:c>
      <x:c r="C6" s="15" t="str">
        <x:v>Project</x:v>
      </x:c>
      <x:c r="D6" s="15" t="str">
        <x:v>Align multi-project selector and project-level page context</x:v>
      </x:c>
      <x:c r="E6" s="15" t="str">
        <x:v>Phase 0 Project SRS</x:v>
      </x:c>
      <x:c r="F6" s="15" t="str">
        <x:v>DEV-0001</x:v>
      </x:c>
      <x:c r="G6" s="15" t="str">
        <x:v>P0</x:v>
      </x:c>
      <x:c r="H6" s="28" t="str">
        <x:v>In Progress</x:v>
      </x:c>
      <x:c r="I6" s="15" t="str">
        <x:v>FE DEV</x:v>
      </x:c>
      <x:c r="J6" s="16" t="n">
        <x:v>46223</x:v>
      </x:c>
      <x:c r="K6" s="16" t="n">
        <x:v>46227</x:v>
      </x:c>
      <x:c r="L6" s="15" t="str">
        <x:v>Switching project refreshes all scoped screens consistently</x:v>
      </x:c>
      <x:c r="M6" s="15" t="str">
        <x:v>BA retest</x:v>
      </x:c>
      <x:c r="N6" s="15" t="str"/>
    </x:row>
    <x:row r="7" ht="46" customHeight="1">
      <x:c r="A7" s="15" t="str">
        <x:v>DEV-0003</x:v>
      </x:c>
      <x:c r="B7" s="15" t="str">
        <x:v>Phase 0</x:v>
      </x:c>
      <x:c r="C7" s="15" t="str">
        <x:v>Regression</x:v>
      </x:c>
      <x:c r="D7" s="15" t="str">
        <x:v>Add/update FE tests for Phase 0 confirmed behavior</x:v>
      </x:c>
      <x:c r="E7" s="15" t="str">
        <x:v>Phase 0 test scenarios</x:v>
      </x:c>
      <x:c r="F7" s="15" t="str">
        <x:v>DEV-0001..0002</x:v>
      </x:c>
      <x:c r="G7" s="15" t="str">
        <x:v>P1</x:v>
      </x:c>
      <x:c r="H7" s="31" t="str">
        <x:v>Ready</x:v>
      </x:c>
      <x:c r="I7" s="15" t="str">
        <x:v>DEV/QA</x:v>
      </x:c>
      <x:c r="J7" s="16" t="n">
        <x:v>46226</x:v>
      </x:c>
      <x:c r="K7" s="16" t="n">
        <x:v>46227</x:v>
      </x:c>
      <x:c r="L7" s="15" t="str">
        <x:v>Automated checks cover critical routes and context</x:v>
      </x:c>
      <x:c r="M7" s="15" t="str">
        <x:v>DevInt evidence</x:v>
      </x:c>
      <x:c r="N7" s="15" t="str"/>
    </x:row>
    <x:row r="8" ht="46" customHeight="1">
      <x:c r="A8" s="15" t="str">
        <x:v>DEV-0101</x:v>
      </x:c>
      <x:c r="B8" s="15" t="str">
        <x:v>Phase 1</x:v>
      </x:c>
      <x:c r="C8" s="15" t="str">
        <x:v>Shared Work Item</x:v>
      </x:c>
      <x:c r="D8" s="15" t="str">
        <x:v>Use one work-item model across Backlog, Iteration and detail views</x:v>
      </x:c>
      <x:c r="E8" s="15" t="str">
        <x:v>Phase 1 Work Item SRS</x:v>
      </x:c>
      <x:c r="F8" s="15" t="str">
        <x:v>DEV-0002</x:v>
      </x:c>
      <x:c r="G8" s="15" t="str">
        <x:v>P0</x:v>
      </x:c>
      <x:c r="H8" s="28" t="str">
        <x:v>In Progress</x:v>
      </x:c>
      <x:c r="I8" s="15" t="str">
        <x:v>FE DEV</x:v>
      </x:c>
      <x:c r="J8" s="16" t="n">
        <x:v>46223</x:v>
      </x:c>
      <x:c r="K8" s="16" t="n">
        <x:v>46232</x:v>
      </x:c>
      <x:c r="L8" s="15" t="str">
        <x:v>Edits are reflected across screens without duplicate state semantics</x:v>
      </x:c>
      <x:c r="M8" s="15" t="str">
        <x:v>BA retest</x:v>
      </x:c>
      <x:c r="N8" s="15" t="str"/>
    </x:row>
    <x:row r="9" ht="46" customHeight="1">
      <x:c r="A9" s="15" t="str">
        <x:v>DEV-0102</x:v>
      </x:c>
      <x:c r="B9" s="15" t="str">
        <x:v>Phase 1</x:v>
      </x:c>
      <x:c r="C9" s="15" t="str">
        <x:v>State Lifecycle</x:v>
      </x:c>
      <x:c r="D9" s="15" t="str">
        <x:v>Implement mirrored Schedule State and Flow State options/default</x:v>
      </x:c>
      <x:c r="E9" s="15" t="str">
        <x:v>BA-0102</x:v>
      </x:c>
      <x:c r="F9" s="15" t="str">
        <x:v>DEV-0101</x:v>
      </x:c>
      <x:c r="G9" s="15" t="str">
        <x:v>P0</x:v>
      </x:c>
      <x:c r="H9" s="31" t="str">
        <x:v>Ready</x:v>
      </x:c>
      <x:c r="I9" s="15" t="str">
        <x:v>FE DEV</x:v>
      </x:c>
      <x:c r="J9" s="16" t="n">
        <x:v>46226</x:v>
      </x:c>
      <x:c r="K9" s="16" t="n">
        <x:v>46232</x:v>
      </x:c>
      <x:c r="L9" s="15" t="str">
        <x:v>Both fields use Idea/Defined/In-Progress/Completed/Accepted/Release and default Idea</x:v>
      </x:c>
      <x:c r="M9" s="15" t="str">
        <x:v>BA retest</x:v>
      </x:c>
      <x:c r="N9" s="15" t="str"/>
    </x:row>
    <x:row r="10" ht="46" customHeight="1">
      <x:c r="A10" s="15" t="str">
        <x:v>DEV-0103</x:v>
      </x:c>
      <x:c r="B10" s="15" t="str">
        <x:v>Phase 1</x:v>
      </x:c>
      <x:c r="C10" s="15" t="str">
        <x:v>Tasks</x:v>
      </x:c>
      <x:c r="D10" s="15" t="str">
        <x:v>Implement task status lifecycle, parent auto-complete and reopen roll-back</x:v>
      </x:c>
      <x:c r="E10" s="15" t="str">
        <x:v>Task Management SRS</x:v>
      </x:c>
      <x:c r="F10" s="15" t="str">
        <x:v>DEV-0101..0102</x:v>
      </x:c>
      <x:c r="G10" s="15" t="str">
        <x:v>P0</x:v>
      </x:c>
      <x:c r="H10" s="31" t="str">
        <x:v>Ready</x:v>
      </x:c>
      <x:c r="I10" s="15" t="str">
        <x:v>FE DEV</x:v>
      </x:c>
      <x:c r="J10" s="16" t="n">
        <x:v>46230</x:v>
      </x:c>
      <x:c r="K10" s="16" t="n">
        <x:v>46234</x:v>
      </x:c>
      <x:c r="L10" s="15" t="str">
        <x:v>All tasks Completed -&gt; parent Completed; any reopened -&gt; parent In-Progress</x:v>
      </x:c>
      <x:c r="M10" s="15" t="str">
        <x:v>BA retest</x:v>
      </x:c>
      <x:c r="N10" s="15" t="str">
        <x:v>Manual parent override remains possible</x:v>
      </x:c>
    </x:row>
    <x:row r="11" ht="46" customHeight="1">
      <x:c r="A11" s="15" t="str">
        <x:v>DEV-0104</x:v>
      </x:c>
      <x:c r="B11" s="15" t="str">
        <x:v>Phase 1</x:v>
      </x:c>
      <x:c r="C11" s="15" t="str">
        <x:v>Task Dashboard</x:v>
      </x:c>
      <x:c r="D11" s="15" t="str">
        <x:v>Enable inline task editing with consistent values and validation</x:v>
      </x:c>
      <x:c r="E11" s="15" t="str">
        <x:v>Task Management/Team Status SRS</x:v>
      </x:c>
      <x:c r="F11" s="15" t="str">
        <x:v>DEV-0103</x:v>
      </x:c>
      <x:c r="G11" s="15" t="str">
        <x:v>P1</x:v>
      </x:c>
      <x:c r="H11" s="31" t="str">
        <x:v>Ready</x:v>
      </x:c>
      <x:c r="I11" s="15" t="str">
        <x:v>FE DEV</x:v>
      </x:c>
      <x:c r="J11" s="16" t="n">
        <x:v>46232</x:v>
      </x:c>
      <x:c r="K11" s="16" t="n">
        <x:v>46234</x:v>
      </x:c>
      <x:c r="L11" s="15" t="str">
        <x:v>Inline edit persists and all dependent totals refresh</x:v>
      </x:c>
      <x:c r="M11" s="15" t="str">
        <x:v>BA retest</x:v>
      </x:c>
      <x:c r="N11" s="15" t="str"/>
    </x:row>
    <x:row r="12" ht="46" customHeight="1">
      <x:c r="A12" s="15" t="str">
        <x:v>DEV-0105</x:v>
      </x:c>
      <x:c r="B12" s="15" t="str">
        <x:v>Phase 1</x:v>
      </x:c>
      <x:c r="C12" s="15" t="str">
        <x:v>Settings Navigation</x:v>
      </x:c>
      <x:c r="D12" s="15" t="str">
        <x:v>Move Teams and User Management entry points under Settings gear</x:v>
      </x:c>
      <x:c r="E12" s="15" t="str">
        <x:v>Manage Projects/Teams/Users SRS</x:v>
      </x:c>
      <x:c r="F12" s="15" t="str">
        <x:v>DEV-0001</x:v>
      </x:c>
      <x:c r="G12" s="15" t="str">
        <x:v>P1</x:v>
      </x:c>
      <x:c r="H12" s="31" t="str">
        <x:v>Ready</x:v>
      </x:c>
      <x:c r="I12" s="15" t="str">
        <x:v>FE DEV</x:v>
      </x:c>
      <x:c r="J12" s="16" t="n">
        <x:v>46230</x:v>
      </x:c>
      <x:c r="K12" s="16" t="n">
        <x:v>46232</x:v>
      </x:c>
      <x:c r="L12" s="15" t="str">
        <x:v>Projects screen has no Teams tab; Settings contains Teams/Users</x:v>
      </x:c>
      <x:c r="M12" s="15" t="str">
        <x:v>BA retest</x:v>
      </x:c>
      <x:c r="N12" s="15" t="str"/>
    </x:row>
    <x:row r="13" ht="46" customHeight="1">
      <x:c r="A13" s="15" t="str">
        <x:v>DEV-0106</x:v>
      </x:c>
      <x:c r="B13" s="15" t="str">
        <x:v>Phase 1</x:v>
      </x:c>
      <x:c r="C13" s="15" t="str">
        <x:v>Regression</x:v>
      </x:c>
      <x:c r="D13" s="15" t="str">
        <x:v>Add/update FE tests for work-item/task roll-up and Settings navigation</x:v>
      </x:c>
      <x:c r="E13" s="15" t="str">
        <x:v>Phase 1 test scenarios</x:v>
      </x:c>
      <x:c r="F13" s="15" t="str">
        <x:v>DEV-0101..0105</x:v>
      </x:c>
      <x:c r="G13" s="15" t="str">
        <x:v>P1</x:v>
      </x:c>
      <x:c r="H13" s="31" t="str">
        <x:v>Ready</x:v>
      </x:c>
      <x:c r="I13" s="15" t="str">
        <x:v>DEV/QA</x:v>
      </x:c>
      <x:c r="J13" s="16" t="n">
        <x:v>46233</x:v>
      </x:c>
      <x:c r="K13" s="16" t="n">
        <x:v>46234</x:v>
      </x:c>
      <x:c r="L13" s="15" t="str">
        <x:v>Critical Phase 1 cases pass in CI/DevInt</x:v>
      </x:c>
      <x:c r="M13" s="15" t="str">
        <x:v>DevInt evidence</x:v>
      </x:c>
      <x:c r="N13" s="15" t="str"/>
    </x:row>
    <x:row r="14" ht="46" customHeight="1">
      <x:c r="A14" s="15" t="str">
        <x:v>DEV-0201</x:v>
      </x:c>
      <x:c r="B14" s="15" t="str">
        <x:v>Phase 2</x:v>
      </x:c>
      <x:c r="C14" s="15" t="str">
        <x:v>Iterations</x:v>
      </x:c>
      <x:c r="D14" s="15" t="str">
        <x:v>Implement Planning/Committed/Accepted with manual transitions</x:v>
      </x:c>
      <x:c r="E14" s="15" t="str">
        <x:v>Iterations SRS</x:v>
      </x:c>
      <x:c r="F14" s="15" t="str">
        <x:v>DEV-0101</x:v>
      </x:c>
      <x:c r="G14" s="15" t="str">
        <x:v>P0</x:v>
      </x:c>
      <x:c r="H14" s="31" t="str">
        <x:v>Ready</x:v>
      </x:c>
      <x:c r="I14" s="15" t="str">
        <x:v>FE DEV</x:v>
      </x:c>
      <x:c r="J14" s="16" t="n">
        <x:v>46230</x:v>
      </x:c>
      <x:c r="K14" s="16" t="n">
        <x:v>46237</x:v>
      </x:c>
      <x:c r="L14" s="15" t="str">
        <x:v>New iteration defaults Planning; all transitions remain user-editable</x:v>
      </x:c>
      <x:c r="M14" s="15" t="str">
        <x:v>BA retest</x:v>
      </x:c>
      <x:c r="N14" s="15" t="str"/>
    </x:row>
    <x:row r="15" ht="46" customHeight="1">
      <x:c r="A15" s="15" t="str">
        <x:v>DEV-0202</x:v>
      </x:c>
      <x:c r="B15" s="15" t="str">
        <x:v>Phase 2</x:v>
      </x:c>
      <x:c r="C15" s="15" t="str">
        <x:v>Auto Acceptance</x:v>
      </x:c>
      <x:c r="D15" s="15" t="str">
        <x:v>Auto-set iteration Accepted when all assigned non-empty US/DE are Accepted</x:v>
      </x:c>
      <x:c r="E15" s="15" t="str">
        <x:v>Iteration SRS</x:v>
      </x:c>
      <x:c r="F15" s="15" t="str">
        <x:v>DEV-0201</x:v>
      </x:c>
      <x:c r="G15" s="15" t="str">
        <x:v>P0</x:v>
      </x:c>
      <x:c r="H15" s="31" t="str">
        <x:v>Ready</x:v>
      </x:c>
      <x:c r="I15" s="15" t="str">
        <x:v>FE DEV</x:v>
      </x:c>
      <x:c r="J15" s="16" t="n">
        <x:v>46233</x:v>
      </x:c>
      <x:c r="K15" s="16" t="n">
        <x:v>46238</x:v>
      </x:c>
      <x:c r="L15" s="15" t="str">
        <x:v>Automation is convenience only; no auto-reverse or status lock</x:v>
      </x:c>
      <x:c r="M15" s="15" t="str">
        <x:v>BA retest</x:v>
      </x:c>
      <x:c r="N15" s="15" t="str"/>
    </x:row>
    <x:row r="16" ht="46" customHeight="1">
      <x:c r="A16" s="15" t="str">
        <x:v>DEV-0203</x:v>
      </x:c>
      <x:c r="B16" s="15" t="str">
        <x:v>Phase 2</x:v>
      </x:c>
      <x:c r="C16" s="15" t="str">
        <x:v>Scope Changes</x:v>
      </x:c>
      <x:c r="D16" s="15" t="str">
        <x:v>Allow adding/removing US/DE during Committed iteration without board auto-moves</x:v>
      </x:c>
      <x:c r="E16" s="15" t="str">
        <x:v>Iteration SRS</x:v>
      </x:c>
      <x:c r="F16" s="15" t="str">
        <x:v>DEV-0201</x:v>
      </x:c>
      <x:c r="G16" s="15" t="str">
        <x:v>P0</x:v>
      </x:c>
      <x:c r="H16" s="31" t="str">
        <x:v>Ready</x:v>
      </x:c>
      <x:c r="I16" s="15" t="str">
        <x:v>FE DEV</x:v>
      </x:c>
      <x:c r="J16" s="16" t="n">
        <x:v>46233</x:v>
      </x:c>
      <x:c r="K16" s="16" t="n">
        <x:v>46238</x:v>
      </x:c>
      <x:c r="L16" s="15" t="str">
        <x:v>Scope remains editable during sprint and assignment does not auto-commit</x:v>
      </x:c>
      <x:c r="M16" s="15" t="str">
        <x:v>BA retest</x:v>
      </x:c>
      <x:c r="N16" s="15" t="str"/>
    </x:row>
    <x:row r="17" ht="46" customHeight="1">
      <x:c r="A17" s="15" t="str">
        <x:v>DEV-0204</x:v>
      </x:c>
      <x:c r="B17" s="15" t="str">
        <x:v>Phase 2</x:v>
      </x:c>
      <x:c r="C17" s="15" t="str">
        <x:v>Iteration Status</x:v>
      </x:c>
      <x:c r="D17" s="15" t="str">
        <x:v>Align list view columns, Task Active and Totals calculations</x:v>
      </x:c>
      <x:c r="E17" s="15" t="str">
        <x:v>Iteration Status SRS</x:v>
      </x:c>
      <x:c r="F17" s="15" t="str">
        <x:v>DEV-0103</x:v>
      </x:c>
      <x:c r="G17" s="15" t="str">
        <x:v>P0</x:v>
      </x:c>
      <x:c r="H17" s="31" t="str">
        <x:v>Ready</x:v>
      </x:c>
      <x:c r="I17" s="15" t="str">
        <x:v>FE DEV</x:v>
      </x:c>
      <x:c r="J17" s="16" t="n">
        <x:v>46237</x:v>
      </x:c>
      <x:c r="K17" s="16" t="n">
        <x:v>46240</x:v>
      </x:c>
      <x:c r="L17" s="15" t="str">
        <x:v>Totals show Plan Estimate, Task Estimate, To Do; Task Active uses all created tasks</x:v>
      </x:c>
      <x:c r="M17" s="15" t="str">
        <x:v>BA retest</x:v>
      </x:c>
      <x:c r="N17" s="15" t="str">
        <x:v>No active board view</x:v>
      </x:c>
    </x:row>
    <x:row r="18" ht="46" customHeight="1">
      <x:c r="A18" s="15" t="str">
        <x:v>DEV-0205</x:v>
      </x:c>
      <x:c r="B18" s="15" t="str">
        <x:v>Phase 2</x:v>
      </x:c>
      <x:c r="C18" s="15" t="str">
        <x:v>Regression</x:v>
      </x:c>
      <x:c r="D18" s="15" t="str">
        <x:v>Add/update FE tests for iteration lifecycle, scope and metrics</x:v>
      </x:c>
      <x:c r="E18" s="15" t="str">
        <x:v>Phase 2 test scenarios</x:v>
      </x:c>
      <x:c r="F18" s="15" t="str">
        <x:v>DEV-0201..0204</x:v>
      </x:c>
      <x:c r="G18" s="15" t="str">
        <x:v>P1</x:v>
      </x:c>
      <x:c r="H18" s="31" t="str">
        <x:v>Ready</x:v>
      </x:c>
      <x:c r="I18" s="15" t="str">
        <x:v>DEV/QA</x:v>
      </x:c>
      <x:c r="J18" s="16" t="n">
        <x:v>46240</x:v>
      </x:c>
      <x:c r="K18" s="16" t="n">
        <x:v>46241</x:v>
      </x:c>
      <x:c r="L18" s="15" t="str">
        <x:v>Phase 2 critical cases pass and evidence is attached</x:v>
      </x:c>
      <x:c r="M18" s="15" t="str">
        <x:v>DevInt sign-off</x:v>
      </x:c>
      <x:c r="N18" s="15" t="str"/>
    </x:row>
    <x:row r="19" ht="46" customHeight="1">
      <x:c r="A19" s="15" t="str">
        <x:v>DEV-0301</x:v>
      </x:c>
      <x:c r="B19" s="15" t="str">
        <x:v>Phase 3</x:v>
      </x:c>
      <x:c r="C19" s="15" t="str">
        <x:v>Team Status</x:v>
      </x:c>
      <x:c r="D19" s="15" t="str">
        <x:v>Use shared task data, inline edit and board-level totals</x:v>
      </x:c>
      <x:c r="E19" s="15" t="str">
        <x:v>Team Status SRS</x:v>
      </x:c>
      <x:c r="F19" s="15" t="str">
        <x:v>DEV-0103..0104</x:v>
      </x:c>
      <x:c r="G19" s="15" t="str">
        <x:v>P0</x:v>
      </x:c>
      <x:c r="H19" s="31" t="str">
        <x:v>Ready</x:v>
      </x:c>
      <x:c r="I19" s="15" t="str">
        <x:v>FE DEV</x:v>
      </x:c>
      <x:c r="J19" s="16" t="n">
        <x:v>46237</x:v>
      </x:c>
      <x:c r="K19" s="16" t="n">
        <x:v>46241</x:v>
      </x:c>
      <x:c r="L19" s="15" t="str">
        <x:v>Team Status changes immediately reflect in work item and iteration metrics</x:v>
      </x:c>
      <x:c r="M19" s="15" t="str">
        <x:v>BA retest</x:v>
      </x:c>
      <x:c r="N19" s="15" t="str"/>
    </x:row>
    <x:row r="20" ht="46" customHeight="1">
      <x:c r="A20" s="15" t="str">
        <x:v>DEV-0302</x:v>
      </x:c>
      <x:c r="B20" s="15" t="str">
        <x:v>Phase 3</x:v>
      </x:c>
      <x:c r="C20" s="15" t="str">
        <x:v>Release</x:v>
      </x:c>
      <x:c r="D20" s="15" t="str">
        <x:v>Implement Release registry and zero/one Release selector on work items</x:v>
      </x:c>
      <x:c r="E20" s="15" t="str">
        <x:v>Release Management SRS</x:v>
      </x:c>
      <x:c r="F20" s="15" t="str">
        <x:v>DEV-0101</x:v>
      </x:c>
      <x:c r="G20" s="15" t="str">
        <x:v>P0</x:v>
      </x:c>
      <x:c r="H20" s="31" t="str">
        <x:v>Ready</x:v>
      </x:c>
      <x:c r="I20" s="15" t="str">
        <x:v>FE DEV</x:v>
      </x:c>
      <x:c r="J20" s="16" t="n">
        <x:v>46237</x:v>
      </x:c>
      <x:c r="K20" s="16" t="n">
        <x:v>46241</x:v>
      </x:c>
      <x:c r="L20" s="15" t="str">
        <x:v>Release can exist independently and work-item cardinality is enforced</x:v>
      </x:c>
      <x:c r="M20" s="15" t="str">
        <x:v>BA retest</x:v>
      </x:c>
      <x:c r="N20" s="15" t="str"/>
    </x:row>
    <x:row r="21" ht="46" customHeight="1">
      <x:c r="A21" s="15" t="str">
        <x:v>DEV-0303</x:v>
      </x:c>
      <x:c r="B21" s="15" t="str">
        <x:v>Phase 3</x:v>
      </x:c>
      <x:c r="C21" s="15" t="str">
        <x:v>Milestone</x:v>
      </x:c>
      <x:c r="D21" s="15" t="str">
        <x:v>Implement zero/many Milestones per work item and M:N Release links</x:v>
      </x:c>
      <x:c r="E21" s="15" t="str">
        <x:v>Milestone SRS</x:v>
      </x:c>
      <x:c r="F21" s="15" t="str">
        <x:v>DEV-0302</x:v>
      </x:c>
      <x:c r="G21" s="15" t="str">
        <x:v>P0</x:v>
      </x:c>
      <x:c r="H21" s="31" t="str">
        <x:v>Ready</x:v>
      </x:c>
      <x:c r="I21" s="15" t="str">
        <x:v>FE DEV</x:v>
      </x:c>
      <x:c r="J21" s="16" t="n">
        <x:v>46239</x:v>
      </x:c>
      <x:c r="K21" s="16" t="n">
        <x:v>46245</x:v>
      </x:c>
      <x:c r="L21" s="15" t="str">
        <x:v>Milestones remain independent and can span multiple projects/teams</x:v>
      </x:c>
      <x:c r="M21" s="15" t="str">
        <x:v>BA retest</x:v>
      </x:c>
      <x:c r="N21" s="15" t="str"/>
    </x:row>
    <x:row r="22" ht="46" customHeight="1">
      <x:c r="A22" s="15" t="str">
        <x:v>DEV-0304</x:v>
      </x:c>
      <x:c r="B22" s="15" t="str">
        <x:v>Phase 3</x:v>
      </x:c>
      <x:c r="C22" s="15" t="str">
        <x:v>Milestone Dates</x:v>
      </x:c>
      <x:c r="D22" s="15" t="str">
        <x:v>Implement manual dates and derived MIN/MAX mode when releases are linked</x:v>
      </x:c>
      <x:c r="E22" s="15" t="str">
        <x:v>Milestone SRS</x:v>
      </x:c>
      <x:c r="F22" s="15" t="str">
        <x:v>DEV-0303</x:v>
      </x:c>
      <x:c r="G22" s="15" t="str">
        <x:v>P0</x:v>
      </x:c>
      <x:c r="H22" s="31" t="str">
        <x:v>Ready</x:v>
      </x:c>
      <x:c r="I22" s="15" t="str">
        <x:v>FE DEV</x:v>
      </x:c>
      <x:c r="J22" s="16" t="n">
        <x:v>46241</x:v>
      </x:c>
      <x:c r="K22" s="16" t="n">
        <x:v>46246</x:v>
      </x:c>
      <x:c r="L22" s="15" t="str">
        <x:v>Linked releases make dates read-only; unlinking all restores manual editing</x:v>
      </x:c>
      <x:c r="M22" s="15" t="str">
        <x:v>BA retest</x:v>
      </x:c>
      <x:c r="N22" s="15" t="str"/>
    </x:row>
    <x:row r="23" ht="46" customHeight="1">
      <x:c r="A23" s="15" t="str">
        <x:v>DEV-0305</x:v>
      </x:c>
      <x:c r="B23" s="15" t="str">
        <x:v>Phase 3</x:v>
      </x:c>
      <x:c r="C23" s="15" t="str">
        <x:v>Related Milestones</x:v>
      </x:c>
      <x:c r="D23" s="15" t="str">
        <x:v>Filter work-item Milestone dropdown using the selected Release relationship</x:v>
      </x:c>
      <x:c r="E23" s="15" t="str">
        <x:v>Release/Milestone SRS</x:v>
      </x:c>
      <x:c r="F23" s="15" t="str">
        <x:v>DEV-0302..0304</x:v>
      </x:c>
      <x:c r="G23" s="15" t="str">
        <x:v>P1</x:v>
      </x:c>
      <x:c r="H23" s="31" t="str">
        <x:v>Ready</x:v>
      </x:c>
      <x:c r="I23" s="15" t="str">
        <x:v>FE DEV</x:v>
      </x:c>
      <x:c r="J23" s="16" t="n">
        <x:v>46244</x:v>
      </x:c>
      <x:c r="K23" s="16" t="n">
        <x:v>46246</x:v>
      </x:c>
      <x:c r="L23" s="15" t="str">
        <x:v>Only related milestones are suggested while explicit existing links remain visible</x:v>
      </x:c>
      <x:c r="M23" s="15" t="str">
        <x:v>BA retest</x:v>
      </x:c>
      <x:c r="N23" s="15" t="str"/>
    </x:row>
    <x:row r="24" ht="46" customHeight="1">
      <x:c r="A24" s="15" t="str">
        <x:v>DEV-0306</x:v>
      </x:c>
      <x:c r="B24" s="15" t="str">
        <x:v>Phase 3</x:v>
      </x:c>
      <x:c r="C24" s="15" t="str">
        <x:v>Quality</x:v>
      </x:c>
      <x:c r="D24" s="15" t="str">
        <x:v>Keep separate Defect State plus common mirrored Flow/Schedule lifecycle</x:v>
      </x:c>
      <x:c r="E24" s="15" t="str">
        <x:v>Quality/Defect SRS</x:v>
      </x:c>
      <x:c r="F24" s="15" t="str">
        <x:v>DEV-0102</x:v>
      </x:c>
      <x:c r="G24" s="15" t="str">
        <x:v>P1</x:v>
      </x:c>
      <x:c r="H24" s="31" t="str">
        <x:v>Ready</x:v>
      </x:c>
      <x:c r="I24" s="15" t="str">
        <x:v>FE DEV</x:v>
      </x:c>
      <x:c r="J24" s="16" t="n">
        <x:v>46244</x:v>
      </x:c>
      <x:c r="K24" s="16" t="n">
        <x:v>46247</x:v>
      </x:c>
      <x:c r="L24" s="15" t="str">
        <x:v>Defect-specific and common state fields do not overwrite each other</x:v>
      </x:c>
      <x:c r="M24" s="15" t="str">
        <x:v>BA retest</x:v>
      </x:c>
      <x:c r="N24" s="15" t="str"/>
    </x:row>
    <x:row r="25" ht="46" customHeight="1">
      <x:c r="A25" s="15" t="str">
        <x:v>DEV-0307</x:v>
      </x:c>
      <x:c r="B25" s="15" t="str">
        <x:v>Phase 3</x:v>
      </x:c>
      <x:c r="C25" s="15" t="str">
        <x:v>Navigation</x:v>
      </x:c>
      <x:c r="D25" s="15" t="str">
        <x:v>Keep Release management under Plan &gt; Timeboxes and Portfolio &gt; Release Planning as Phase 5 placeholder</x:v>
      </x:c>
      <x:c r="E25" s="15" t="str">
        <x:v>Navigation SRS/mockup</x:v>
      </x:c>
      <x:c r="F25" s="15" t="str">
        <x:v>DEV-0001</x:v>
      </x:c>
      <x:c r="G25" s="15" t="str">
        <x:v>P1</x:v>
      </x:c>
      <x:c r="H25" s="31" t="str">
        <x:v>Ready</x:v>
      </x:c>
      <x:c r="I25" s="15" t="str">
        <x:v>FE DEV</x:v>
      </x:c>
      <x:c r="J25" s="16" t="n">
        <x:v>46246</x:v>
      </x:c>
      <x:c r="K25" s="16" t="n">
        <x:v>46247</x:v>
      </x:c>
      <x:c r="L25" s="15" t="str">
        <x:v>Navigation matches the confirmed phase boundary</x:v>
      </x:c>
      <x:c r="M25" s="15" t="str">
        <x:v>BA retest</x:v>
      </x:c>
      <x:c r="N25" s="15" t="str"/>
    </x:row>
    <x:row r="26" ht="46" customHeight="1">
      <x:c r="A26" s="15" t="str">
        <x:v>DEV-0308</x:v>
      </x:c>
      <x:c r="B26" s="15" t="str">
        <x:v>Phase 3</x:v>
      </x:c>
      <x:c r="C26" s="15" t="str">
        <x:v>Regression</x:v>
      </x:c>
      <x:c r="D26" s="15" t="str">
        <x:v>Add/update FE tests for Team Status, Release/Milestone and Quality</x:v>
      </x:c>
      <x:c r="E26" s="15" t="str">
        <x:v>Phase 3 test scenarios</x:v>
      </x:c>
      <x:c r="F26" s="15" t="str">
        <x:v>DEV-0301..0307</x:v>
      </x:c>
      <x:c r="G26" s="15" t="str">
        <x:v>P1</x:v>
      </x:c>
      <x:c r="H26" s="31" t="str">
        <x:v>Ready</x:v>
      </x:c>
      <x:c r="I26" s="15" t="str">
        <x:v>DEV/QA</x:v>
      </x:c>
      <x:c r="J26" s="16" t="n">
        <x:v>46247</x:v>
      </x:c>
      <x:c r="K26" s="16" t="n">
        <x:v>46248</x:v>
      </x:c>
      <x:c r="L26" s="15" t="str">
        <x:v>Phase 3 scenarios pass with evidence</x:v>
      </x:c>
      <x:c r="M26" s="15" t="str">
        <x:v>DevInt sign-off</x:v>
      </x:c>
      <x:c r="N26" s="15" t="str"/>
    </x:row>
    <x:row r="27" ht="46" customHeight="1">
      <x:c r="A27" s="15" t="str">
        <x:v>DEV-0401</x:v>
      </x:c>
      <x:c r="B27" s="15" t="str">
        <x:v>Phase 4</x:v>
      </x:c>
      <x:c r="C27" s="15" t="str">
        <x:v>Notifications</x:v>
      </x:c>
      <x:c r="D27" s="15" t="str">
        <x:v>Implement notification list, read/unread behavior and deep links</x:v>
      </x:c>
      <x:c r="E27" s="15" t="str">
        <x:v>Notifications SRS/mockup</x:v>
      </x:c>
      <x:c r="F27" s="15" t="str">
        <x:v>Phase 0-3 stable</x:v>
      </x:c>
      <x:c r="G27" s="15" t="str">
        <x:v>P1</x:v>
      </x:c>
      <x:c r="H27" s="22" t="str">
        <x:v>Planned</x:v>
      </x:c>
      <x:c r="I27" s="15" t="str">
        <x:v>FE DEV</x:v>
      </x:c>
      <x:c r="J27" s="16" t="n">
        <x:v>46244</x:v>
      </x:c>
      <x:c r="K27" s="16" t="n">
        <x:v>46251</x:v>
      </x:c>
      <x:c r="L27" s="15" t="str">
        <x:v>All confirmed triggers and target routes pass UAT</x:v>
      </x:c>
      <x:c r="M27" s="15" t="str">
        <x:v>DevInt</x:v>
      </x:c>
      <x:c r="N27" s="15" t="str"/>
    </x:row>
    <x:row r="28" ht="46" customHeight="1">
      <x:c r="A28" s="15" t="str">
        <x:v>DEV-0402</x:v>
      </x:c>
      <x:c r="B28" s="15" t="str">
        <x:v>Phase 4</x:v>
      </x:c>
      <x:c r="C28" s="15" t="str">
        <x:v>RBAC</x:v>
      </x:c>
      <x:c r="D28" s="15" t="str">
        <x:v>Implement role-aware visibility and action authorization feedback</x:v>
      </x:c>
      <x:c r="E28" s="15" t="str">
        <x:v>Roles &amp; Permissions SRS</x:v>
      </x:c>
      <x:c r="F28" s="15" t="str">
        <x:v>DEV-0001</x:v>
      </x:c>
      <x:c r="G28" s="15" t="str">
        <x:v>P0</x:v>
      </x:c>
      <x:c r="H28" s="22" t="str">
        <x:v>Planned</x:v>
      </x:c>
      <x:c r="I28" s="15" t="str">
        <x:v>FE DEV</x:v>
      </x:c>
      <x:c r="J28" s="16" t="n">
        <x:v>46244</x:v>
      </x:c>
      <x:c r="K28" s="16" t="n">
        <x:v>46253</x:v>
      </x:c>
      <x:c r="L28" s="15" t="str">
        <x:v>Role matrix is enforced consistently on every relevant screen/action</x:v>
      </x:c>
      <x:c r="M28" s="15" t="str">
        <x:v>Security/UAT review</x:v>
      </x:c>
      <x:c r="N28" s="15" t="str"/>
    </x:row>
    <x:row r="29" ht="46" customHeight="1">
      <x:c r="A29" s="15" t="str">
        <x:v>DEV-0403</x:v>
      </x:c>
      <x:c r="B29" s="15" t="str">
        <x:v>Phase 4</x:v>
      </x:c>
      <x:c r="C29" s="15" t="str">
        <x:v>Settings</x:v>
      </x:c>
      <x:c r="D29" s="15" t="str">
        <x:v>Implement confirmed settings screens and validation</x:v>
      </x:c>
      <x:c r="E29" s="15" t="str">
        <x:v>Settings &amp; Audit SRS</x:v>
      </x:c>
      <x:c r="F29" s="15" t="str">
        <x:v>DEV-0402</x:v>
      </x:c>
      <x:c r="G29" s="15" t="str">
        <x:v>P1</x:v>
      </x:c>
      <x:c r="H29" s="22" t="str">
        <x:v>Planned</x:v>
      </x:c>
      <x:c r="I29" s="15" t="str">
        <x:v>FE DEV</x:v>
      </x:c>
      <x:c r="J29" s="16" t="n">
        <x:v>46251</x:v>
      </x:c>
      <x:c r="K29" s="16" t="n">
        <x:v>46255</x:v>
      </x:c>
      <x:c r="L29" s="15" t="str">
        <x:v>Settings behavior matches permissions and business validation</x:v>
      </x:c>
      <x:c r="M29" s="15" t="str">
        <x:v>DevInt</x:v>
      </x:c>
      <x:c r="N29" s="15" t="str"/>
    </x:row>
    <x:row r="30" ht="46" customHeight="1">
      <x:c r="A30" s="15" t="str">
        <x:v>DEV-0404</x:v>
      </x:c>
      <x:c r="B30" s="15" t="str">
        <x:v>Phase 4</x:v>
      </x:c>
      <x:c r="C30" s="15" t="str">
        <x:v>Audit</x:v>
      </x:c>
      <x:c r="D30" s="15" t="str">
        <x:v>Implement audit list/filter/detail UX for confirmed events</x:v>
      </x:c>
      <x:c r="E30" s="15" t="str">
        <x:v>Settings &amp; Audit SRS</x:v>
      </x:c>
      <x:c r="F30" s="15" t="str">
        <x:v>DEV-0402..0403</x:v>
      </x:c>
      <x:c r="G30" s="15" t="str">
        <x:v>P1</x:v>
      </x:c>
      <x:c r="H30" s="22" t="str">
        <x:v>Planned</x:v>
      </x:c>
      <x:c r="I30" s="15" t="str">
        <x:v>FE DEV</x:v>
      </x:c>
      <x:c r="J30" s="16" t="n">
        <x:v>46253</x:v>
      </x:c>
      <x:c r="K30" s="16" t="n">
        <x:v>46259</x:v>
      </x:c>
      <x:c r="L30" s="15" t="str">
        <x:v>Auditable actions are visible with actor, action, target and time</x:v>
      </x:c>
      <x:c r="M30" s="15" t="str">
        <x:v>DevInt</x:v>
      </x:c>
      <x:c r="N30" s="15" t="str"/>
    </x:row>
    <x:row r="31" ht="46" customHeight="1">
      <x:c r="A31" s="15" t="str">
        <x:v>DEV-0405</x:v>
      </x:c>
      <x:c r="B31" s="15" t="str">
        <x:v>Phase 4</x:v>
      </x:c>
      <x:c r="C31" s="15" t="str">
        <x:v>Regression</x:v>
      </x:c>
      <x:c r="D31" s="15" t="str">
        <x:v>Add FE/component/E2E tests for Phase 4 governance</x:v>
      </x:c>
      <x:c r="E31" s="15" t="str">
        <x:v>Phase 4 test scenarios</x:v>
      </x:c>
      <x:c r="F31" s="15" t="str">
        <x:v>DEV-0401..0404</x:v>
      </x:c>
      <x:c r="G31" s="15" t="str">
        <x:v>P1</x:v>
      </x:c>
      <x:c r="H31" s="22" t="str">
        <x:v>Planned</x:v>
      </x:c>
      <x:c r="I31" s="15" t="str">
        <x:v>DEV/QA</x:v>
      </x:c>
      <x:c r="J31" s="16" t="n">
        <x:v>46258</x:v>
      </x:c>
      <x:c r="K31" s="16" t="n">
        <x:v>46262</x:v>
      </x:c>
      <x:c r="L31" s="15" t="str">
        <x:v>Phase 4 critical path passes before handoff</x:v>
      </x:c>
      <x:c r="M31" s="15" t="str">
        <x:v>UAT sign-off</x:v>
      </x:c>
      <x:c r="N31" s="15" t="str"/>
    </x:row>
    <x:row r="32" ht="46" customHeight="1">
      <x:c r="A32" s="15" t="str">
        <x:v>DEV-0501</x:v>
      </x:c>
      <x:c r="B32" s="15" t="str">
        <x:v>Phase 5</x:v>
      </x:c>
      <x:c r="C32" s="15" t="str">
        <x:v>Release Planning</x:v>
      </x:c>
      <x:c r="D32" s="15" t="str">
        <x:v>Implement Release Planning after SRS and mockup confirmation</x:v>
      </x:c>
      <x:c r="E32" s="15" t="str">
        <x:v>BA-0501..0503</x:v>
      </x:c>
      <x:c r="F32" s="15" t="str">
        <x:v>BA Phase 5 sign-off</x:v>
      </x:c>
      <x:c r="G32" s="15" t="str">
        <x:v>P0</x:v>
      </x:c>
      <x:c r="H32" s="34" t="str">
        <x:v>Needs BA</x:v>
      </x:c>
      <x:c r="I32" s="15" t="str">
        <x:v>FE DEV</x:v>
      </x:c>
      <x:c r="J32" s="16" t="n">
        <x:v>46265</x:v>
      </x:c>
      <x:c r="K32" s="16" t="n">
        <x:v>46276</x:v>
      </x:c>
      <x:c r="L32" s="15" t="str">
        <x:v>Implementation matches approved portfolio planning scope</x:v>
      </x:c>
      <x:c r="M32" s="15" t="str">
        <x:v>DevInt</x:v>
      </x:c>
      <x:c r="N32" s="15" t="str">
        <x:v>Do not include deferred release progress tracking unless promoted</x:v>
      </x:c>
    </x:row>
    <x:row r="33" ht="46" customHeight="1">
      <x:c r="A33" s="15" t="str">
        <x:v>DEV-0502</x:v>
      </x:c>
      <x:c r="B33" s="15" t="str">
        <x:v>Phase 5</x:v>
      </x:c>
      <x:c r="C33" s="15" t="str">
        <x:v>Reports</x:v>
      </x:c>
      <x:c r="D33" s="15" t="str">
        <x:v>Implement approved report catalogue, filters and calculations</x:v>
      </x:c>
      <x:c r="E33" s="15" t="str">
        <x:v>BA-0502..0503</x:v>
      </x:c>
      <x:c r="F33" s="15" t="str">
        <x:v>BA Phase 5 sign-off</x:v>
      </x:c>
      <x:c r="G33" s="15" t="str">
        <x:v>P1</x:v>
      </x:c>
      <x:c r="H33" s="34" t="str">
        <x:v>Needs BA</x:v>
      </x:c>
      <x:c r="I33" s="15" t="str">
        <x:v>FE DEV</x:v>
      </x:c>
      <x:c r="J33" s="16" t="n">
        <x:v>46272</x:v>
      </x:c>
      <x:c r="K33" s="16" t="n">
        <x:v>46283</x:v>
      </x:c>
      <x:c r="L33" s="15" t="str">
        <x:v>Report outputs match approved formulas and sample data</x:v>
      </x:c>
      <x:c r="M33" s="15" t="str">
        <x:v>DevInt</x:v>
      </x:c>
      <x:c r="N33" s="15" t="str"/>
    </x:row>
    <x:row r="34" ht="46" customHeight="1">
      <x:c r="A34" s="15" t="str">
        <x:v>DEV-0503</x:v>
      </x:c>
      <x:c r="B34" s="15" t="str">
        <x:v>Phase 5</x:v>
      </x:c>
      <x:c r="C34" s="15" t="str">
        <x:v>Regression</x:v>
      </x:c>
      <x:c r="D34" s="15" t="str">
        <x:v>Add Phase 5 FE/component/E2E coverage</x:v>
      </x:c>
      <x:c r="E34" s="15" t="str">
        <x:v>BA-0504</x:v>
      </x:c>
      <x:c r="F34" s="15" t="str">
        <x:v>DEV-0501..0502</x:v>
      </x:c>
      <x:c r="G34" s="15" t="str">
        <x:v>P1</x:v>
      </x:c>
      <x:c r="H34" s="34" t="str">
        <x:v>Needs BA</x:v>
      </x:c>
      <x:c r="I34" s="15" t="str">
        <x:v>DEV/QA</x:v>
      </x:c>
      <x:c r="J34" s="16" t="n">
        <x:v>46286</x:v>
      </x:c>
      <x:c r="K34" s="16" t="n">
        <x:v>46290</x:v>
      </x:c>
      <x:c r="L34" s="15" t="str">
        <x:v>Phase 5 business flow passes end-to-end</x:v>
      </x:c>
      <x:c r="M34" s="15" t="str">
        <x:v>UAT sign-off</x:v>
      </x:c>
      <x:c r="N34" s="15" t="str"/>
    </x:row>
    <x:row r="35" ht="46" customHeight="1">
      <x:c r="A35" s="15" t="str">
        <x:v>DEV-G001</x:v>
      </x:c>
      <x:c r="B35" s="15" t="str">
        <x:v>Cross-phase</x:v>
      </x:c>
      <x:c r="C35" s="15" t="str">
        <x:v>DevInt</x:v>
      </x:c>
      <x:c r="D35" s="15" t="str">
        <x:v>Maintain screen-by-screen DevInt gap tracker and retest evidence</x:v>
      </x:c>
      <x:c r="E35" s="15" t="str">
        <x:v>06_Dev testing align tracker</x:v>
      </x:c>
      <x:c r="F35" s="15" t="str">
        <x:v>BA confirmation</x:v>
      </x:c>
      <x:c r="G35" s="15" t="str">
        <x:v>P0</x:v>
      </x:c>
      <x:c r="H35" s="28" t="str">
        <x:v>In Progress</x:v>
      </x:c>
      <x:c r="I35" s="15" t="str">
        <x:v>DEV/QA</x:v>
      </x:c>
      <x:c r="J35" s="16" t="n">
        <x:v>46223</x:v>
      </x:c>
      <x:c r="K35" s="16" t="n">
        <x:v>46290</x:v>
      </x:c>
      <x:c r="L35" s="15" t="str">
        <x:v>Every gap has owner, resolution, retest and final disposition</x:v>
      </x:c>
      <x:c r="M35" s="15" t="str">
        <x:v>Weekly triage</x:v>
      </x:c>
      <x:c r="N35" s="15" t="str"/>
    </x:row>
    <x:row r="36" ht="46" customHeight="1">
      <x:c r="A36" s="15" t="str">
        <x:v>DEV-G002</x:v>
      </x:c>
      <x:c r="B36" s="15" t="str">
        <x:v>Cross-phase</x:v>
      </x:c>
      <x:c r="C36" s="15" t="str">
        <x:v>Data Consistency</x:v>
      </x:c>
      <x:c r="D36" s="15" t="str">
        <x:v>Keep sample/mock data keys, labels and relationships aligned across screens</x:v>
      </x:c>
      <x:c r="E36" s="15" t="str">
        <x:v>SRS + mockup fixtures</x:v>
      </x:c>
      <x:c r="F36" s="15" t="str">
        <x:v>All feature tasks</x:v>
      </x:c>
      <x:c r="G36" s="15" t="str">
        <x:v>P1</x:v>
      </x:c>
      <x:c r="H36" s="28" t="str">
        <x:v>In Progress</x:v>
      </x:c>
      <x:c r="I36" s="15" t="str">
        <x:v>FE DEV</x:v>
      </x:c>
      <x:c r="J36" s="16" t="n">
        <x:v>46223</x:v>
      </x:c>
      <x:c r="K36" s="16" t="n">
        <x:v>46290</x:v>
      </x:c>
      <x:c r="L36" s="15" t="str">
        <x:v>Same entity shows the same values and relationships across all screens</x:v>
      </x:c>
      <x:c r="M36" s="15" t="str">
        <x:v>Weekly regression</x:v>
      </x:c>
      <x:c r="N36" s="15" t="str"/>
    </x:row>
    <x:row r="37" ht="46" customHeight="1">
      <x:c r="A37" s="15" t="str">
        <x:v>DEV-G003</x:v>
      </x:c>
      <x:c r="B37" s="15" t="str">
        <x:v>Future</x:v>
      </x:c>
      <x:c r="C37" s="15" t="str">
        <x:v>Deferred UI</x:v>
      </x:c>
      <x:c r="D37" s="15" t="str">
        <x:v>Do not build Team Board, Iteration Board or Release Tracking progress until prioritized</x:v>
      </x:c>
      <x:c r="E37" s="15" t="str">
        <x:v>Future_Backlog</x:v>
      </x:c>
      <x:c r="F37" s="15" t="str">
        <x:v>PO approval</x:v>
      </x:c>
      <x:c r="G37" s="15" t="str">
        <x:v>P3</x:v>
      </x:c>
      <x:c r="H37" s="25" t="str">
        <x:v>Future Backlog</x:v>
      </x:c>
      <x:c r="I37" s="15" t="str">
        <x:v>DEV</x:v>
      </x:c>
      <x:c r="J37" s="16"/>
      <x:c r="K37" s="16"/>
      <x:c r="L37" s="15" t="str">
        <x:v>No hidden or partial implementation enters active navigation</x:v>
      </x:c>
      <x:c r="M37" s="15" t="str">
        <x:v>Quarterly review</x:v>
      </x:c>
      <x:c r="N37" s="15" t="str"/>
    </x:row>
  </x:sheetData>
  <x:mergeCells>
    <x:mergeCell ref="A1:N1"/>
    <x:mergeCell ref="A2:N2"/>
  </x:mergeCells>
  <x:dataValidations count="2">
    <x:dataValidation type="list" sqref="G5:G37">
      <x:formula1>"P0,P1,P2,P3"</x:formula1>
    </x:dataValidation>
    <x:dataValidation type="list" sqref="H5:H37">
      <x:formula1>"Done,In Progress,Ready,Planned,Future Backlog,Blocked,Needs BA"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1" hidden="0" customWidth="1"/>
    <x:col min="3" max="3" width="86" hidden="0" customWidth="1"/>
    <x:col min="4" max="4" width="15" hidden="0" customWidth="1"/>
    <x:col min="5" max="5" width="20" hidden="0" customWidth="1"/>
    <x:col min="6" max="6" width="17" hidden="0" customWidth="1"/>
    <x:col min="7" max="7" width="34" hidden="0" customWidth="1"/>
  </x:cols>
  <x:sheetData>
    <x:row r="1" ht="32" customHeight="1">
      <x:c r="A1" s="3" t="str">
        <x:v>MINI RALLY — DECISION &amp; DEPENDENCY LOG</x:v>
      </x:c>
      <x:c r="B1" s="3" t="str">
        <x:v>MINI RALLY — DECISION &amp; DEPENDENCY LOG</x:v>
      </x:c>
      <x:c r="C1" s="3" t="str">
        <x:v>MINI RALLY — DECISION &amp; DEPENDENCY LOG</x:v>
      </x:c>
      <x:c r="D1" s="3" t="str">
        <x:v>MINI RALLY — DECISION &amp; DEPENDENCY LOG</x:v>
      </x:c>
      <x:c r="E1" s="3" t="str">
        <x:v>MINI RALLY — DECISION &amp; DEPENDENCY LOG</x:v>
      </x:c>
      <x:c r="F1" s="3" t="str">
        <x:v>MINI RALLY — DECISION &amp; DEPENDENCY LOG</x:v>
      </x:c>
      <x:c r="G1" s="3" t="str">
        <x:v>MINI RALLY — DECISION &amp; DEPENDENCY LOG</x:v>
      </x:c>
    </x:row>
    <x:row r="2" ht="27" customHeight="1">
      <x:c r="A2" s="6" t="str">
        <x:v>Confirmed cross-phase rules that DEV must use when implementing the task plan</x:v>
      </x:c>
      <x:c r="B2" s="6" t="str">
        <x:v>Confirmed cross-phase rules that DEV must use when implementing the task plan</x:v>
      </x:c>
      <x:c r="C2" s="6" t="str">
        <x:v>Confirmed cross-phase rules that DEV must use when implementing the task plan</x:v>
      </x:c>
      <x:c r="D2" s="6" t="str">
        <x:v>Confirmed cross-phase rules that DEV must use when implementing the task plan</x:v>
      </x:c>
      <x:c r="E2" s="6" t="str">
        <x:v>Confirmed cross-phase rules that DEV must use when implementing the task plan</x:v>
      </x:c>
      <x:c r="F2" s="6" t="str">
        <x:v>Confirmed cross-phase rules that DEV must use when implementing the task plan</x:v>
      </x:c>
      <x:c r="G2" s="6" t="str">
        <x:v>Confirmed cross-phase rules that DEV must use when implementing the task plan</x:v>
      </x:c>
    </x:row>
    <x:row r="4" ht="32" customHeight="1">
      <x:c r="A4" s="11" t="str">
        <x:v>Decision ID</x:v>
      </x:c>
      <x:c r="B4" s="11" t="str">
        <x:v>Area</x:v>
      </x:c>
      <x:c r="C4" s="11" t="str">
        <x:v>Confirmed Decision</x:v>
      </x:c>
      <x:c r="D4" s="11" t="str">
        <x:v>Status</x:v>
      </x:c>
      <x:c r="E4" s="11" t="str">
        <x:v>Impact</x:v>
      </x:c>
      <x:c r="F4" s="11" t="str">
        <x:v>Owner</x:v>
      </x:c>
      <x:c r="G4" s="11" t="str">
        <x:v>Primary Source</x:v>
      </x:c>
    </x:row>
    <x:row r="5" ht="54" customHeight="1">
      <x:c r="A5" s="15" t="str">
        <x:v>D-001</x:v>
      </x:c>
      <x:c r="B5" s="15" t="str">
        <x:v>Project</x:v>
      </x:c>
      <x:c r="C5" s="15" t="str">
        <x:v>Product supports multiple projects; context must stay project-scoped</x:v>
      </x:c>
      <x:c r="D5" s="19" t="str">
        <x:v>Confirmed</x:v>
      </x:c>
      <x:c r="E5" s="15" t="str">
        <x:v>Phase 0-5</x:v>
      </x:c>
      <x:c r="F5" s="15" t="str">
        <x:v>BA/DEV</x:v>
      </x:c>
      <x:c r="G5" s="15" t="str">
        <x:v>Project SRS</x:v>
      </x:c>
    </x:row>
    <x:row r="6" ht="54" customHeight="1">
      <x:c r="A6" s="15" t="str">
        <x:v>D-002</x:v>
      </x:c>
      <x:c r="B6" s="15" t="str">
        <x:v>Teams/Users</x:v>
      </x:c>
      <x:c r="C6" s="15" t="str">
        <x:v>Teams and User Management live under Settings gear; Manage Projects shows projects only</x:v>
      </x:c>
      <x:c r="D6" s="19" t="str">
        <x:v>Confirmed</x:v>
      </x:c>
      <x:c r="E6" s="15" t="str">
        <x:v>Phase 0-4</x:v>
      </x:c>
      <x:c r="F6" s="15" t="str">
        <x:v>FE DEV</x:v>
      </x:c>
      <x:c r="G6" s="15" t="str">
        <x:v>Phase 1 SRS/mockup</x:v>
      </x:c>
    </x:row>
    <x:row r="7" ht="54" customHeight="1">
      <x:c r="A7" s="15" t="str">
        <x:v>D-003</x:v>
      </x:c>
      <x:c r="B7" s="15" t="str">
        <x:v>Work Item State</x:v>
      </x:c>
      <x:c r="C7" s="15" t="str">
        <x:v>Schedule State and Flow State share Idea, Defined, In-Progress, Completed, Accepted, Release and mirror both ways; default Idea</x:v>
      </x:c>
      <x:c r="D7" s="19" t="str">
        <x:v>Confirmed</x:v>
      </x:c>
      <x:c r="E7" s="15" t="str">
        <x:v>Phase 1-5</x:v>
      </x:c>
      <x:c r="F7" s="15" t="str">
        <x:v>FE DEV</x:v>
      </x:c>
      <x:c r="G7" s="15" t="str">
        <x:v>Source of truth</x:v>
      </x:c>
    </x:row>
    <x:row r="8" ht="54" customHeight="1">
      <x:c r="A8" s="15" t="str">
        <x:v>D-004</x:v>
      </x:c>
      <x:c r="B8" s="15" t="str">
        <x:v>Defect</x:v>
      </x:c>
      <x:c r="C8" s="15" t="str">
        <x:v>Defect keeps a separate Defect State in addition to common Flow/Schedule states</x:v>
      </x:c>
      <x:c r="D8" s="19" t="str">
        <x:v>Confirmed</x:v>
      </x:c>
      <x:c r="E8" s="15" t="str">
        <x:v>Phase 3</x:v>
      </x:c>
      <x:c r="F8" s="15" t="str">
        <x:v>FE DEV</x:v>
      </x:c>
      <x:c r="G8" s="15" t="str">
        <x:v>Quality SRS</x:v>
      </x:c>
    </x:row>
    <x:row r="9" ht="54" customHeight="1">
      <x:c r="A9" s="15" t="str">
        <x:v>D-005</x:v>
      </x:c>
      <x:c r="B9" s="15" t="str">
        <x:v>Task Roll-up</x:v>
      </x:c>
      <x:c r="C9" s="15" t="str">
        <x:v>Task uses Defined, In-Progress, Completed; all completed auto-completes parent; reopen auto-returns parent to In-Progress; manual parent status remains available</x:v>
      </x:c>
      <x:c r="D9" s="19" t="str">
        <x:v>Confirmed</x:v>
      </x:c>
      <x:c r="E9" s="15" t="str">
        <x:v>Phase 1-3</x:v>
      </x:c>
      <x:c r="F9" s="15" t="str">
        <x:v>FE DEV</x:v>
      </x:c>
      <x:c r="G9" s="15" t="str">
        <x:v>Task SRS</x:v>
      </x:c>
    </x:row>
    <x:row r="10" ht="54" customHeight="1">
      <x:c r="A10" s="15" t="str">
        <x:v>D-006</x:v>
      </x:c>
      <x:c r="B10" s="15" t="str">
        <x:v>Iteration</x:v>
      </x:c>
      <x:c r="C10" s="15" t="str">
        <x:v>Planning -&gt; Committed -&gt; Accepted; user can always change manually; no status lock and no auto-reverse</x:v>
      </x:c>
      <x:c r="D10" s="19" t="str">
        <x:v>Confirmed</x:v>
      </x:c>
      <x:c r="E10" s="15" t="str">
        <x:v>Phase 2-3</x:v>
      </x:c>
      <x:c r="F10" s="15" t="str">
        <x:v>FE DEV</x:v>
      </x:c>
      <x:c r="G10" s="15" t="str">
        <x:v>Iteration SRS</x:v>
      </x:c>
    </x:row>
    <x:row r="11" ht="54" customHeight="1">
      <x:c r="A11" s="15" t="str">
        <x:v>D-007</x:v>
      </x:c>
      <x:c r="B11" s="15" t="str">
        <x:v>Iteration Scope</x:v>
      </x:c>
      <x:c r="C11" s="15" t="str">
        <x:v>US/DE can be added or removed while sprint is running; assignment does not auto-commit and board cards do not auto-move</x:v>
      </x:c>
      <x:c r="D11" s="19" t="str">
        <x:v>Confirmed</x:v>
      </x:c>
      <x:c r="E11" s="15" t="str">
        <x:v>Phase 2-3</x:v>
      </x:c>
      <x:c r="F11" s="15" t="str">
        <x:v>FE DEV</x:v>
      </x:c>
      <x:c r="G11" s="15" t="str">
        <x:v>Iteration SRS</x:v>
      </x:c>
    </x:row>
    <x:row r="12" ht="54" customHeight="1">
      <x:c r="A12" s="15" t="str">
        <x:v>D-008</x:v>
      </x:c>
      <x:c r="B12" s="15" t="str">
        <x:v>Iteration Auto Accept</x:v>
      </x:c>
      <x:c r="C12" s="15" t="str">
        <x:v>All assigned non-empty US/DE Accepted may auto-set iteration Accepted as convenience</x:v>
      </x:c>
      <x:c r="D12" s="19" t="str">
        <x:v>Confirmed</x:v>
      </x:c>
      <x:c r="E12" s="15" t="str">
        <x:v>Phase 2</x:v>
      </x:c>
      <x:c r="F12" s="15" t="str">
        <x:v>FE DEV</x:v>
      </x:c>
      <x:c r="G12" s="15" t="str">
        <x:v>Iteration SRS</x:v>
      </x:c>
    </x:row>
    <x:row r="13" ht="54" customHeight="1">
      <x:c r="A13" s="15" t="str">
        <x:v>D-009</x:v>
      </x:c>
      <x:c r="B13" s="15" t="str">
        <x:v>Iteration Metrics</x:v>
      </x:c>
      <x:c r="C13" s="15" t="str">
        <x:v>Task Active counts all created tasks under iteration US/DE; Totals show Plan Estimate, Task Estimate and To Do</x:v>
      </x:c>
      <x:c r="D13" s="19" t="str">
        <x:v>Confirmed</x:v>
      </x:c>
      <x:c r="E13" s="15" t="str">
        <x:v>Phase 2-3</x:v>
      </x:c>
      <x:c r="F13" s="15" t="str">
        <x:v>FE DEV</x:v>
      </x:c>
      <x:c r="G13" s="15" t="str">
        <x:v>Iteration Status SRS</x:v>
      </x:c>
    </x:row>
    <x:row r="14" ht="54" customHeight="1">
      <x:c r="A14" s="15" t="str">
        <x:v>D-010</x:v>
      </x:c>
      <x:c r="B14" s="15" t="str">
        <x:v>Release/Milestone</x:v>
      </x:c>
      <x:c r="C14" s="15" t="str">
        <x:v>Release and Milestone are independent; either can be created first; relationship is M:N</x:v>
      </x:c>
      <x:c r="D14" s="19" t="str">
        <x:v>Confirmed</x:v>
      </x:c>
      <x:c r="E14" s="15" t="str">
        <x:v>Phase 3-5</x:v>
      </x:c>
      <x:c r="F14" s="15" t="str">
        <x:v>FE DEV</x:v>
      </x:c>
      <x:c r="G14" s="15" t="str">
        <x:v>Release/Milestone SRS</x:v>
      </x:c>
    </x:row>
    <x:row r="15" ht="54" customHeight="1">
      <x:c r="A15" s="15" t="str">
        <x:v>D-011</x:v>
      </x:c>
      <x:c r="B15" s="15" t="str">
        <x:v>Work Item Links</x:v>
      </x:c>
      <x:c r="C15" s="15" t="str">
        <x:v>A work item supports zero/one Release and zero/many Milestones</x:v>
      </x:c>
      <x:c r="D15" s="19" t="str">
        <x:v>Confirmed</x:v>
      </x:c>
      <x:c r="E15" s="15" t="str">
        <x:v>Phase 1-5</x:v>
      </x:c>
      <x:c r="F15" s="15" t="str">
        <x:v>FE DEV</x:v>
      </x:c>
      <x:c r="G15" s="15" t="str">
        <x:v>Source of truth</x:v>
      </x:c>
    </x:row>
    <x:row r="16" ht="54" customHeight="1">
      <x:c r="A16" s="15" t="str">
        <x:v>D-012</x:v>
      </x:c>
      <x:c r="B16" s="15" t="str">
        <x:v>Milestone Dates</x:v>
      </x:c>
      <x:c r="C16" s="15" t="str">
        <x:v>Milestone without releases uses manual dates; with releases uses MIN linked start and MAX linked end and dates become read-only</x:v>
      </x:c>
      <x:c r="D16" s="19" t="str">
        <x:v>Confirmed</x:v>
      </x:c>
      <x:c r="E16" s="15" t="str">
        <x:v>Phase 3-5</x:v>
      </x:c>
      <x:c r="F16" s="15" t="str">
        <x:v>FE DEV</x:v>
      </x:c>
      <x:c r="G16" s="15" t="str">
        <x:v>Milestone SRS</x:v>
      </x:c>
    </x:row>
    <x:row r="17" ht="54" customHeight="1">
      <x:c r="A17" s="15" t="str">
        <x:v>D-013</x:v>
      </x:c>
      <x:c r="B17" s="15" t="str">
        <x:v>Milestone Scope</x:v>
      </x:c>
      <x:c r="C17" s="15" t="str">
        <x:v>Milestone can span multiple projects and teams</x:v>
      </x:c>
      <x:c r="D17" s="19" t="str">
        <x:v>Confirmed</x:v>
      </x:c>
      <x:c r="E17" s="15" t="str">
        <x:v>Phase 3-5</x:v>
      </x:c>
      <x:c r="F17" s="15" t="str">
        <x:v>BA/DEV</x:v>
      </x:c>
      <x:c r="G17" s="15" t="str">
        <x:v>Source of truth</x:v>
      </x:c>
    </x:row>
    <x:row r="18" ht="54" customHeight="1">
      <x:c r="A18" s="15" t="str">
        <x:v>D-014</x:v>
      </x:c>
      <x:c r="B18" s="15" t="str">
        <x:v>Navigation</x:v>
      </x:c>
      <x:c r="C18" s="15" t="str">
        <x:v>Track &gt; Iteration Status is list-only; Team Status remains; Team/Iteration Board are not active scope</x:v>
      </x:c>
      <x:c r="D18" s="19" t="str">
        <x:v>Confirmed</x:v>
      </x:c>
      <x:c r="E18" s="15" t="str">
        <x:v>Phase 2-3</x:v>
      </x:c>
      <x:c r="F18" s="15" t="str">
        <x:v>FE DEV</x:v>
      </x:c>
      <x:c r="G18" s="15" t="str">
        <x:v>Mockup/navigation baseline</x:v>
      </x:c>
    </x:row>
    <x:row r="19" ht="54" customHeight="1">
      <x:c r="A19" s="15" t="str">
        <x:v>D-015</x:v>
      </x:c>
      <x:c r="B19" s="15" t="str">
        <x:v>Release Navigation</x:v>
      </x:c>
      <x:c r="C19" s="15" t="str">
        <x:v>Phase 3 Release management stays under Plan &gt; Timeboxes; Portfolio &gt; Release Planning is Phase 5</x:v>
      </x:c>
      <x:c r="D19" s="19" t="str">
        <x:v>Confirmed</x:v>
      </x:c>
      <x:c r="E19" s="15" t="str">
        <x:v>Phase 3-5</x:v>
      </x:c>
      <x:c r="F19" s="15" t="str">
        <x:v>FE DEV</x:v>
      </x:c>
      <x:c r="G19" s="15" t="str">
        <x:v>Mockup/navigation baseline</x:v>
      </x:c>
    </x:row>
    <x:row r="20" ht="54" customHeight="1">
      <x:c r="A20" s="15" t="str">
        <x:v>D-016</x:v>
      </x:c>
      <x:c r="B20" s="15" t="str">
        <x:v>Release Tracking</x:v>
      </x:c>
      <x:c r="C20" s="15" t="str">
        <x:v>Release progress/tracking is deferred to future backlog</x:v>
      </x:c>
      <x:c r="D20" s="25" t="str">
        <x:v>Deferred</x:v>
      </x:c>
      <x:c r="E20" s="15" t="str">
        <x:v>Future</x:v>
      </x:c>
      <x:c r="F20" s="15" t="str">
        <x:v>BA/PO</x:v>
      </x:c>
      <x:c r="G20" s="15" t="str">
        <x:v>Future_Backlog</x:v>
      </x:c>
    </x:row>
    <x:row r="21" ht="54" customHeight="1">
      <x:c r="A21" s="15" t="str">
        <x:v>D-017</x:v>
      </x:c>
      <x:c r="B21" s="15" t="str">
        <x:v>Plan Dates</x:v>
      </x:c>
      <x:c r="C21" s="15" t="str">
        <x:v>Dates after 2026-07-20 in this workbook are proposed execution dates and may be re-baselined by BA/DEV leads</x:v>
      </x:c>
      <x:c r="D21" s="19" t="str">
        <x:v>Confirmed</x:v>
      </x:c>
      <x:c r="E21" s="15" t="str">
        <x:v>Cross-phase</x:v>
      </x:c>
      <x:c r="F21" s="15" t="str">
        <x:v>BA/DEV Lead</x:v>
      </x:c>
      <x:c r="G21" s="15" t="str">
        <x:v>This workbook</x:v>
      </x:c>
    </x:row>
  </x:sheetData>
  <x:mergeCells>
    <x:mergeCell ref="A1:G1"/>
    <x:mergeCell ref="A2:G2"/>
  </x:mergeCells>
  <x:pageMargins left="0.7" right="0.7" top="0.75" bottom="0.75" header="0.3" footer="0.3"/>
</x:worksheet>
</file>