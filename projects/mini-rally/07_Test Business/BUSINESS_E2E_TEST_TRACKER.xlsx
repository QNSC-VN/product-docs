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4339adebe41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" sheetId="1" r:id="Rd72c4b1001ee40a5"/>
    <x:sheet xmlns:r="http://schemas.openxmlformats.org/officeDocument/2006/relationships" name="E2E Steps" sheetId="2" r:id="R3e847c37cd9541ac"/>
    <x:sheet xmlns:r="http://schemas.openxmlformats.org/officeDocument/2006/relationships" name="Business Baseline" sheetId="3" r:id="R13f024686f0446da"/>
    <x:sheet xmlns:r="http://schemas.openxmlformats.org/officeDocument/2006/relationships" name="Test Data" sheetId="4" r:id="R7916a762d0504b71"/>
    <x:sheet xmlns:r="http://schemas.openxmlformats.org/officeDocument/2006/relationships" name="Execution Log" sheetId="5" r:id="R090a14f113dc4aef"/>
    <x:sheet xmlns:r="http://schemas.openxmlformats.org/officeDocument/2006/relationships" name="Gap Log" sheetId="6" r:id="R95542b13e92549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yyyy-mm-dd"/>
    <x:numFmt numFmtId="202" formatCode="yyyy-mm-dd hh:mm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2558A6"/>
      </x:patternFill>
    </x:fill>
    <x:fill>
      <x:patternFill patternType="solid">
        <x:fgColor rgb="FFEEF5FB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2" xfId="0" applyNumberFormat="1" applyFont="1" applyFill="1" applyBorder="1" applyAlignment="1">
      <x:alignment horizontal="center"/>
    </x:xf>
    <x:xf numFmtId="0" fontId="1" fillId="3" borderId="3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 applyAlignment="1">
      <x:alignment horizontal="center"/>
    </x:xf>
    <x:xf numFmtId="0" fontId="0" fillId="4" borderId="5" xfId="0" applyNumberFormat="1" applyFont="1" applyFill="1" applyBorder="1"/>
    <x:xf numFmtId="0" fontId="0" fillId="4" borderId="0" xfId="0" applyNumberFormat="1" applyFont="1" applyFill="1" applyBorder="1"/>
    <x:xf numFmtId="0" fontId="0" fillId="4" borderId="6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5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6" xfId="0" applyNumberFormat="1" applyFont="1" applyFill="1" applyBorder="1" applyAlignment="1">
      <x:alignment vertical="top" wrapText="1"/>
    </x:xf>
    <x:xf numFmtId="0" fontId="0" fillId="4" borderId="7" xfId="0" applyNumberFormat="1" applyFont="1" applyFill="1" applyBorder="1" applyAlignment="1">
      <x:alignment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0" fillId="4" borderId="9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b99ca34ea5402e" /><Relationship Type="http://schemas.openxmlformats.org/officeDocument/2006/relationships/theme" Target="/xl/theme/theme1.xml" Id="R5d508331b8684871" /><Relationship Type="http://schemas.openxmlformats.org/officeDocument/2006/relationships/sharedStrings" Target="/xl/sharedStrings.xml" Id="R0566fed8767541b8" /><Relationship Type="http://schemas.openxmlformats.org/officeDocument/2006/relationships/worksheet" Target="/xl/worksheets/sheet1.xml" Id="Rd72c4b1001ee40a5" /><Relationship Type="http://schemas.openxmlformats.org/officeDocument/2006/relationships/worksheet" Target="/xl/worksheets/sheet2.xml" Id="R3e847c37cd9541ac" /><Relationship Type="http://schemas.openxmlformats.org/officeDocument/2006/relationships/worksheet" Target="/xl/worksheets/sheet3.xml" Id="R13f024686f0446da" /><Relationship Type="http://schemas.openxmlformats.org/officeDocument/2006/relationships/worksheet" Target="/xl/worksheets/sheet4.xml" Id="R7916a762d0504b71" /><Relationship Type="http://schemas.openxmlformats.org/officeDocument/2006/relationships/worksheet" Target="/xl/worksheets/sheet5.xml" Id="R090a14f113dc4aef" /><Relationship Type="http://schemas.openxmlformats.org/officeDocument/2006/relationships/worksheet" Target="/xl/worksheets/sheet6.xml" Id="R95542b13e92549af" /></Relationships>
</file>

<file path=xl/tables/table1.xml><?xml version="1.0" encoding="utf-8"?>
<x:table xmlns:x="http://schemas.openxmlformats.org/spreadsheetml/2006/main" id="1" name="BusinessE2ESteps" displayName="BusinessE2ESteps" ref="A4:O18" headerRowCount="1" totalsRowCount="0" totalsRowShown="0">
  <x:tableColumns count="15">
    <x:tableColumn id="1" name="Step ID"/>
    <x:tableColumn id="2" name="Seq"/>
    <x:tableColumn id="3" name="Phase"/>
    <x:tableColumn id="4" name="Business Object"/>
    <x:tableColumn id="5" name="Action"/>
    <x:tableColumn id="6" name="Expected Business Result"/>
    <x:tableColumn id="7" name="SRS / Decision Reference"/>
    <x:tableColumn id="8" name="DevInt Route"/>
    <x:tableColumn id="9" name="Execution Status"/>
    <x:tableColumn id="10" name="BA Confirmation"/>
    <x:tableColumn id="11" name="Test Data ID"/>
    <x:tableColumn id="12" name="Actual Result"/>
    <x:tableColumn id="13" name="Gap IDs"/>
    <x:tableColumn id="14" name="Evidence"/>
    <x:tableColumn id="15" name="Last Teste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usinessBaselineRules" displayName="BusinessBaselineRules" ref="A4:G16" headerRowCount="1" totalsRowCount="0" totalsRowShown="0">
  <x:tableColumns count="7">
    <x:tableColumn id="1" name="Rule ID"/>
    <x:tableColumn id="2" name="Area"/>
    <x:tableColumn id="3" name="Latest BA Rule"/>
    <x:tableColumn id="4" name="Current SRS State"/>
    <x:tableColumn id="5" name="Conflict"/>
    <x:tableColumn id="6" name="E2E Expectation"/>
    <x:tableColumn id="7" name="Source / 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usinessTestData" displayName="BusinessTestData" ref="A4:M12" headerRowCount="1" totalsRowCount="0" totalsRowShown="0">
  <x:tableColumns count="13">
    <x:tableColumn id="1" name="Data ID"/>
    <x:tableColumn id="2" name="Entity"/>
    <x:tableColumn id="3" name="Audit Name"/>
    <x:tableColumn id="4" name="DevInt Key/ID"/>
    <x:tableColumn id="5" name="Project"/>
    <x:tableColumn id="6" name="Team"/>
    <x:tableColumn id="7" name="Start Date"/>
    <x:tableColumn id="8" name="End Date"/>
    <x:tableColumn id="9" name="Initial Status"/>
    <x:tableColumn id="10" name="Current Status"/>
    <x:tableColumn id="11" name="Relations"/>
    <x:tableColumn id="12" name="Cleanup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BusinessExecutionLog" displayName="BusinessExecutionLog" ref="A4:J35" headerRowCount="1" totalsRowCount="0" totalsRowShown="0">
  <x:tableColumns count="10">
    <x:tableColumn id="1" name="Execution ID"/>
    <x:tableColumn id="2" name="Step ID"/>
    <x:tableColumn id="3" name="Timestamp"/>
    <x:tableColumn id="4" name="Surface"/>
    <x:tableColumn id="5" name="Action"/>
    <x:tableColumn id="6" name="Expected"/>
    <x:tableColumn id="7" name="Actual"/>
    <x:tableColumn id="8" name="Result"/>
    <x:tableColumn id="9" name="Evidence"/>
    <x:tableColumn id="10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usinessGapLog" displayName="BusinessGapLog" ref="A4:M20" headerRowCount="1" totalsRowCount="0" totalsRowShown="0">
  <x:tableColumns count="13">
    <x:tableColumn id="1" name="Gap ID"/>
    <x:tableColumn id="2" name="Step ID"/>
    <x:tableColumn id="3" name="Object/Screen"/>
    <x:tableColumn id="4" name="Expected Business"/>
    <x:tableColumn id="5" name="DevInt Actual"/>
    <x:tableColumn id="6" name="Gap Type"/>
    <x:tableColumn id="7" name="Severity"/>
    <x:tableColumn id="8" name="Recommendation"/>
    <x:tableColumn id="9" name="BA Decision"/>
    <x:tableColumn id="10" name="Owner"/>
    <x:tableColumn id="11" name="Retest"/>
    <x:tableColumn id="12" name="Evidence"/>
    <x:tableColumn id="13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8d731574e6048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bebe0ce01634a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9a130153dc40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96b40266575434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18008eefa5044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4" customHeight="1">
      <x:c r="A1" s="4" t="str">
        <x:v>Mini Rally - DevInt Business E2E Control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Execution summary</x:v>
      </x:c>
      <x:c r="B3" s="16" t="str">
        <x:v>Count</x:v>
      </x:c>
      <x:c r="D3" s="23" t="str">
        <x:v>Execution boundary</x:v>
      </x:c>
      <x:c r="E3" s="24"/>
      <x:c r="F3" s="24"/>
      <x:c r="G3" s="24"/>
      <x:c r="H3" s="25"/>
    </x:row>
    <x:row r="4" ht="26" customHeight="1">
      <x:c r="A4" s="44" t="str">
        <x:v>Total steps</x:v>
      </x:c>
      <x:c r="B4" s="45" t="n">
        <x:f>COUNTA('E2E Steps'!$A$5:$A$50)</x:f>
        <x:v>14</x:v>
      </x:c>
      <x:c r="D4" s="38" t="str">
        <x:v>UI and business behavior only. Test through the signed-in DevInt UI. Latest explicit BA decisions override stale SRS text and must be logged as documentation gaps. Controlled records use prefix BA-E2E-20260720 and remain for BA inspection.</x:v>
      </x:c>
      <x:c r="E4" s="39"/>
      <x:c r="F4" s="39"/>
      <x:c r="G4" s="39"/>
      <x:c r="H4" s="40"/>
    </x:row>
    <x:row r="5" ht="26" customHeight="1">
      <x:c r="A5" s="44" t="str">
        <x:v>Passed</x:v>
      </x:c>
      <x:c r="B5" s="45" t="n">
        <x:f>COUNTIF('E2E Steps'!$I$5:$I$50,"Passed")</x:f>
        <x:v>2</x:v>
      </x:c>
      <x:c r="D5" s="38"/>
      <x:c r="E5" s="39"/>
      <x:c r="F5" s="39"/>
      <x:c r="G5" s="39"/>
      <x:c r="H5" s="40"/>
    </x:row>
    <x:row r="6" ht="26" customHeight="1">
      <x:c r="A6" s="44" t="str">
        <x:v>Failed</x:v>
      </x:c>
      <x:c r="B6" s="45" t="n">
        <x:f>COUNTIF('E2E Steps'!$I$5:$I$50,"Failed")</x:f>
        <x:v>1</x:v>
      </x:c>
      <x:c r="D6" s="38"/>
      <x:c r="E6" s="39"/>
      <x:c r="F6" s="39"/>
      <x:c r="G6" s="39"/>
      <x:c r="H6" s="40"/>
    </x:row>
    <x:row r="7" ht="26" customHeight="1">
      <x:c r="A7" s="44" t="str">
        <x:v>Blocked</x:v>
      </x:c>
      <x:c r="B7" s="45" t="n">
        <x:f>COUNTIF('E2E Steps'!$I$5:$I$50,"Blocked")</x:f>
        <x:v>4</x:v>
      </x:c>
      <x:c r="D7" s="38"/>
      <x:c r="E7" s="39"/>
      <x:c r="F7" s="39"/>
      <x:c r="G7" s="39"/>
      <x:c r="H7" s="40"/>
    </x:row>
    <x:row r="8" ht="26" customHeight="1">
      <x:c r="A8" s="44" t="str">
        <x:v>Not Testable</x:v>
      </x:c>
      <x:c r="B8" s="45" t="n">
        <x:f>COUNTIF('E2E Steps'!$I$5:$I$50,"Not Testable")</x:f>
        <x:v>2</x:v>
      </x:c>
      <x:c r="D8" s="38"/>
      <x:c r="E8" s="39"/>
      <x:c r="F8" s="39"/>
      <x:c r="G8" s="39"/>
      <x:c r="H8" s="40"/>
    </x:row>
    <x:row r="9" ht="26" customHeight="1">
      <x:c r="A9" s="44" t="str">
        <x:v>In Progress</x:v>
      </x:c>
      <x:c r="B9" s="45" t="n">
        <x:f>COUNTIF('E2E Steps'!$I$5:$I$50,"In Progress")</x:f>
        <x:v>0</x:v>
      </x:c>
      <x:c r="D9" s="38"/>
      <x:c r="E9" s="39"/>
      <x:c r="F9" s="39"/>
      <x:c r="G9" s="39"/>
      <x:c r="H9" s="40"/>
    </x:row>
    <x:row r="10" ht="26" customHeight="1">
      <x:c r="A10" s="44" t="str">
        <x:v>Not Started</x:v>
      </x:c>
      <x:c r="B10" s="45" t="n">
        <x:f>COUNTIF('E2E Steps'!$I$5:$I$50,"Not Started")</x:f>
        <x:v>5</x:v>
      </x:c>
      <x:c r="D10" s="38"/>
      <x:c r="E10" s="39"/>
      <x:c r="F10" s="39"/>
      <x:c r="G10" s="39"/>
      <x:c r="H10" s="40"/>
    </x:row>
    <x:row r="11" ht="26" customHeight="1">
      <x:c r="A11" s="44" t="str">
        <x:v>Logged gaps</x:v>
      </x:c>
      <x:c r="B11" s="45" t="n">
        <x:f>COUNTA('Gap Log'!$A$5:$A$100)</x:f>
        <x:v>16</x:v>
      </x:c>
      <x:c r="D11" s="41"/>
      <x:c r="E11" s="42"/>
      <x:c r="F11" s="42"/>
      <x:c r="G11" s="42"/>
      <x:c r="H11" s="43"/>
    </x:row>
  </x:sheetData>
  <x:mergeCells>
    <x:mergeCell ref="A1:H1"/>
    <x:mergeCell ref="D3:H3"/>
    <x:mergeCell ref="D4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7" hidden="0" customWidth="1"/>
    <x:col min="3" max="3" width="12" hidden="0" customWidth="1"/>
    <x:col min="4" max="4" width="20" hidden="0" customWidth="1"/>
    <x:col min="5" max="5" width="28" hidden="0" customWidth="1"/>
    <x:col min="6" max="6" width="42" hidden="0" customWidth="1"/>
    <x:col min="7" max="7" width="34" hidden="0" customWidth="1"/>
    <x:col min="8" max="8" width="24" hidden="0" customWidth="1"/>
    <x:col min="9" max="9" width="17" hidden="0" customWidth="1"/>
    <x:col min="10" max="10" width="20" hidden="0" customWidth="1"/>
    <x:col min="11" max="11" width="24" hidden="0" customWidth="1"/>
    <x:col min="12" max="12" width="42" hidden="0" customWidth="1"/>
    <x:col min="13" max="13" width="18" hidden="0" customWidth="1"/>
    <x:col min="14" max="14" width="28" hidden="0" customWidth="1"/>
    <x:col min="15" max="15" width="14" hidden="0" customWidth="1"/>
  </x:cols>
  <x:sheetData>
    <x:row r="1" ht="32" customHeight="1">
      <x:c r="A1" s="3" t="str">
        <x:v>Business E2E Steps - DevInt vs BA Baseline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4">
      <x:c r="A4" s="46" t="str">
        <x:v>Step ID</x:v>
      </x:c>
      <x:c r="B4" s="46" t="str">
        <x:v>Seq</x:v>
      </x:c>
      <x:c r="C4" s="46" t="str">
        <x:v>Phase</x:v>
      </x:c>
      <x:c r="D4" s="46" t="str">
        <x:v>Business Object</x:v>
      </x:c>
      <x:c r="E4" s="46" t="str">
        <x:v>Action</x:v>
      </x:c>
      <x:c r="F4" s="46" t="str">
        <x:v>Expected Business Result</x:v>
      </x:c>
      <x:c r="G4" s="46" t="str">
        <x:v>SRS / Decision Reference</x:v>
      </x:c>
      <x:c r="H4" s="46" t="str">
        <x:v>DevInt Route</x:v>
      </x:c>
      <x:c r="I4" s="46" t="str">
        <x:v>Execution Status</x:v>
      </x:c>
      <x:c r="J4" s="46" t="str">
        <x:v>BA Confirmation</x:v>
      </x:c>
      <x:c r="K4" s="46" t="str">
        <x:v>Test Data ID</x:v>
      </x:c>
      <x:c r="L4" s="46" t="str">
        <x:v>Actual Result</x:v>
      </x:c>
      <x:c r="M4" s="46" t="str">
        <x:v>Gap IDs</x:v>
      </x:c>
      <x:c r="N4" s="46" t="str">
        <x:v>Evidence</x:v>
      </x:c>
      <x:c r="O4" s="46" t="str">
        <x:v>Last Tested</x:v>
      </x:c>
    </x:row>
    <x:row r="5" ht="66" customHeight="1">
      <x:c r="A5" s="46" t="str">
        <x:v>E2E-00</x:v>
      </x:c>
      <x:c r="B5" s="46" t="n">
        <x:v>0</x:v>
      </x:c>
      <x:c r="C5" s="46" t="str">
        <x:v>Preflight</x:v>
      </x:c>
      <x:c r="D5" s="46" t="str">
        <x:v>Context</x:v>
      </x:c>
      <x:c r="E5" s="46" t="str">
        <x:v>Confirm signed-in Workspace/Project/Team context</x:v>
      </x:c>
      <x:c r="F5" s="46" t="str">
        <x:v>Authorized context is visible and stable for all created records</x:v>
      </x:c>
      <x:c r="G5" s="46" t="str">
        <x:v>Phase 0 Workspace + latest BA scope</x:v>
      </x:c>
      <x:c r="H5" s="46" t="str">
        <x:v>App shell</x:v>
      </x:c>
      <x:c r="I5" s="46" t="str">
        <x:v>Not Testable</x:v>
      </x:c>
      <x:c r="J5" s="46" t="str">
        <x:v>Confirmed</x:v>
      </x:c>
      <x:c r="K5" s="46" t="str">
        <x:v>CTX-01</x:v>
      </x:c>
      <x:c r="L5" s="46" t="str">
        <x:v>Signed in as Hieu Vu Minh Bui; context ACME Corp / NXP / All Teams. BA directed use of No team because Team data is not currently testable.</x:v>
      </x:c>
      <x:c r="M5" s="46" t="str">
        <x:v>DEV-003</x:v>
      </x:c>
      <x:c r="N5" s="46" t="str">
        <x:v>evidence/E2E-01/02-team-not-linked.png</x:v>
      </x:c>
      <x:c r="O5" s="47" t="n">
        <x:v>46223</x:v>
      </x:c>
    </x:row>
    <x:row r="6" ht="66" customHeight="1">
      <x:c r="A6" s="46" t="str">
        <x:v>E2E-01</x:v>
      </x:c>
      <x:c r="B6" s="46" t="n">
        <x:v>1</x:v>
      </x:c>
      <x:c r="C6" s="46" t="str">
        <x:v>Phase 2</x:v>
      </x:c>
      <x:c r="D6" s="46" t="str">
        <x:v>Iteration</x:v>
      </x:c>
      <x:c r="E6" s="46" t="str">
        <x:v>Create one controlled Iteration</x:v>
      </x:c>
      <x:c r="F6" s="46" t="str">
        <x:v>Exactly one Iteration is created with default Planning and valid dates/context</x:v>
      </x:c>
      <x:c r="G6" s="46" t="str">
        <x:v>Reconciliation C04 + P2 Iterations</x:v>
      </x:c>
      <x:c r="H6" s="46" t="str">
        <x:v>/timeboxes</x:v>
      </x:c>
      <x:c r="I6" s="46" t="str">
        <x:v>Passed</x:v>
      </x:c>
      <x:c r="J6" s="46" t="str">
        <x:v>Confirmed</x:v>
      </x:c>
      <x:c r="K6" s="46" t="str">
        <x:v>IT-01</x:v>
      </x:c>
      <x:c r="L6" s="46" t="str">
        <x:v>Created IT-5 once with No team, dates 2026-07-21..2026-08-03 and default Planning; record persisted after reload. Planning/Committed/Accepted matches the confirmed reconciliation lifecycle.</x:v>
      </x:c>
      <x:c r="M6" s="46" t="str">
        <x:v>DEV-002; DEV-003</x:v>
      </x:c>
      <x:c r="N6" s="46" t="str">
        <x:v>evidence/E2E-01/03-create-no-team.png; evidence/E2E-01/04-created-persisted.png</x:v>
      </x:c>
      <x:c r="O6" s="47" t="n">
        <x:v>46223</x:v>
      </x:c>
    </x:row>
    <x:row r="7" ht="66" customHeight="1">
      <x:c r="A7" s="46" t="str">
        <x:v>E2E-02</x:v>
      </x:c>
      <x:c r="B7" s="46" t="n">
        <x:v>2</x:v>
      </x:c>
      <x:c r="C7" s="46" t="str">
        <x:v>Phase 3</x:v>
      </x:c>
      <x:c r="D7" s="46" t="str">
        <x:v>Release</x:v>
      </x:c>
      <x:c r="E7" s="46" t="str">
        <x:v>Create two controlled Releases</x:v>
      </x:c>
      <x:c r="F7" s="46" t="str">
        <x:v>Each Release is Project-level; status catalog is Planning/Active/Accepted</x:v>
      </x:c>
      <x:c r="G7" s="46" t="str">
        <x:v>P3 Release FR-001..015 + reconciliation C01/C07</x:v>
      </x:c>
      <x:c r="H7" s="46" t="str">
        <x:v>Timeboxes &gt; Releases</x:v>
      </x:c>
      <x:c r="I7" s="46" t="str">
        <x:v>Passed</x:v>
      </x:c>
      <x:c r="J7" s="46" t="str">
        <x:v>Confirmed</x:v>
      </x:c>
      <x:c r="K7" s="46" t="str">
        <x:v>REL-01; REL-02</x:v>
      </x:c>
      <x:c r="L7" s="46" t="str">
        <x:v>Release A and B were created once, defaulted Planning, retained dates after reload, and exposed exactly Planning/Active/Accepted. BA confirmed relocation to Timeboxes and Phase 5 ownership of Progress.</x:v>
      </x:c>
      <x:c r="M7" s="46" t="str">
        <x:v>DEV-004; DEV-005</x:v>
      </x:c>
      <x:c r="N7" s="46" t="str">
        <x:v>evidence/E2E-02/01-release-a-form.png; evidence/E2E-02/02-release-b-form.png; evidence/E2E-02/03-releases-persisted.png</x:v>
      </x:c>
      <x:c r="O7" s="47" t="n">
        <x:v>46223</x:v>
      </x:c>
    </x:row>
    <x:row r="8" ht="66" customHeight="1">
      <x:c r="A8" s="46" t="str">
        <x:v>E2E-03</x:v>
      </x:c>
      <x:c r="B8" s="46" t="n">
        <x:v>3</x:v>
      </x:c>
      <x:c r="C8" s="46" t="str">
        <x:v>Phase 3</x:v>
      </x:c>
      <x:c r="D8" s="46" t="str">
        <x:v>Milestone</x:v>
      </x:c>
      <x:c r="E8" s="46" t="str">
        <x:v>Create one controlled Milestone and link both Releases</x:v>
      </x:c>
      <x:c r="F8" s="46" t="str">
        <x:v>Milestone status catalog matches; target dates derive from earliest Release start and latest Release end</x:v>
      </x:c>
      <x:c r="G8" s="46" t="str">
        <x:v>P3 Milestones FR-001..013 + reconciliation C01</x:v>
      </x:c>
      <x:c r="H8" s="46" t="str">
        <x:v>Timeboxes &gt; Milestones</x:v>
      </x:c>
      <x:c r="I8" s="46" t="str">
        <x:v>Blocked</x:v>
      </x:c>
      <x:c r="J8" s="46" t="str">
        <x:v>Confirmed</x:v>
      </x:c>
      <x:c r="K8" s="46" t="str">
        <x:v>MS-01</x:v>
      </x:c>
      <x:c r="L8" s="46" t="str">
        <x:v>Standalone Milestone was created once with Planned and blank derived dates. Create/Edit both show No releases available, so Release linkage and expected 2026-07-20..2026-08-31 derivation cannot be executed. BA confirmed the gap and fix direction.</x:v>
      </x:c>
      <x:c r="M8" s="46" t="str">
        <x:v>DEV-006</x:v>
      </x:c>
      <x:c r="N8" s="46" t="str">
        <x:v>evidence/E2E-03/01-form-no-releases.png; evidence/E2E-03/02-milestone-persisted.png; evidence/E2E-03/03-edit-no-releases.png</x:v>
      </x:c>
      <x:c r="O8" s="47" t="n">
        <x:v>46223</x:v>
      </x:c>
    </x:row>
    <x:row r="9" ht="66" customHeight="1">
      <x:c r="A9" s="46" t="str">
        <x:v>E2E-04</x:v>
      </x:c>
      <x:c r="B9" s="46" t="n">
        <x:v>4</x:v>
      </x:c>
      <x:c r="C9" s="46" t="str">
        <x:v>Phase 1</x:v>
      </x:c>
      <x:c r="D9" s="46" t="str">
        <x:v>Story/Defect</x:v>
      </x:c>
      <x:c r="E9" s="46" t="str">
        <x:v>Create one Story from Backlog</x:v>
      </x:c>
      <x:c r="F9" s="46" t="str">
        <x:v>Exactly one Story is created; Schedule and Flow default Idea and mirror</x:v>
      </x:c>
      <x:c r="G9" s="46" t="str">
        <x:v>P1 Work Item Create FR-001..013 + confirmed reconciliation C02</x:v>
      </x:c>
      <x:c r="H9" s="46" t="str">
        <x:v>/backlog</x:v>
      </x:c>
      <x:c r="I9" s="46" t="str">
        <x:v>Blocked</x:v>
      </x:c>
      <x:c r="J9" s="46" t="str">
        <x:v>Confirmed</x:v>
      </x:c>
      <x:c r="K9" s="46" t="str">
        <x:v>WI-01</x:v>
      </x:c>
      <x:c r="L9" s="46" t="str">
        <x:v>Create failed twice. No team returns a generic unexpected error (ref c13cf2d5-6ac5-4a87-aac2-5959c1a55fd2); Team Alpha returns Team is not linked to this project. Exact-title search confirms no record. BA directed DEV-007/008 to Dev and reconfirmed DEV-009 against the Dev testing align business baseline.</x:v>
      </x:c>
      <x:c r="M9" s="46" t="str">
        <x:v>DEV-007; DEV-008; DEV-009</x:v>
      </x:c>
      <x:c r="N9" s="46" t="str">
        <x:v>evidence/E2E-04/01-create-form.png; evidence/E2E-04/02-no-team-unexpected-error.png; evidence/E2E-04/03-team-not-linked.png; evidence/E2E-04/04-no-record-after-attempts.png</x:v>
      </x:c>
      <x:c r="O9" s="47" t="n">
        <x:v>46223</x:v>
      </x:c>
    </x:row>
    <x:row r="10" ht="66" customHeight="1">
      <x:c r="A10" s="46" t="str">
        <x:v>E2E-05</x:v>
      </x:c>
      <x:c r="B10" s="46" t="n">
        <x:v>5</x:v>
      </x:c>
      <x:c r="C10" s="46" t="str">
        <x:v>Phase 2</x:v>
      </x:c>
      <x:c r="D10" s="46" t="str">
        <x:v>Assignment</x:v>
      </x:c>
      <x:c r="E10" s="46" t="str">
        <x:v>Assign an existing Story to controlled Iteration</x:v>
      </x:c>
      <x:c r="F10" s="46" t="str">
        <x:v>Assignment persists; same Work Item can be checked in Iteration Status when a valid Team context exists; Iteration remains Planning</x:v>
      </x:c>
      <x:c r="G10" s="46" t="str">
        <x:v>P2 Iterations lifecycle + BA decision: no All Teams requirement</x:v>
      </x:c>
      <x:c r="H10" s="46" t="str">
        <x:v>/backlog; /iteration-status</x:v>
      </x:c>
      <x:c r="I10" s="46" t="str">
        <x:v>Not Testable</x:v>
      </x:c>
      <x:c r="J10" s="46" t="str">
        <x:v>Confirmed</x:v>
      </x:c>
      <x:c r="K10" s="46" t="str">
        <x:v>WI-01 / US-12 -&gt; IT-01</x:v>
      </x:c>
      <x:c r="L10" s="46" t="str">
        <x:v>US-12 was assigned inline to IT-5 and persisted after Backlog reload; IT-5 remained Planning. BA confirmed Iteration Status does not need All Teams support. Cross-screen display is deferred because IT-5 has No team and Team behavior is currently Not Testable.</x:v>
      </x:c>
      <x:c r="M10" s="46" t="str">
        <x:v>DEV-010</x:v>
      </x:c>
      <x:c r="N10" s="46" t="str">
        <x:v>evidence/E2E-05/01-us12-before-assignment.png; evidence/E2E-05/02-us12-assigned-inline.png; evidence/E2E-05/03-us12-assignment-persisted.png; evidence/E2E-05/04-iteration-status-no-iterations.png; evidence/E2E-05/05-team-alpha-iteration-status.png</x:v>
      </x:c>
      <x:c r="O10" s="47" t="n">
        <x:v>46223</x:v>
      </x:c>
    </x:row>
    <x:row r="11" ht="66" customHeight="1">
      <x:c r="A11" s="46" t="str">
        <x:v>E2E-06</x:v>
      </x:c>
      <x:c r="B11" s="46" t="n">
        <x:v>6</x:v>
      </x:c>
      <x:c r="C11" s="46" t="str">
        <x:v>Phase 3</x:v>
      </x:c>
      <x:c r="D11" s="46" t="str">
        <x:v>Release/Milestone Assignment</x:v>
      </x:c>
      <x:c r="E11" s="46" t="str">
        <x:v>Assign Story to one active Release and multiple eligible Milestones</x:v>
      </x:c>
      <x:c r="F11" s="46" t="str">
        <x:v>Release is single-select; Milestones are multi-select; relations persist independently and selected Milestones survive Release changes</x:v>
      </x:c>
      <x:c r="G11" s="46" t="str">
        <x:v>Reconciliation C01 + P3 Release/Milestone SRS</x:v>
      </x:c>
      <x:c r="H11" s="46" t="str">
        <x:v>Work Item Detail; Backlog</x:v>
      </x:c>
      <x:c r="I11" s="46" t="str">
        <x:v>Blocked</x:v>
      </x:c>
      <x:c r="J11" s="46" t="str">
        <x:v>Confirmed</x:v>
      </x:c>
      <x:c r="K11" s="46" t="str">
        <x:v>WI-01 / US-12 -&gt; REL-02; planned MS-01</x:v>
      </x:c>
      <x:c r="L11" s="46" t="str">
        <x:v>US-12 accepted Release A, then Release B replaced A and persisted after reload; Backlog mirrored Release B and retained IT-5. Work Item Detail has no Milestone field. BA confirmed DEV-011 as a Dev change.</x:v>
      </x:c>
      <x:c r="M11" s="46" t="str">
        <x:v>DEV-011</x:v>
      </x:c>
      <x:c r="N11" s="46" t="str">
        <x:v>evidence/E2E-06/01-us12-detail-mismatch.png; evidence/E2E-06/02-us12-release-a.png; evidence/E2E-06/03-us12-release-b-replaces-a.png; evidence/E2E-06/04-us12-release-b-persisted-no-milestone.png; evidence/E2E-06/05-us12-release-b-backlog-mirror.png</x:v>
      </x:c>
      <x:c r="O11" s="47" t="n">
        <x:v>46223</x:v>
      </x:c>
    </x:row>
    <x:row r="12" ht="66" customHeight="1">
      <x:c r="A12" s="46" t="str">
        <x:v>E2E-07</x:v>
      </x:c>
      <x:c r="B12" s="46" t="n">
        <x:v>7</x:v>
      </x:c>
      <x:c r="C12" s="46" t="str">
        <x:v>Phase 1</x:v>
      </x:c>
      <x:c r="D12" s="46" t="str">
        <x:v>Task</x:v>
      </x:c>
      <x:c r="E12" s="46" t="str">
        <x:v>Create two Tasks under the Story</x:v>
      </x:c>
      <x:c r="F12" s="46" t="str">
        <x:v>Tasks create exactly once, inherit parent context, default Defined, update the tab count and never appear as Backlog rows</x:v>
      </x:c>
      <x:c r="G12" s="46" t="str">
        <x:v>P1 Task Management + latest BA rules</x:v>
      </x:c>
      <x:c r="H12" s="46" t="str">
        <x:v>Work Item Detail &gt; Tasks</x:v>
      </x:c>
      <x:c r="I12" s="46" t="str">
        <x:v>Failed</x:v>
      </x:c>
      <x:c r="J12" s="46" t="str">
        <x:v>Confirmed</x:v>
      </x:c>
      <x:c r="K12" s="46" t="str">
        <x:v>TA-01; TA-02</x:v>
      </x:c>
      <x:c r="L12" s="46" t="str">
        <x:v>TA-8 and TA-9 were created once under US-12, defaulted Defined, showed Project NXP / no Team, persisted after reload, and did not appear in Backlog. Totals Estimate became 6h and Detail roll-up became 6/0/0, but the tab remained 0 Tasks. Create Task still accepts editable Estimate with no To Do/Actuals, and Task rows expose no inline edit controls. BA confirmed DEV-012/013/014 for Dev correction.</x:v>
      </x:c>
      <x:c r="M12" s="46" t="str">
        <x:v>DEV-012; DEV-013; DEV-014</x:v>
      </x:c>
      <x:c r="N12" s="46" t="str">
        <x:v>evidence/E2E-07/01-empty-task-dashboard.png; evidence/E2E-07/02-add-task-form.png; evidence/E2E-07/03-task-a-created.png; evidence/E2E-07/04-task-b-created-count-mismatch.png; evidence/E2E-07/05-tasks-persisted-after-reload.png; evidence/E2E-07/06-tasks-not-in-backlog.png</x:v>
      </x:c>
      <x:c r="O12" s="47" t="n">
        <x:v>46223</x:v>
      </x:c>
    </x:row>
    <x:row r="13" ht="66" customHeight="1">
      <x:c r="A13" s="46" t="str">
        <x:v>E2E-08</x:v>
      </x:c>
      <x:c r="B13" s="46" t="n">
        <x:v>8</x:v>
      </x:c>
      <x:c r="C13" s="46" t="str">
        <x:v>Phase 1</x:v>
      </x:c>
      <x:c r="D13" s="46" t="str">
        <x:v>Task Time</x:v>
      </x:c>
      <x:c r="E13" s="46" t="str">
        <x:v>Set To Do and Actuals</x:v>
      </x:c>
      <x:c r="F13" s="46" t="str">
        <x:v>Estimate is read-only To Do + Actuals; row and Totals recalculate immediately</x:v>
      </x:c>
      <x:c r="G13" s="46" t="str">
        <x:v>Latest BA decision; P1 Time SRS requires reconciliation</x:v>
      </x:c>
      <x:c r="H13" s="46" t="str">
        <x:v>Task Dashboard/Detail</x:v>
      </x:c>
      <x:c r="I13" s="46" t="str">
        <x:v>Blocked</x:v>
      </x:c>
      <x:c r="J13" s="46" t="str">
        <x:v>Pending</x:v>
      </x:c>
      <x:c r="K13" s="46" t="str">
        <x:v>TA-01; TA-02</x:v>
      </x:c>
      <x:c r="L13" s="46" t="str">
        <x:v>Not executed. DevInt was turned off after the E2E-07 confirmation; resume from this checkpoint when the environment is available.</x:v>
      </x:c>
      <x:c r="M13" s="46" t="str"/>
      <x:c r="N13" s="46" t="str"/>
      <x:c r="O13" s="47" t="n">
        <x:v>46223</x:v>
      </x:c>
    </x:row>
    <x:row r="14" ht="66" customHeight="1">
      <x:c r="A14" s="46" t="str">
        <x:v>E2E-09</x:v>
      </x:c>
      <x:c r="B14" s="46" t="n">
        <x:v>9</x:v>
      </x:c>
      <x:c r="C14" s="46" t="str">
        <x:v>Phase 1</x:v>
      </x:c>
      <x:c r="D14" s="46" t="str">
        <x:v>Task Status</x:v>
      </x:c>
      <x:c r="E14" s="46" t="str">
        <x:v>Complete all Tasks</x:v>
      </x:c>
      <x:c r="F14" s="46" t="str">
        <x:v>Each Task becomes Completed and parent Story auto-changes to Completed</x:v>
      </x:c>
      <x:c r="G14" s="46" t="str">
        <x:v>Latest BA Task propagation rule</x:v>
      </x:c>
      <x:c r="H14" s="46" t="str">
        <x:v>Task Dashboard/Detail</x:v>
      </x:c>
      <x:c r="I14" s="46" t="str">
        <x:v>Not Started</x:v>
      </x:c>
      <x:c r="J14" s="46" t="str">
        <x:v>Pending</x:v>
      </x:c>
      <x:c r="K14" s="46" t="str">
        <x:v>TA-01; TA-02 -&gt; WI-01</x:v>
      </x:c>
      <x:c r="L14" s="46" t="str"/>
      <x:c r="M14" s="46" t="str"/>
      <x:c r="N14" s="46" t="str"/>
      <x:c r="O14" s="47"/>
    </x:row>
    <x:row r="15" ht="66" customHeight="1">
      <x:c r="A15" s="46" t="str">
        <x:v>E2E-10</x:v>
      </x:c>
      <x:c r="B15" s="46" t="n">
        <x:v>10</x:v>
      </x:c>
      <x:c r="C15" s="46" t="str">
        <x:v>Phase 1</x:v>
      </x:c>
      <x:c r="D15" s="46" t="str">
        <x:v>Task Reopen</x:v>
      </x:c>
      <x:c r="E15" s="46" t="str">
        <x:v>Move one completed Task to In-Progress</x:v>
      </x:c>
      <x:c r="F15" s="46" t="str">
        <x:v>Parent Story auto-moves to In-Progress; user still retains manual Work Item control</x:v>
      </x:c>
      <x:c r="G15" s="46" t="str">
        <x:v>Latest BA Task propagation rule</x:v>
      </x:c>
      <x:c r="H15" s="46" t="str">
        <x:v>Task Dashboard/Detail</x:v>
      </x:c>
      <x:c r="I15" s="46" t="str">
        <x:v>Not Started</x:v>
      </x:c>
      <x:c r="J15" s="46" t="str">
        <x:v>Pending</x:v>
      </x:c>
      <x:c r="K15" s="46" t="str">
        <x:v>TA-01 -&gt; WI-01</x:v>
      </x:c>
      <x:c r="L15" s="46" t="str"/>
      <x:c r="M15" s="46" t="str"/>
      <x:c r="N15" s="46" t="str"/>
      <x:c r="O15" s="47"/>
    </x:row>
    <x:row r="16" ht="66" customHeight="1">
      <x:c r="A16" s="46" t="str">
        <x:v>E2E-11</x:v>
      </x:c>
      <x:c r="B16" s="46" t="n">
        <x:v>11</x:v>
      </x:c>
      <x:c r="C16" s="46" t="str">
        <x:v>Phase 1</x:v>
      </x:c>
      <x:c r="D16" s="46" t="str">
        <x:v>Work Item Status</x:v>
      </x:c>
      <x:c r="E16" s="46" t="str">
        <x:v>Walk Schedule/Flow through the six-state catalog</x:v>
      </x:c>
      <x:c r="F16" s="46" t="str">
        <x:v>Both fields use Idea/Defined/In-Progress/Completed/Accepted/Release and mirror both ways</x:v>
      </x:c>
      <x:c r="G16" s="46" t="str">
        <x:v>P1 Work Item Create/Detail confirmed catalog</x:v>
      </x:c>
      <x:c r="H16" s="46" t="str">
        <x:v>Backlog; Work Item Detail; Iteration Status</x:v>
      </x:c>
      <x:c r="I16" s="46" t="str">
        <x:v>Not Started</x:v>
      </x:c>
      <x:c r="J16" s="46" t="str">
        <x:v>Pending</x:v>
      </x:c>
      <x:c r="K16" s="46" t="str">
        <x:v>WI-01</x:v>
      </x:c>
      <x:c r="L16" s="46" t="str"/>
      <x:c r="M16" s="46" t="str"/>
      <x:c r="N16" s="46" t="str"/>
      <x:c r="O16" s="47"/>
    </x:row>
    <x:row r="17" ht="66" customHeight="1">
      <x:c r="A17" s="46" t="str">
        <x:v>E2E-12</x:v>
      </x:c>
      <x:c r="B17" s="46" t="n">
        <x:v>12</x:v>
      </x:c>
      <x:c r="C17" s="46" t="str">
        <x:v>Phase 2</x:v>
      </x:c>
      <x:c r="D17" s="46" t="str">
        <x:v>Iteration Acceptance</x:v>
      </x:c>
      <x:c r="E17" s="46" t="str">
        <x:v>Set all scoped Story/Defect items to Accepted</x:v>
      </x:c>
      <x:c r="F17" s="46" t="str">
        <x:v>Non-empty Iteration auto-changes to Accepted; user can still manually edit status</x:v>
      </x:c>
      <x:c r="G17" s="46" t="str">
        <x:v>P2 Iterations lifecycle baseline</x:v>
      </x:c>
      <x:c r="H17" s="46" t="str">
        <x:v>/iteration-status; /timeboxes</x:v>
      </x:c>
      <x:c r="I17" s="46" t="str">
        <x:v>Not Started</x:v>
      </x:c>
      <x:c r="J17" s="46" t="str">
        <x:v>Pending</x:v>
      </x:c>
      <x:c r="K17" s="46" t="str">
        <x:v>IT-01</x:v>
      </x:c>
      <x:c r="L17" s="46" t="str"/>
      <x:c r="M17" s="46" t="str"/>
      <x:c r="N17" s="46" t="str"/>
      <x:c r="O17" s="47"/>
    </x:row>
    <x:row r="18" ht="66" customHeight="1">
      <x:c r="A18" s="46" t="str">
        <x:v>E2E-13</x:v>
      </x:c>
      <x:c r="B18" s="46" t="n">
        <x:v>13</x:v>
      </x:c>
      <x:c r="C18" s="46" t="str">
        <x:v>Phase 2</x:v>
      </x:c>
      <x:c r="D18" s="46" t="str">
        <x:v>No-lock / Manual Override</x:v>
      </x:c>
      <x:c r="E18" s="46" t="str">
        <x:v>Manually change Iteration status and add/move scope</x:v>
      </x:c>
      <x:c r="F18" s="46" t="str">
        <x:v>No status locks scope; authorized user retains manual status and assignment control</x:v>
      </x:c>
      <x:c r="G18" s="46" t="str">
        <x:v>P2 Iterations lifecycle baseline</x:v>
      </x:c>
      <x:c r="H18" s="46" t="str">
        <x:v>/timeboxes; /backlog</x:v>
      </x:c>
      <x:c r="I18" s="46" t="str">
        <x:v>Not Started</x:v>
      </x:c>
      <x:c r="J18" s="46" t="str">
        <x:v>Pending</x:v>
      </x:c>
      <x:c r="K18" s="46" t="str">
        <x:v>IT-01; WI-01</x:v>
      </x:c>
      <x:c r="L18" s="46" t="str"/>
      <x:c r="M18" s="46" t="str"/>
      <x:c r="N18" s="46" t="str"/>
      <x:c r="O18" s="47"/>
    </x:row>
    <x:row r="19">
      <x:c r="O19" s="48"/>
    </x:row>
    <x:row r="20">
      <x:c r="O20" s="48"/>
    </x:row>
    <x:row r="21">
      <x:c r="O21" s="48"/>
    </x:row>
    <x:row r="22">
      <x:c r="O22" s="48"/>
    </x:row>
    <x:row r="23">
      <x:c r="O23" s="48"/>
    </x:row>
    <x:row r="24">
      <x:c r="O24" s="48"/>
    </x:row>
    <x:row r="25">
      <x:c r="O25" s="48"/>
    </x:row>
    <x:row r="26">
      <x:c r="O26" s="48"/>
    </x:row>
    <x:row r="27">
      <x:c r="O27" s="48"/>
    </x:row>
    <x:row r="28">
      <x:c r="O28" s="48"/>
    </x:row>
    <x:row r="29">
      <x:c r="O29" s="48"/>
    </x:row>
    <x:row r="30">
      <x:c r="O30" s="48"/>
    </x:row>
    <x:row r="31">
      <x:c r="O31" s="48"/>
    </x:row>
    <x:row r="32">
      <x:c r="O32" s="48"/>
    </x:row>
    <x:row r="33">
      <x:c r="O33" s="48"/>
    </x:row>
    <x:row r="34">
      <x:c r="O34" s="48"/>
    </x:row>
    <x:row r="35">
      <x:c r="O35" s="48"/>
    </x:row>
    <x:row r="36">
      <x:c r="O36" s="48"/>
    </x:row>
    <x:row r="37">
      <x:c r="O37" s="48"/>
    </x:row>
    <x:row r="38">
      <x:c r="O38" s="48"/>
    </x:row>
    <x:row r="39">
      <x:c r="O39" s="48"/>
    </x:row>
    <x:row r="40">
      <x:c r="O40" s="48"/>
    </x:row>
    <x:row r="41">
      <x:c r="O41" s="48"/>
    </x:row>
    <x:row r="42">
      <x:c r="O42" s="48"/>
    </x:row>
    <x:row r="43">
      <x:c r="O43" s="48"/>
    </x:row>
    <x:row r="44">
      <x:c r="O44" s="48"/>
    </x:row>
    <x:row r="45">
      <x:c r="O45" s="48"/>
    </x:row>
    <x:row r="46">
      <x:c r="O46" s="48"/>
    </x:row>
    <x:row r="47">
      <x:c r="O47" s="48"/>
    </x:row>
    <x:row r="48">
      <x:c r="O48" s="48"/>
    </x:row>
    <x:row r="49">
      <x:c r="O49" s="48"/>
    </x:row>
    <x:row r="50">
      <x:c r="O50" s="48"/>
    </x:row>
  </x:sheetData>
  <x:mergeCells>
    <x:mergeCell ref="A1:O1"/>
  </x:mergeCells>
  <x:dataValidations count="2">
    <x:dataValidation type="list" sqref="I5:I50">
      <x:formula1>"Not Started,In Progress,Passed,Failed,Blocked,Not Testable"</x:formula1>
    </x:dataValidation>
    <x:dataValidation type="list" sqref="J5:J50">
      <x:formula1>"Pending,Confirmed,Fix Direction Approved,Not Required"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8d731574e6048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46" hidden="0" customWidth="1"/>
    <x:col min="4" max="4" width="38" hidden="0" customWidth="1"/>
    <x:col min="5" max="5" width="12" hidden="0" customWidth="1"/>
    <x:col min="6" max="6" width="44" hidden="0" customWidth="1"/>
    <x:col min="7" max="7" width="34" hidden="0" customWidth="1"/>
  </x:cols>
  <x:sheetData>
    <x:row r="1" ht="32" customHeight="1">
      <x:c r="A1" s="3" t="str">
        <x:v>Latest BA Business Baseline and SRS Reconciliation</x:v>
      </x:c>
      <x:c r="B1" s="3"/>
      <x:c r="C1" s="3"/>
      <x:c r="D1" s="3"/>
      <x:c r="E1" s="3"/>
      <x:c r="F1" s="3"/>
      <x:c r="G1" s="3"/>
    </x:row>
    <x:row r="4">
      <x:c r="A4" s="46" t="str">
        <x:v>Rule ID</x:v>
      </x:c>
      <x:c r="B4" s="46" t="str">
        <x:v>Area</x:v>
      </x:c>
      <x:c r="C4" s="46" t="str">
        <x:v>Latest BA Rule</x:v>
      </x:c>
      <x:c r="D4" s="46" t="str">
        <x:v>Current SRS State</x:v>
      </x:c>
      <x:c r="E4" s="46" t="str">
        <x:v>Conflict</x:v>
      </x:c>
      <x:c r="F4" s="46" t="str">
        <x:v>E2E Expectation</x:v>
      </x:c>
      <x:c r="G4" s="46" t="str">
        <x:v>Source / Note</x:v>
      </x:c>
    </x:row>
    <x:row r="5" ht="72" customHeight="1">
      <x:c r="A5" s="46" t="str">
        <x:v>BR-IT-01</x:v>
      </x:c>
      <x:c r="B5" s="46" t="str">
        <x:v>Iteration</x:v>
      </x:c>
      <x:c r="C5" s="46" t="str">
        <x:v>Statuses are Planning, Committed and Accepted</x:v>
      </x:c>
      <x:c r="D5" s="46" t="str">
        <x:v>Reconciliation confirms Committed; main P2 SRS is stale</x:v>
      </x:c>
      <x:c r="E5" s="46" t="str">
        <x:v>Yes</x:v>
      </x:c>
      <x:c r="F5" s="46" t="str">
        <x:v>New Iteration defaults Planning; assignment does not auto-commit; user may manually set Committed</x:v>
      </x:c>
      <x:c r="G5" s="46" t="str">
        <x:v>Reconciliation 08 Confirmation Log C04</x:v>
      </x:c>
    </x:row>
    <x:row r="6" ht="72" customHeight="1">
      <x:c r="A6" s="46" t="str">
        <x:v>BR-IT-02</x:v>
      </x:c>
      <x:c r="B6" s="46" t="str">
        <x:v>Iteration</x:v>
      </x:c>
      <x:c r="C6" s="46" t="str">
        <x:v>All non-empty scoped US/DE Accepted auto-accepts Iteration; manual override remains</x:v>
      </x:c>
      <x:c r="D6" s="46" t="str">
        <x:v>P2 Iterations aligned</x:v>
      </x:c>
      <x:c r="E6" s="46" t="str">
        <x:v>No</x:v>
      </x:c>
      <x:c r="F6" s="46" t="str">
        <x:v>Verify automatic Accepted and continued manual edit</x:v>
      </x:c>
      <x:c r="G6" s="46" t="str">
        <x:v>P2 Iterations 10.1</x:v>
      </x:c>
    </x:row>
    <x:row r="7" ht="72" customHeight="1">
      <x:c r="A7" s="46" t="str">
        <x:v>BR-IT-03</x:v>
      </x:c>
      <x:c r="B7" s="46" t="str">
        <x:v>Iteration</x:v>
      </x:c>
      <x:c r="C7" s="46" t="str">
        <x:v>No status locks scope</x:v>
      </x:c>
      <x:c r="D7" s="46" t="str">
        <x:v>P2 Iterations aligned</x:v>
      </x:c>
      <x:c r="E7" s="46" t="str">
        <x:v>No</x:v>
      </x:c>
      <x:c r="F7" s="46" t="str">
        <x:v>Add/move Work Item after status changes</x:v>
      </x:c>
      <x:c r="G7" s="46" t="str">
        <x:v>P2 Iterations 10.1</x:v>
      </x:c>
    </x:row>
    <x:row r="8" ht="72" customHeight="1">
      <x:c r="A8" s="46" t="str">
        <x:v>BR-REL-01</x:v>
      </x:c>
      <x:c r="B8" s="46" t="str">
        <x:v>Release</x:v>
      </x:c>
      <x:c r="C8" s="46" t="str">
        <x:v>Statuses Planning, Active, Accepted</x:v>
      </x:c>
      <x:c r="D8" s="46" t="str">
        <x:v>P3 Release aligned</x:v>
      </x:c>
      <x:c r="E8" s="46" t="str">
        <x:v>No</x:v>
      </x:c>
      <x:c r="F8" s="46" t="str">
        <x:v>Only exact status values are available</x:v>
      </x:c>
      <x:c r="G8" s="46" t="str">
        <x:v>P3 Release DC-004</x:v>
      </x:c>
    </x:row>
    <x:row r="9" ht="72" customHeight="1">
      <x:c r="A9" s="46" t="str">
        <x:v>BR-REL-02</x:v>
      </x:c>
      <x:c r="B9" s="46" t="str">
        <x:v>Work Item Release</x:v>
      </x:c>
      <x:c r="C9" s="46" t="str">
        <x:v>One Work Item has at most one active Release</x:v>
      </x:c>
      <x:c r="D9" s="46" t="str">
        <x:v>P3 Release and Milestone SRS aligned</x:v>
      </x:c>
      <x:c r="E9" s="46" t="str">
        <x:v>No</x:v>
      </x:c>
      <x:c r="F9" s="46" t="str">
        <x:v>Selecting a new Release replaces the prior Release and persists</x:v>
      </x:c>
      <x:c r="G9" s="46" t="str">
        <x:v>Reconciliation 08 Confirmation Log C01</x:v>
      </x:c>
    </x:row>
    <x:row r="10" ht="72" customHeight="1">
      <x:c r="A10" s="46" t="str">
        <x:v>BR-MS-01</x:v>
      </x:c>
      <x:c r="B10" s="46" t="str">
        <x:v>Milestone</x:v>
      </x:c>
      <x:c r="C10" s="46" t="str">
        <x:v>Release/Milestone are many-to-many and independent</x:v>
      </x:c>
      <x:c r="D10" s="46" t="str">
        <x:v>P3 Milestone aligned at entity level</x:v>
      </x:c>
      <x:c r="E10" s="46" t="str">
        <x:v>No</x:v>
      </x:c>
      <x:c r="F10" s="46" t="str">
        <x:v>Create in either order; changing one relation preserves the other</x:v>
      </x:c>
      <x:c r="G10" s="46" t="str">
        <x:v>P3 Milestones Data Source Rules</x:v>
      </x:c>
    </x:row>
    <x:row r="11" ht="72" customHeight="1">
      <x:c r="A11" s="46" t="str">
        <x:v>BR-MS-02</x:v>
      </x:c>
      <x:c r="B11" s="46" t="str">
        <x:v>Milestone Dates</x:v>
      </x:c>
      <x:c r="C11" s="46" t="str">
        <x:v>Start = earliest linked Release start; End = latest linked Release end</x:v>
      </x:c>
      <x:c r="D11" s="46" t="str">
        <x:v>P3 Milestone aligned</x:v>
      </x:c>
      <x:c r="E11" s="46" t="str">
        <x:v>No</x:v>
      </x:c>
      <x:c r="F11" s="46" t="str">
        <x:v>Link two Releases and verify derived read-only dates</x:v>
      </x:c>
      <x:c r="G11" s="46" t="str">
        <x:v>P3-MS-FR-011..013</x:v>
      </x:c>
    </x:row>
    <x:row r="12" ht="72" customHeight="1">
      <x:c r="A12" s="46" t="str">
        <x:v>BR-WI-01</x:v>
      </x:c>
      <x:c r="B12" s="46" t="str">
        <x:v>Work Item State</x:v>
      </x:c>
      <x:c r="C12" s="46" t="str">
        <x:v>Schedule and Flow share six values and mirror</x:v>
      </x:c>
      <x:c r="D12" s="46" t="str">
        <x:v>P1 Work Item aligned</x:v>
      </x:c>
      <x:c r="E12" s="46" t="str">
        <x:v>No</x:v>
      </x:c>
      <x:c r="F12" s="46" t="str">
        <x:v>Verify defaults and both-way mirroring on same ID</x:v>
      </x:c>
      <x:c r="G12" s="46" t="str">
        <x:v>WIC-FR-012..013; WID-FR-012</x:v>
      </x:c>
    </x:row>
    <x:row r="13" ht="72" customHeight="1">
      <x:c r="A13" s="46" t="str">
        <x:v>BR-TASK-01</x:v>
      </x:c>
      <x:c r="B13" s="46" t="str">
        <x:v>Task State</x:v>
      </x:c>
      <x:c r="C13" s="46" t="str">
        <x:v>Defined, In-Progress, Completed</x:v>
      </x:c>
      <x:c r="D13" s="46" t="str">
        <x:v>P1 Task aligned</x:v>
      </x:c>
      <x:c r="E13" s="46" t="str">
        <x:v>No</x:v>
      </x:c>
      <x:c r="F13" s="46" t="str">
        <x:v>Verify exact values and default Defined</x:v>
      </x:c>
      <x:c r="G13" s="46" t="str">
        <x:v>TASK-FR / validation</x:v>
      </x:c>
    </x:row>
    <x:row r="14" ht="72" customHeight="1">
      <x:c r="A14" s="46" t="str">
        <x:v>BR-TASK-02</x:v>
      </x:c>
      <x:c r="B14" s="46" t="str">
        <x:v>Task Roll-up</x:v>
      </x:c>
      <x:c r="C14" s="46" t="str">
        <x:v>All Tasks Completed -&gt; parent Completed; reopen -&gt; parent In-Progress</x:v>
      </x:c>
      <x:c r="D14" s="46" t="str">
        <x:v>Not fully reflected in current Task SRS</x:v>
      </x:c>
      <x:c r="E14" s="46" t="str">
        <x:v>Yes</x:v>
      </x:c>
      <x:c r="F14" s="46" t="str">
        <x:v>Verify both automatic directions and manual parent override</x:v>
      </x:c>
      <x:c r="G14" s="46" t="str">
        <x:v>Latest BA confirmation</x:v>
      </x:c>
    </x:row>
    <x:row r="15" ht="72" customHeight="1">
      <x:c r="A15" s="46" t="str">
        <x:v>BR-TIME-01</x:v>
      </x:c>
      <x:c r="B15" s="46" t="str">
        <x:v>Task Time</x:v>
      </x:c>
      <x:c r="C15" s="46" t="str">
        <x:v>Estimate is read-only To Do + Actuals</x:v>
      </x:c>
      <x:c r="D15" s="46" t="str">
        <x:v>P1 Task/Time SRS allows independent Estimate</x:v>
      </x:c>
      <x:c r="E15" s="46" t="str">
        <x:v>Yes</x:v>
      </x:c>
      <x:c r="F15" s="46" t="str">
        <x:v>Edit inputs and verify row/total formula</x:v>
      </x:c>
      <x:c r="G15" s="46" t="str">
        <x:v>Latest BA confirmation</x:v>
      </x:c>
    </x:row>
    <x:row r="16" ht="72" customHeight="1">
      <x:c r="A16" s="46" t="str">
        <x:v>BR-ID-01</x:v>
      </x:c>
      <x:c r="B16" s="46" t="str">
        <x:v>Identity</x:v>
      </x:c>
      <x:c r="C16" s="46" t="str">
        <x:v>Backlog, Detail and Iteration Status show one shared Work Item</x:v>
      </x:c>
      <x:c r="D16" s="46" t="str">
        <x:v>P2 aligned</x:v>
      </x:c>
      <x:c r="E16" s="46" t="str">
        <x:v>No</x:v>
      </x:c>
      <x:c r="F16" s="46" t="str">
        <x:v>No clones; same key across screens</x:v>
      </x:c>
      <x:c r="G16" s="46" t="str">
        <x:v>P2 Iteration Status business flow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4bebe0ce01634a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5" hidden="0" customWidth="1"/>
    <x:col min="3" max="3" width="34" hidden="0" customWidth="1"/>
    <x:col min="4" max="4" width="20" hidden="0" customWidth="1"/>
    <x:col min="5" max="5" width="14" hidden="0" customWidth="1"/>
    <x:col min="6" max="6" width="18" hidden="0" customWidth="1"/>
    <x:col min="7" max="7" width="14" hidden="0" customWidth="1"/>
    <x:col min="8" max="8" width="14" hidden="0" customWidth="1"/>
    <x:col min="9" max="9" width="17" hidden="0" customWidth="1"/>
    <x:col min="10" max="10" width="17" hidden="0" customWidth="1"/>
    <x:col min="11" max="11" width="32" hidden="0" customWidth="1"/>
    <x:col min="12" max="12" width="12" hidden="0" customWidth="1"/>
    <x:col min="13" max="13" width="38" hidden="0" customWidth="1"/>
  </x:cols>
  <x:sheetData>
    <x:row r="1" ht="32" customHeight="1">
      <x:c r="A1" s="3" t="str">
        <x:v>Controlled DevInt Test Data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4">
      <x:c r="A4" s="46" t="str">
        <x:v>Data ID</x:v>
      </x:c>
      <x:c r="B4" s="46" t="str">
        <x:v>Entity</x:v>
      </x:c>
      <x:c r="C4" s="46" t="str">
        <x:v>Audit Name</x:v>
      </x:c>
      <x:c r="D4" s="46" t="str">
        <x:v>DevInt Key/ID</x:v>
      </x:c>
      <x:c r="E4" s="46" t="str">
        <x:v>Project</x:v>
      </x:c>
      <x:c r="F4" s="46" t="str">
        <x:v>Team</x:v>
      </x:c>
      <x:c r="G4" s="46" t="str">
        <x:v>Start Date</x:v>
      </x:c>
      <x:c r="H4" s="46" t="str">
        <x:v>End Date</x:v>
      </x:c>
      <x:c r="I4" s="46" t="str">
        <x:v>Initial Status</x:v>
      </x:c>
      <x:c r="J4" s="46" t="str">
        <x:v>Current Status</x:v>
      </x:c>
      <x:c r="K4" s="46" t="str">
        <x:v>Relations</x:v>
      </x:c>
      <x:c r="L4" s="46" t="str">
        <x:v>Cleanup</x:v>
      </x:c>
      <x:c r="M4" s="46" t="str">
        <x:v>Notes</x:v>
      </x:c>
    </x:row>
    <x:row r="5" ht="54" customHeight="1">
      <x:c r="A5" s="46" t="str">
        <x:v>CTX-01</x:v>
      </x:c>
      <x:c r="B5" s="46" t="str">
        <x:v>Context</x:v>
      </x:c>
      <x:c r="C5" s="46" t="str">
        <x:v>BA-E2E-20260720</x:v>
      </x:c>
      <x:c r="D5" s="46" t="str"/>
      <x:c r="E5" s="46" t="str">
        <x:v>NXP</x:v>
      </x:c>
      <x:c r="F5" s="46" t="str">
        <x:v>Not Testable; No team used</x:v>
      </x:c>
      <x:c r="G5" s="47"/>
      <x:c r="H5" s="47"/>
      <x:c r="I5" s="46" t="str"/>
      <x:c r="J5" s="46" t="str">
        <x:v>Not Testable</x:v>
      </x:c>
      <x:c r="K5" s="46" t="str"/>
      <x:c r="L5" s="46" t="str">
        <x:v>Keep</x:v>
      </x:c>
      <x:c r="M5" s="46" t="str">
        <x:v>BA directed continuation without Team because Team data is unavailable</x:v>
      </x:c>
    </x:row>
    <x:row r="6" ht="54" customHeight="1">
      <x:c r="A6" s="46" t="str">
        <x:v>IT-01</x:v>
      </x:c>
      <x:c r="B6" s="46" t="str">
        <x:v>Iteration</x:v>
      </x:c>
      <x:c r="C6" s="46" t="str">
        <x:v>BA-E2E-20260720 Iteration</x:v>
      </x:c>
      <x:c r="D6" s="46" t="str">
        <x:v>IT-5</x:v>
      </x:c>
      <x:c r="E6" s="46" t="str">
        <x:v>NXP</x:v>
      </x:c>
      <x:c r="F6" s="46" t="str">
        <x:v>No team</x:v>
      </x:c>
      <x:c r="G6" s="47" t="n">
        <x:v>46224</x:v>
      </x:c>
      <x:c r="H6" s="47" t="n">
        <x:v>46237</x:v>
      </x:c>
      <x:c r="I6" s="46" t="str">
        <x:v>Planning</x:v>
      </x:c>
      <x:c r="J6" s="46" t="str">
        <x:v>Planning</x:v>
      </x:c>
      <x:c r="K6" s="46" t="str"/>
      <x:c r="L6" s="46" t="str">
        <x:v>Keep</x:v>
      </x:c>
      <x:c r="M6" s="46" t="str">
        <x:v>Created once and persisted after reload</x:v>
      </x:c>
    </x:row>
    <x:row r="7" ht="54" customHeight="1">
      <x:c r="A7" s="46" t="str">
        <x:v>REL-01</x:v>
      </x:c>
      <x:c r="B7" s="46" t="str">
        <x:v>Release</x:v>
      </x:c>
      <x:c r="C7" s="46" t="str">
        <x:v>BA-E2E-20260720 Release A</x:v>
      </x:c>
      <x:c r="D7" s="46" t="str">
        <x:v>Created; key not shown</x:v>
      </x:c>
      <x:c r="E7" s="46" t="str">
        <x:v>NXP</x:v>
      </x:c>
      <x:c r="F7" s="46" t="str">
        <x:v>Project-level</x:v>
      </x:c>
      <x:c r="G7" s="47" t="n">
        <x:v>46223</x:v>
      </x:c>
      <x:c r="H7" s="47" t="n">
        <x:v>46249</x:v>
      </x:c>
      <x:c r="I7" s="46" t="str">
        <x:v>Planning</x:v>
      </x:c>
      <x:c r="J7" s="46" t="str">
        <x:v>Planning</x:v>
      </x:c>
      <x:c r="K7" s="46" t="str">
        <x:v>MS-01</x:v>
      </x:c>
      <x:c r="L7" s="46" t="str">
        <x:v>Keep</x:v>
      </x:c>
      <x:c r="M7" s="46" t="str">
        <x:v>Created once and persisted; earlier start</x:v>
      </x:c>
    </x:row>
    <x:row r="8" ht="54" customHeight="1">
      <x:c r="A8" s="46" t="str">
        <x:v>REL-02</x:v>
      </x:c>
      <x:c r="B8" s="46" t="str">
        <x:v>Release</x:v>
      </x:c>
      <x:c r="C8" s="46" t="str">
        <x:v>BA-E2E-20260720 Release B</x:v>
      </x:c>
      <x:c r="D8" s="46" t="str">
        <x:v>Created; key not shown</x:v>
      </x:c>
      <x:c r="E8" s="46" t="str">
        <x:v>NXP</x:v>
      </x:c>
      <x:c r="F8" s="46" t="str">
        <x:v>Project-level</x:v>
      </x:c>
      <x:c r="G8" s="47" t="n">
        <x:v>46235</x:v>
      </x:c>
      <x:c r="H8" s="47" t="n">
        <x:v>46265</x:v>
      </x:c>
      <x:c r="I8" s="46" t="str">
        <x:v>Planning</x:v>
      </x:c>
      <x:c r="J8" s="46" t="str">
        <x:v>Planning</x:v>
      </x:c>
      <x:c r="K8" s="46" t="str">
        <x:v>MS-01</x:v>
      </x:c>
      <x:c r="L8" s="46" t="str">
        <x:v>Keep</x:v>
      </x:c>
      <x:c r="M8" s="46" t="str">
        <x:v>Created once and persisted; later end</x:v>
      </x:c>
    </x:row>
    <x:row r="9" ht="54" customHeight="1">
      <x:c r="A9" s="46" t="str">
        <x:v>MS-01</x:v>
      </x:c>
      <x:c r="B9" s="46" t="str">
        <x:v>Milestone</x:v>
      </x:c>
      <x:c r="C9" s="46" t="str">
        <x:v>BA-E2E-20260720 Milestone</x:v>
      </x:c>
      <x:c r="D9" s="46" t="str">
        <x:v>Created; key not shown</x:v>
      </x:c>
      <x:c r="E9" s="46" t="str">
        <x:v>NXP</x:v>
      </x:c>
      <x:c r="F9" s="46" t="str">
        <x:v>Project-level</x:v>
      </x:c>
      <x:c r="G9" s="47" t="n">
        <x:v>46223</x:v>
      </x:c>
      <x:c r="H9" s="47" t="n">
        <x:v>46265</x:v>
      </x:c>
      <x:c r="I9" s="46" t="str">
        <x:v>Planned</x:v>
      </x:c>
      <x:c r="J9" s="46" t="str">
        <x:v>Planned; actual dates blank</x:v>
      </x:c>
      <x:c r="K9" s="46" t="str">
        <x:v>REL-01; REL-02 not selectable</x:v>
      </x:c>
      <x:c r="L9" s="46" t="str">
        <x:v>Keep</x:v>
      </x:c>
      <x:c r="M9" s="46" t="str">
        <x:v>Standalone creation persisted; expected dates shown here are blocked derivation targets</x:v>
      </x:c>
    </x:row>
    <x:row r="10" ht="54" customHeight="1">
      <x:c r="A10" s="46" t="str">
        <x:v>WI-01</x:v>
      </x:c>
      <x:c r="B10" s="46" t="str">
        <x:v>Story</x:v>
      </x:c>
      <x:c r="C10" s="46" t="str">
        <x:v>BA-E2E-20260720 Story / existing surrogate</x:v>
      </x:c>
      <x:c r="D10" s="46" t="str">
        <x:v>US-12</x:v>
      </x:c>
      <x:c r="E10" s="46" t="str">
        <x:v>NXP</x:v>
      </x:c>
      <x:c r="F10" s="46" t="str">
        <x:v>Existing membership; Team behavior not testable</x:v>
      </x:c>
      <x:c r="G10" s="47"/>
      <x:c r="H10" s="47"/>
      <x:c r="I10" s="46" t="str">
        <x:v>Defined (existing)</x:v>
      </x:c>
      <x:c r="J10" s="46" t="str">
        <x:v>Defined; Iteration and Release assigned</x:v>
      </x:c>
      <x:c r="K10" s="46" t="str">
        <x:v>IT-01; REL-02; planned MS-01</x:v>
      </x:c>
      <x:c r="L10" s="46" t="str">
        <x:v>Keep</x:v>
      </x:c>
      <x:c r="M10" s="46" t="str">
        <x:v>Existing US-12 is the surrogate. IT-5 and Release B persisted; Work Item Detail has no Milestone field.</x:v>
      </x:c>
    </x:row>
    <x:row r="11" ht="54" customHeight="1">
      <x:c r="A11" s="46" t="str">
        <x:v>TA-01</x:v>
      </x:c>
      <x:c r="B11" s="46" t="str">
        <x:v>Task</x:v>
      </x:c>
      <x:c r="C11" s="46" t="str">
        <x:v>BA-E2E-20260720 Task A</x:v>
      </x:c>
      <x:c r="D11" s="46" t="str">
        <x:v>TA-8</x:v>
      </x:c>
      <x:c r="E11" s="46" t="str">
        <x:v>NXP inherited</x:v>
      </x:c>
      <x:c r="F11" s="46" t="str">
        <x:v>No team inherited</x:v>
      </x:c>
      <x:c r="G11" s="47"/>
      <x:c r="H11" s="47"/>
      <x:c r="I11" s="46" t="str">
        <x:v>Defined</x:v>
      </x:c>
      <x:c r="J11" s="46" t="str">
        <x:v>Defined</x:v>
      </x:c>
      <x:c r="K11" s="46" t="str">
        <x:v>WI-01 / US-12</x:v>
      </x:c>
      <x:c r="L11" s="46" t="str">
        <x:v>Keep</x:v>
      </x:c>
      <x:c r="M11" s="46" t="str">
        <x:v>Created with editable Estimate 4; To Do/Actuals blank; persisted after reload</x:v>
      </x:c>
    </x:row>
    <x:row r="12" ht="54" customHeight="1">
      <x:c r="A12" s="46" t="str">
        <x:v>TA-02</x:v>
      </x:c>
      <x:c r="B12" s="46" t="str">
        <x:v>Task</x:v>
      </x:c>
      <x:c r="C12" s="46" t="str">
        <x:v>BA-E2E-20260720 Task B</x:v>
      </x:c>
      <x:c r="D12" s="46" t="str">
        <x:v>TA-9</x:v>
      </x:c>
      <x:c r="E12" s="46" t="str">
        <x:v>NXP inherited</x:v>
      </x:c>
      <x:c r="F12" s="46" t="str">
        <x:v>No team inherited</x:v>
      </x:c>
      <x:c r="G12" s="47"/>
      <x:c r="H12" s="47"/>
      <x:c r="I12" s="46" t="str">
        <x:v>Defined</x:v>
      </x:c>
      <x:c r="J12" s="46" t="str">
        <x:v>Defined</x:v>
      </x:c>
      <x:c r="K12" s="46" t="str">
        <x:v>WI-01 / US-12</x:v>
      </x:c>
      <x:c r="L12" s="46" t="str">
        <x:v>Keep</x:v>
      </x:c>
      <x:c r="M12" s="46" t="str">
        <x:v>Created with editable Estimate 2; To Do/Actuals blank; persisted after reload</x:v>
      </x:c>
    </x:row>
    <x:row r="13">
      <x:c r="G13" s="48"/>
      <x:c r="H13" s="48"/>
    </x:row>
    <x:row r="14">
      <x:c r="G14" s="48"/>
      <x:c r="H14" s="48"/>
    </x:row>
    <x:row r="15">
      <x:c r="G15" s="48"/>
      <x:c r="H15" s="48"/>
    </x:row>
    <x:row r="16">
      <x:c r="G16" s="48"/>
      <x:c r="H16" s="48"/>
    </x:row>
    <x:row r="17">
      <x:c r="G17" s="48"/>
      <x:c r="H17" s="48"/>
    </x:row>
    <x:row r="18">
      <x:c r="G18" s="48"/>
      <x:c r="H18" s="48"/>
    </x:row>
    <x:row r="19">
      <x:c r="G19" s="48"/>
      <x:c r="H19" s="48"/>
    </x:row>
    <x:row r="20">
      <x:c r="G20" s="48"/>
      <x:c r="H20" s="48"/>
    </x:row>
    <x:row r="21">
      <x:c r="G21" s="48"/>
      <x:c r="H21" s="48"/>
    </x:row>
    <x:row r="22">
      <x:c r="G22" s="48"/>
      <x:c r="H22" s="48"/>
    </x:row>
    <x:row r="23">
      <x:c r="G23" s="48"/>
      <x:c r="H23" s="48"/>
    </x:row>
    <x:row r="24">
      <x:c r="G24" s="48"/>
      <x:c r="H24" s="48"/>
    </x:row>
    <x:row r="25">
      <x:c r="G25" s="48"/>
      <x:c r="H25" s="48"/>
    </x:row>
    <x:row r="26">
      <x:c r="G26" s="48"/>
      <x:c r="H26" s="48"/>
    </x:row>
    <x:row r="27">
      <x:c r="G27" s="48"/>
      <x:c r="H27" s="48"/>
    </x:row>
    <x:row r="28">
      <x:c r="G28" s="48"/>
      <x:c r="H28" s="48"/>
    </x:row>
    <x:row r="29">
      <x:c r="G29" s="48"/>
      <x:c r="H29" s="48"/>
    </x:row>
    <x:row r="30">
      <x:c r="G30" s="48"/>
      <x:c r="H30" s="48"/>
    </x:row>
    <x:row r="31">
      <x:c r="G31" s="48"/>
      <x:c r="H31" s="48"/>
    </x:row>
    <x:row r="32">
      <x:c r="G32" s="48"/>
      <x:c r="H32" s="48"/>
    </x:row>
    <x:row r="33">
      <x:c r="G33" s="48"/>
      <x:c r="H33" s="48"/>
    </x:row>
    <x:row r="34">
      <x:c r="G34" s="48"/>
      <x:c r="H34" s="48"/>
    </x:row>
    <x:row r="35">
      <x:c r="G35" s="48"/>
      <x:c r="H35" s="48"/>
    </x:row>
    <x:row r="36">
      <x:c r="G36" s="48"/>
      <x:c r="H36" s="48"/>
    </x:row>
    <x:row r="37">
      <x:c r="G37" s="48"/>
      <x:c r="H37" s="48"/>
    </x:row>
    <x:row r="38">
      <x:c r="G38" s="48"/>
      <x:c r="H38" s="48"/>
    </x:row>
    <x:row r="39">
      <x:c r="G39" s="48"/>
      <x:c r="H39" s="48"/>
    </x:row>
    <x:row r="40">
      <x:c r="G40" s="48"/>
      <x:c r="H40" s="48"/>
    </x:row>
    <x:row r="41">
      <x:c r="G41" s="48"/>
      <x:c r="H41" s="48"/>
    </x:row>
    <x:row r="42">
      <x:c r="G42" s="48"/>
      <x:c r="H42" s="48"/>
    </x:row>
    <x:row r="43">
      <x:c r="G43" s="48"/>
      <x:c r="H43" s="48"/>
    </x:row>
    <x:row r="44">
      <x:c r="G44" s="48"/>
      <x:c r="H44" s="48"/>
    </x:row>
    <x:row r="45">
      <x:c r="G45" s="48"/>
      <x:c r="H45" s="48"/>
    </x:row>
    <x:row r="46">
      <x:c r="G46" s="48"/>
      <x:c r="H46" s="48"/>
    </x:row>
    <x:row r="47">
      <x:c r="G47" s="48"/>
      <x:c r="H47" s="48"/>
    </x:row>
    <x:row r="48">
      <x:c r="G48" s="48"/>
      <x:c r="H48" s="48"/>
    </x:row>
    <x:row r="49">
      <x:c r="G49" s="48"/>
      <x:c r="H49" s="48"/>
    </x:row>
    <x:row r="50">
      <x:c r="G50" s="48"/>
      <x:c r="H50" s="48"/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3b9a130153dc403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0" hidden="0" customWidth="1"/>
    <x:col min="4" max="4" width="24" hidden="0" customWidth="1"/>
    <x:col min="5" max="5" width="42" hidden="0" customWidth="1"/>
    <x:col min="6" max="6" width="42" hidden="0" customWidth="1"/>
    <x:col min="7" max="7" width="46" hidden="0" customWidth="1"/>
    <x:col min="8" max="8" width="14" hidden="0" customWidth="1"/>
    <x:col min="9" max="9" width="34" hidden="0" customWidth="1"/>
    <x:col min="10" max="10" width="38" hidden="0" customWidth="1"/>
  </x:cols>
  <x:sheetData>
    <x:row r="1" ht="32" customHeight="1">
      <x:c r="A1" s="3" t="str">
        <x:v>Business E2E Execution Log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4">
      <x:c r="A4" s="46" t="str">
        <x:v>Execution ID</x:v>
      </x:c>
      <x:c r="B4" s="46" t="str">
        <x:v>Step ID</x:v>
      </x:c>
      <x:c r="C4" s="46" t="str">
        <x:v>Timestamp</x:v>
      </x:c>
      <x:c r="D4" s="46" t="str">
        <x:v>Surface</x:v>
      </x:c>
      <x:c r="E4" s="46" t="str">
        <x:v>Action</x:v>
      </x:c>
      <x:c r="F4" s="46" t="str">
        <x:v>Expected</x:v>
      </x:c>
      <x:c r="G4" s="46" t="str">
        <x:v>Actual</x:v>
      </x:c>
      <x:c r="H4" s="46" t="str">
        <x:v>Result</x:v>
      </x:c>
      <x:c r="I4" s="46" t="str">
        <x:v>Evidence</x:v>
      </x:c>
      <x:c r="J4" s="46" t="str">
        <x:v>Notes</x:v>
      </x:c>
    </x:row>
    <x:row r="5">
      <x:c r="A5" s="46" t="str">
        <x:v>EXEC-001</x:v>
      </x:c>
      <x:c r="B5" s="46" t="str">
        <x:v>E2E-00</x:v>
      </x:c>
      <x:c r="C5" s="50" t="n">
        <x:v>46223</x:v>
      </x:c>
      <x:c r="D5" s="46" t="str">
        <x:v>App shell / Timeboxes</x:v>
      </x:c>
      <x:c r="E5" s="46" t="str">
        <x:v>Verify signed-in context and available Team</x:v>
      </x:c>
      <x:c r="F5" s="46" t="str">
        <x:v>A valid Project/Team context is available for controlled records</x:v>
      </x:c>
      <x:c r="G5" s="46" t="str">
        <x:v>Hieu Vu Minh Bui; ACME Corp / NXP / All Teams. Team Alpha is selectable but is not linked to NXP.</x:v>
      </x:c>
      <x:c r="H5" s="46" t="str">
        <x:v>Blocked</x:v>
      </x:c>
      <x:c r="I5" s="46" t="str">
        <x:v>evidence/E2E-01/02-team-not-linked.png</x:v>
      </x:c>
      <x:c r="J5" s="46" t="str">
        <x:v>Cannot establish valid Iteration Team context</x:v>
      </x:c>
    </x:row>
    <x:row r="6">
      <x:c r="A6" s="46" t="str">
        <x:v>EXEC-002</x:v>
      </x:c>
      <x:c r="B6" s="46" t="str">
        <x:v>E2E-01</x:v>
      </x:c>
      <x:c r="C6" s="50" t="n">
        <x:v>46223</x:v>
      </x:c>
      <x:c r="D6" s="46" t="str">
        <x:v>Plan &gt; Timeboxes &gt; New Iteration</x:v>
      </x:c>
      <x:c r="E6" s="46" t="str">
        <x:v>Create BA-E2E-20260720 Iteration for Team Alpha</x:v>
      </x:c>
      <x:c r="F6" s="46" t="str">
        <x:v>Create once with default Planning and a Team compatible with the selected Project</x:v>
      </x:c>
      <x:c r="G6" s="46" t="str">
        <x:v>The status catalog matches reconciliation, but submit is rejected with Team is not linked to this project; no record created in this attempt.</x:v>
      </x:c>
      <x:c r="H6" s="46" t="str">
        <x:v>Blocked</x:v>
      </x:c>
      <x:c r="I6" s="46" t="str">
        <x:v>evidence/E2E-01/01-create-form.png; evidence/E2E-01/02-team-not-linked.png</x:v>
      </x:c>
      <x:c r="J6" s="46" t="str">
        <x:v>Dates were accepted; the first attempt was blocked only by unavailable Team test data</x:v>
      </x:c>
    </x:row>
    <x:row r="7">
      <x:c r="A7" s="46" t="str">
        <x:v>EXEC-003</x:v>
      </x:c>
      <x:c r="B7" s="46" t="str">
        <x:v>E2E-01</x:v>
      </x:c>
      <x:c r="C7" s="50" t="n">
        <x:v>46223</x:v>
      </x:c>
      <x:c r="D7" s="46" t="str">
        <x:v>Plan &gt; Timeboxes &gt; New Iteration</x:v>
      </x:c>
      <x:c r="E7" s="46" t="str">
        <x:v>Retry with No team per BA direction and reload list</x:v>
      </x:c>
      <x:c r="F7" s="46" t="str">
        <x:v>Exactly one record persists with default Planning and the confirmed Planning/Committed/Accepted catalog</x:v>
      </x:c>
      <x:c r="G7" s="46" t="str">
        <x:v>IT-5 created once and persisted after reload with Planning and 2026-07-21..2026-08-03; status catalog matches reconciliation.</x:v>
      </x:c>
      <x:c r="H7" s="46" t="str">
        <x:v>Passed</x:v>
      </x:c>
      <x:c r="I7" s="46" t="str">
        <x:v>evidence/E2E-01/03-create-no-team.png; evidence/E2E-01/04-created-persisted.png</x:v>
      </x:c>
      <x:c r="J7" s="46" t="str">
        <x:v>Team scope remains Not Testable; Project and Type fields remain a confirmed UI enhancement</x:v>
      </x:c>
    </x:row>
    <x:row r="8">
      <x:c r="A8" s="46" t="str">
        <x:v>EXEC-004</x:v>
      </x:c>
      <x:c r="B8" s="46" t="str">
        <x:v>E2E-02</x:v>
      </x:c>
      <x:c r="C8" s="50" t="n">
        <x:v>46223</x:v>
      </x:c>
      <x:c r="D8" s="46" t="str">
        <x:v>Top-level Releases &gt; Create Release</x:v>
      </x:c>
      <x:c r="E8" s="46" t="str">
        <x:v>Create Release A</x:v>
      </x:c>
      <x:c r="F8" s="46" t="str">
        <x:v>Release A is created once with Planning and 2026-07-20..2026-08-15</x:v>
      </x:c>
      <x:c r="G8" s="46" t="str">
        <x:v>Release A created; total count changed from 2 to 3; row shows Planning and correct dates.</x:v>
      </x:c>
      <x:c r="H8" s="46" t="str">
        <x:v>Passed</x:v>
      </x:c>
      <x:c r="I8" s="46" t="str">
        <x:v>evidence/E2E-02/01-release-a-form.png</x:v>
      </x:c>
      <x:c r="J8" s="46" t="str">
        <x:v>Current route is top-level /releases, not Timeboxes &gt; Releases</x:v>
      </x:c>
    </x:row>
    <x:row r="9">
      <x:c r="A9" s="46" t="str">
        <x:v>EXEC-005</x:v>
      </x:c>
      <x:c r="B9" s="46" t="str">
        <x:v>E2E-02</x:v>
      </x:c>
      <x:c r="C9" s="50" t="n">
        <x:v>46223</x:v>
      </x:c>
      <x:c r="D9" s="46" t="str">
        <x:v>Top-level Releases &gt; Create Release</x:v>
      </x:c>
      <x:c r="E9" s="46" t="str">
        <x:v>Create Release B</x:v>
      </x:c>
      <x:c r="F9" s="46" t="str">
        <x:v>Release B is created once with Planning and 2026-08-01..2026-08-31</x:v>
      </x:c>
      <x:c r="G9" s="46" t="str">
        <x:v>Release B created; total count changed from 3 to 4; row shows Planning and correct dates.</x:v>
      </x:c>
      <x:c r="H9" s="46" t="str">
        <x:v>Passed</x:v>
      </x:c>
      <x:c r="I9" s="46" t="str">
        <x:v>evidence/E2E-02/02-release-b-form.png</x:v>
      </x:c>
      <x:c r="J9" s="46" t="str">
        <x:v>Status options are exactly Planning, Active and Accepted</x:v>
      </x:c>
    </x:row>
    <x:row r="10">
      <x:c r="A10" s="46" t="str">
        <x:v>EXEC-006</x:v>
      </x:c>
      <x:c r="B10" s="46" t="str">
        <x:v>E2E-02</x:v>
      </x:c>
      <x:c r="C10" s="50" t="n">
        <x:v>46223</x:v>
      </x:c>
      <x:c r="D10" s="46" t="str">
        <x:v>Releases list reload</x:v>
      </x:c>
      <x:c r="E10" s="46" t="str">
        <x:v>Reload and count controlled releases</x:v>
      </x:c>
      <x:c r="F10" s="46" t="str">
        <x:v>Each controlled Release appears exactly once and keeps values</x:v>
      </x:c>
      <x:c r="G10" s="46" t="str">
        <x:v>Release A count = 1 and Release B count = 1 after reload; dates and Planning persisted.</x:v>
      </x:c>
      <x:c r="H10" s="46" t="str">
        <x:v>Passed</x:v>
      </x:c>
      <x:c r="I10" s="46" t="str">
        <x:v>evidence/E2E-02/03-releases-persisted.png</x:v>
      </x:c>
      <x:c r="J10" s="46" t="str">
        <x:v>Creation and persistence pass</x:v>
      </x:c>
    </x:row>
    <x:row r="11">
      <x:c r="A11" s="46" t="str">
        <x:v>EXEC-007</x:v>
      </x:c>
      <x:c r="B11" s="46" t="str">
        <x:v>E2E-03</x:v>
      </x:c>
      <x:c r="C11" s="50" t="n">
        <x:v>46223</x:v>
      </x:c>
      <x:c r="D11" s="46" t="str">
        <x:v>Plan &gt; Milestones &gt; New Milestone</x:v>
      </x:c>
      <x:c r="E11" s="46" t="str">
        <x:v>Create standalone Milestone</x:v>
      </x:c>
      <x:c r="F11" s="46" t="str">
        <x:v>Milestone may be created without Releases; default Planned; derived dates blank</x:v>
      </x:c>
      <x:c r="G11" s="46" t="str">
        <x:v>Controlled Milestone created once with Planned; Target Start/End show blank because no Release was linked.</x:v>
      </x:c>
      <x:c r="H11" s="46" t="str">
        <x:v>Passed</x:v>
      </x:c>
      <x:c r="I11" s="46" t="str">
        <x:v>evidence/E2E-03/01-form-no-releases.png; evidence/E2E-03/02-milestone-persisted.png</x:v>
      </x:c>
      <x:c r="J11" s="46" t="str">
        <x:v>Status catalog is Planned, At Risk, Met, Missed, Cancelled, Completed</x:v>
      </x:c>
    </x:row>
    <x:row r="12">
      <x:c r="A12" s="46" t="str">
        <x:v>EXEC-008</x:v>
      </x:c>
      <x:c r="B12" s="46" t="str">
        <x:v>E2E-03</x:v>
      </x:c>
      <x:c r="C12" s="50" t="n">
        <x:v>46223</x:v>
      </x:c>
      <x:c r="D12" s="46" t="str">
        <x:v>New/Edit Milestone</x:v>
      </x:c>
      <x:c r="E12" s="46" t="str">
        <x:v>Link Release A and B and verify derived dates</x:v>
      </x:c>
      <x:c r="F12" s="46" t="str">
        <x:v>Both same-project controlled Releases are selectable; dates derive to 2026-07-20..2026-08-31</x:v>
      </x:c>
      <x:c r="G12" s="46" t="str">
        <x:v>Create and Edit both display No releases available despite both Releases existing and persisting in NXP.</x:v>
      </x:c>
      <x:c r="H12" s="46" t="str">
        <x:v>Blocked</x:v>
      </x:c>
      <x:c r="I12" s="46" t="str">
        <x:v>evidence/E2E-03/03-edit-no-releases.png</x:v>
      </x:c>
      <x:c r="J12" s="46" t="str">
        <x:v>Cannot execute many-to-many linkage or date derivation</x:v>
      </x:c>
    </x:row>
    <x:row r="13">
      <x:c r="A13" s="46" t="str">
        <x:v>EXEC-009</x:v>
      </x:c>
      <x:c r="B13" s="46" t="str">
        <x:v>E2E-04</x:v>
      </x:c>
      <x:c r="C13" s="50" t="n">
        <x:v>46223</x:v>
      </x:c>
      <x:c r="D13" s="46" t="str">
        <x:v>Backlog &gt; Create Work Item</x:v>
      </x:c>
      <x:c r="E13" s="46" t="str">
        <x:v>Inspect Story quick-create contract</x:v>
      </x:c>
      <x:c r="F13" s="46" t="str">
        <x:v>Type, Title, Project, Team, Owner and Plan Estimate are available; Project defaults current and Team contains only valid linked options</x:v>
      </x:c>
      <x:c r="G13" s="46" t="str">
        <x:v>Form shows Type, Title, Team, Owner and Plan Estimate but no Project. It offers No team and Team Alpha even though Team Alpha is not linked to NXP.</x:v>
      </x:c>
      <x:c r="H13" s="46" t="str">
        <x:v>Failed</x:v>
      </x:c>
      <x:c r="I13" s="46" t="str">
        <x:v>evidence/E2E-04/01-create-form.png</x:v>
      </x:c>
      <x:c r="J13" s="46" t="str">
        <x:v>State defaults are server-side and cannot be accepted until a record is created</x:v>
      </x:c>
    </x:row>
    <x:row r="14">
      <x:c r="A14" s="46" t="str">
        <x:v>EXEC-010</x:v>
      </x:c>
      <x:c r="B14" s="46" t="str">
        <x:v>E2E-04</x:v>
      </x:c>
      <x:c r="C14" s="50" t="n">
        <x:v>46223</x:v>
      </x:c>
      <x:c r="D14" s="46" t="str">
        <x:v>Backlog &gt; Create Work Item</x:v>
      </x:c>
      <x:c r="E14" s="46" t="str">
        <x:v>Create Story with No team per current BA test workaround</x:v>
      </x:c>
      <x:c r="F14" s="46" t="str">
        <x:v>Exactly one Story is created in NXP</x:v>
      </x:c>
      <x:c r="G14" s="46" t="str">
        <x:v>Submit returned An unexpected error occurred (ref: c13cf2d5-6ac5-4a87-aac2-5959c1a55fd2).</x:v>
      </x:c>
      <x:c r="H14" s="46" t="str">
        <x:v>Blocked</x:v>
      </x:c>
      <x:c r="I14" s="46" t="str">
        <x:v>evidence/E2E-04/02-no-team-unexpected-error.png</x:v>
      </x:c>
      <x:c r="J14" s="46" t="str">
        <x:v>Generic error gives no actionable validation guidance</x:v>
      </x:c>
    </x:row>
    <x:row r="15">
      <x:c r="A15" s="46" t="str">
        <x:v>EXEC-011</x:v>
      </x:c>
      <x:c r="B15" s="46" t="str">
        <x:v>E2E-04</x:v>
      </x:c>
      <x:c r="C15" s="50" t="n">
        <x:v>46223</x:v>
      </x:c>
      <x:c r="D15" s="46" t="str">
        <x:v>Backlog &gt; Create Work Item</x:v>
      </x:c>
      <x:c r="E15" s="46" t="str">
        <x:v>Retry controlled Story with Team Alpha</x:v>
      </x:c>
      <x:c r="F15" s="46" t="str">
        <x:v>Only a Team linked to NXP is selectable and create succeeds</x:v>
      </x:c>
      <x:c r="G15" s="46" t="str">
        <x:v>Submit returned Team is not linked to this project.</x:v>
      </x:c>
      <x:c r="H15" s="46" t="str">
        <x:v>Blocked</x:v>
      </x:c>
      <x:c r="I15" s="46" t="str">
        <x:v>evidence/E2E-04/03-team-not-linked.png</x:v>
      </x:c>
      <x:c r="J15" s="46" t="str">
        <x:v>No valid Team is currently available for this Project</x:v>
      </x:c>
    </x:row>
    <x:row r="16">
      <x:c r="A16" s="46" t="str">
        <x:v>EXEC-012</x:v>
      </x:c>
      <x:c r="B16" s="46" t="str">
        <x:v>E2E-04</x:v>
      </x:c>
      <x:c r="C16" s="50" t="n">
        <x:v>46223</x:v>
      </x:c>
      <x:c r="D16" s="46" t="str">
        <x:v>Backlog search</x:v>
      </x:c>
      <x:c r="E16" s="46" t="str">
        <x:v>Search exact controlled title after both submits</x:v>
      </x:c>
      <x:c r="F16" s="46" t="str">
        <x:v>One controlled Story exists only if a submit committed</x:v>
      </x:c>
      <x:c r="G16" s="46" t="str">
        <x:v>No backlog items match your filters; no controlled Story was created.</x:v>
      </x:c>
      <x:c r="H16" s="46" t="str">
        <x:v>Passed</x:v>
      </x:c>
      <x:c r="I16" s="46" t="str">
        <x:v>evidence/E2E-04/04-no-record-after-attempts.png</x:v>
      </x:c>
      <x:c r="J16" s="46" t="str">
        <x:v>Confirms there is no partial or ghost record</x:v>
      </x:c>
    </x:row>
    <x:row r="17">
      <x:c r="A17" s="46" t="str">
        <x:v>EXEC-013</x:v>
      </x:c>
      <x:c r="B17" s="46" t="str">
        <x:v>E2E-04</x:v>
      </x:c>
      <x:c r="C17" s="50" t="n">
        <x:v>46223</x:v>
      </x:c>
      <x:c r="D17" s="46" t="str">
        <x:v>BA confirmation</x:v>
      </x:c>
      <x:c r="E17" s="46" t="str">
        <x:v>Confirm Backlog findings and fallback</x:v>
      </x:c>
      <x:c r="F17" s="46" t="str">
        <x:v>Dev gaps receive explicit disposition and testing may continue with an existing Work Item</x:v>
      </x:c>
      <x:c r="G17" s="46" t="str">
        <x:v>BA directed DEV-007 and DEV-008 to Dev, reconfirmed DEV-009, and approved use of existing Work Items for later checkpoints.</x:v>
      </x:c>
      <x:c r="H17" s="46" t="str">
        <x:v>Passed</x:v>
      </x:c>
      <x:c r="I17" s="46" t="str"/>
      <x:c r="J17" s="46" t="str">
        <x:v>E2E-04 remains functionally Blocked but its BA decision is closed</x:v>
      </x:c>
    </x:row>
    <x:row r="18">
      <x:c r="A18" s="46" t="str">
        <x:v>EXEC-014</x:v>
      </x:c>
      <x:c r="B18" s="46" t="str">
        <x:v>E2E-05</x:v>
      </x:c>
      <x:c r="C18" s="50" t="n">
        <x:v>46223</x:v>
      </x:c>
      <x:c r="D18" s="46" t="str">
        <x:v>Backlog / US-12</x:v>
      </x:c>
      <x:c r="E18" s="46" t="str">
        <x:v>Assign existing US-12 to BA-E2E-20260720 Iteration inline</x:v>
      </x:c>
      <x:c r="F18" s="46" t="str">
        <x:v>The selected Iteration is saved on the same Work Item</x:v>
      </x:c>
      <x:c r="G18" s="46" t="str">
        <x:v>US-12 changed from Unscheduled to BA-E2E-20260720 Iteration in the Backlog row.</x:v>
      </x:c>
      <x:c r="H18" s="46" t="str">
        <x:v>Passed</x:v>
      </x:c>
      <x:c r="I18" s="46" t="str">
        <x:v>evidence/E2E-05/01-us12-before-assignment.png; evidence/E2E-05/02-us12-assigned-inline.png</x:v>
      </x:c>
      <x:c r="J18" s="46" t="str">
        <x:v>Uses BA-approved existing-record fallback</x:v>
      </x:c>
    </x:row>
    <x:row r="19">
      <x:c r="A19" s="46" t="str">
        <x:v>EXEC-015</x:v>
      </x:c>
      <x:c r="B19" s="46" t="str">
        <x:v>E2E-05</x:v>
      </x:c>
      <x:c r="C19" s="50" t="n">
        <x:v>46223</x:v>
      </x:c>
      <x:c r="D19" s="46" t="str">
        <x:v>Backlog reload / US-12</x:v>
      </x:c>
      <x:c r="E19" s="46" t="str">
        <x:v>Reload and search US-12</x:v>
      </x:c>
      <x:c r="F19" s="46" t="str">
        <x:v>The Iteration assignment persists and no clone is created</x:v>
      </x:c>
      <x:c r="G19" s="46" t="str">
        <x:v>US-12 remained assigned to BA-E2E-20260720 Iteration after reload and exact-ID search returned one row.</x:v>
      </x:c>
      <x:c r="H19" s="46" t="str">
        <x:v>Passed</x:v>
      </x:c>
      <x:c r="I19" s="46" t="str">
        <x:v>evidence/E2E-05/03-us12-assignment-persisted.png</x:v>
      </x:c>
      <x:c r="J19" s="46" t="str">
        <x:v>Backlog-side assignment and persistence pass</x:v>
      </x:c>
    </x:row>
    <x:row r="20">
      <x:c r="A20" s="46" t="str">
        <x:v>EXEC-016</x:v>
      </x:c>
      <x:c r="B20" s="46" t="str">
        <x:v>E2E-05</x:v>
      </x:c>
      <x:c r="C20" s="50" t="n">
        <x:v>46223</x:v>
      </x:c>
      <x:c r="D20" s="46" t="str">
        <x:v>Iteration Status / All Teams</x:v>
      </x:c>
      <x:c r="E20" s="46" t="str">
        <x:v>Open Iteration Status and select IT-5</x:v>
      </x:c>
      <x:c r="F20" s="46" t="str">
        <x:v>All Teams exposes current-project Iterations including IT-5 and its assigned Work Items</x:v>
      </x:c>
      <x:c r="G20" s="46" t="str">
        <x:v>Screen says No iterations in this project/team yet even though Timeboxes lists IT-1 through IT-5.</x:v>
      </x:c>
      <x:c r="H20" s="46" t="str">
        <x:v>Blocked</x:v>
      </x:c>
      <x:c r="I20" s="46" t="str">
        <x:v>evidence/E2E-05/04-iteration-status-no-iterations.png</x:v>
      </x:c>
      <x:c r="J20" s="46" t="str">
        <x:v>Cannot verify same-ID US-12 or Iteration totals</x:v>
      </x:c>
    </x:row>
    <x:row r="21">
      <x:c r="A21" s="46" t="str">
        <x:v>EXEC-017</x:v>
      </x:c>
      <x:c r="B21" s="46" t="str">
        <x:v>E2E-05</x:v>
      </x:c>
      <x:c r="C21" s="50" t="n">
        <x:v>46223</x:v>
      </x:c>
      <x:c r="D21" s="46" t="str">
        <x:v>Iteration Status / Team Alpha</x:v>
      </x:c>
      <x:c r="E21" s="46" t="str">
        <x:v>Check whether a Team context reveals Iteration Status</x:v>
      </x:c>
      <x:c r="F21" s="46" t="str">
        <x:v>Diagnostic only because Team behavior is Not Testable</x:v>
      </x:c>
      <x:c r="G21" s="46" t="str">
        <x:v>Team Alpha exposes Sprint 26.2 with US-1 and US-9, but not the No-team IT-5.</x:v>
      </x:c>
      <x:c r="H21" s="46" t="str">
        <x:v>Partial</x:v>
      </x:c>
      <x:c r="I21" s="46" t="str">
        <x:v>evidence/E2E-05/05-team-alpha-iteration-status.png</x:v>
      </x:c>
      <x:c r="J21" s="46" t="str">
        <x:v>Confirms the screen is team-filtered; does not resolve the All Teams/no-team gap</x:v>
      </x:c>
    </x:row>
    <x:row r="22">
      <x:c r="A22" s="46" t="str">
        <x:v>EXEC-018</x:v>
      </x:c>
      <x:c r="B22" s="46" t="str">
        <x:v>E2E-05</x:v>
      </x:c>
      <x:c r="C22" s="50" t="n">
        <x:v>46223</x:v>
      </x:c>
      <x:c r="D22" s="46" t="str">
        <x:v>BA confirmation</x:v>
      </x:c>
      <x:c r="E22" s="46" t="str">
        <x:v>Decide All Teams scope</x:v>
      </x:c>
      <x:c r="F22" s="46" t="str">
        <x:v>A clear scope decision closes the suspected All Teams gap</x:v>
      </x:c>
      <x:c r="G22" s="46" t="str">
        <x:v>BA confirmed Iteration Status does not need All Teams support; valid Team context is the supported path.</x:v>
      </x:c>
      <x:c r="H22" s="46" t="str">
        <x:v>Passed</x:v>
      </x:c>
      <x:c r="I22" s="46" t="str"/>
      <x:c r="J22" s="46" t="str">
        <x:v>DEV-010 accepted as-is; cross-screen retest waits for Team test data</x:v>
      </x:c>
    </x:row>
    <x:row r="23">
      <x:c r="A23" s="46" t="str">
        <x:v>EXEC-019</x:v>
      </x:c>
      <x:c r="B23" s="46" t="str">
        <x:v>E2E-06</x:v>
      </x:c>
      <x:c r="C23" s="50" t="n">
        <x:v>46223</x:v>
      </x:c>
      <x:c r="D23" s="46" t="str">
        <x:v>Work Item Detail / US-12</x:v>
      </x:c>
      <x:c r="E23" s="46" t="str">
        <x:v>Assign Release A</x:v>
      </x:c>
      <x:c r="F23" s="46" t="str">
        <x:v>One active Release can be selected and saved without changing Iteration</x:v>
      </x:c>
      <x:c r="G23" s="46" t="str">
        <x:v>Release A saved on US-12; IT-5 remained selected.</x:v>
      </x:c>
      <x:c r="H23" s="46" t="str">
        <x:v>Passed</x:v>
      </x:c>
      <x:c r="I23" s="46" t="str">
        <x:v>evidence/E2E-06/02-us12-release-a.png</x:v>
      </x:c>
      <x:c r="J23" s="46" t="str">
        <x:v>Matches the one-active-Release rule</x:v>
      </x:c>
    </x:row>
    <x:row r="24">
      <x:c r="A24" s="46" t="str">
        <x:v>EXEC-020</x:v>
      </x:c>
      <x:c r="B24" s="46" t="str">
        <x:v>E2E-06</x:v>
      </x:c>
      <x:c r="C24" s="50" t="n">
        <x:v>46223</x:v>
      </x:c>
      <x:c r="D24" s="46" t="str">
        <x:v>Work Item Detail / US-12</x:v>
      </x:c>
      <x:c r="E24" s="46" t="str">
        <x:v>Change Release A to Release B and reload</x:v>
      </x:c>
      <x:c r="F24" s="46" t="str">
        <x:v>Release B replaces A, persists, and leaves Iteration unchanged</x:v>
      </x:c>
      <x:c r="G24" s="46" t="str">
        <x:v>Release B replaced A, remained selected after reload, and IT-5 remained selected.</x:v>
      </x:c>
      <x:c r="H24" s="46" t="str">
        <x:v>Passed</x:v>
      </x:c>
      <x:c r="I24" s="46" t="str">
        <x:v>evidence/E2E-06/03-us12-release-b-replaces-a.png; evidence/E2E-06/04-us12-release-b-persisted-no-milestone.png</x:v>
      </x:c>
      <x:c r="J24" s="46" t="str">
        <x:v>Single-select Release behavior passes</x:v>
      </x:c>
    </x:row>
    <x:row r="25">
      <x:c r="A25" s="46" t="str">
        <x:v>EXEC-021</x:v>
      </x:c>
      <x:c r="B25" s="46" t="str">
        <x:v>E2E-06</x:v>
      </x:c>
      <x:c r="C25" s="50" t="n">
        <x:v>46223</x:v>
      </x:c>
      <x:c r="D25" s="46" t="str">
        <x:v>Backlog / US-12</x:v>
      </x:c>
      <x:c r="E25" s="46" t="str">
        <x:v>Verify Release and Iteration mirror</x:v>
      </x:c>
      <x:c r="F25" s="46" t="str">
        <x:v>Backlog shows the same Release B and IT-5 on the same US-12</x:v>
      </x:c>
      <x:c r="G25" s="46" t="str">
        <x:v>Exact-ID search showed one US-12 with Release B and BA-E2E-20260720 Iteration.</x:v>
      </x:c>
      <x:c r="H25" s="46" t="str">
        <x:v>Passed</x:v>
      </x:c>
      <x:c r="I25" s="46" t="str">
        <x:v>evidence/E2E-06/05-us12-release-b-backlog-mirror.png</x:v>
      </x:c>
      <x:c r="J25" s="46" t="str">
        <x:v>Detail-to-Backlog identity and assignment mirror pass</x:v>
      </x:c>
    </x:row>
    <x:row r="26">
      <x:c r="A26" s="46" t="str">
        <x:v>EXEC-022</x:v>
      </x:c>
      <x:c r="B26" s="46" t="str">
        <x:v>E2E-06</x:v>
      </x:c>
      <x:c r="C26" s="50" t="n">
        <x:v>46223</x:v>
      </x:c>
      <x:c r="D26" s="46" t="str">
        <x:v>Work Item Detail / US-12</x:v>
      </x:c>
      <x:c r="E26" s="46" t="str">
        <x:v>Assign eligible Milestone(s)</x:v>
      </x:c>
      <x:c r="F26" s="46" t="str">
        <x:v>Milestone multi-select is present; with Release B, add-new options show only Milestones related to Release B</x:v>
      </x:c>
      <x:c r="G26" s="46" t="str">
        <x:v>No Milestone field or control exists in Work Item Detail.</x:v>
      </x:c>
      <x:c r="H26" s="46" t="str">
        <x:v>Blocked</x:v>
      </x:c>
      <x:c r="I26" s="46" t="str">
        <x:v>evidence/E2E-06/04-us12-release-b-persisted-no-milestone.png</x:v>
      </x:c>
      <x:c r="J26" s="46" t="str">
        <x:v>Cannot test multi-select, related filtering or preservation when Release changes</x:v>
      </x:c>
    </x:row>
    <x:row r="27">
      <x:c r="A27" s="46" t="str">
        <x:v>EXEC-023</x:v>
      </x:c>
      <x:c r="B27" s="46" t="str">
        <x:v>E2E-06</x:v>
      </x:c>
      <x:c r="C27" s="50" t="n">
        <x:v>46223</x:v>
      </x:c>
      <x:c r="D27" s="46" t="str">
        <x:v>BA confirmation</x:v>
      </x:c>
      <x:c r="E27" s="46" t="str">
        <x:v>Confirm DEV-011</x:v>
      </x:c>
      <x:c r="F27" s="46" t="str">
        <x:v>Missing Milestone control receives a clear Dev disposition</x:v>
      </x:c>
      <x:c r="G27" s="46" t="str">
        <x:v>BA confirmed the proposed Work Item Milestone multi-select fix.</x:v>
      </x:c>
      <x:c r="H27" s="46" t="str">
        <x:v>Passed</x:v>
      </x:c>
      <x:c r="I27" s="46" t="str"/>
      <x:c r="J27" s="46" t="str">
        <x:v>E2E-06 BA decision closed; functional result remains Blocked</x:v>
      </x:c>
    </x:row>
    <x:row r="28">
      <x:c r="A28" s="46" t="str">
        <x:v>EXEC-024</x:v>
      </x:c>
      <x:c r="B28" s="46" t="str">
        <x:v>E2E-07</x:v>
      </x:c>
      <x:c r="C28" s="50" t="n">
        <x:v>46223</x:v>
      </x:c>
      <x:c r="D28" s="46" t="str">
        <x:v>Work Item Detail &gt; Tasks</x:v>
      </x:c>
      <x:c r="E28" s="46" t="str">
        <x:v>Open empty Task Dashboard</x:v>
      </x:c>
      <x:c r="F28" s="46" t="str">
        <x:v>No child Tasks means count 0 and totals 0/0/0</x:v>
      </x:c>
      <x:c r="G28" s="46" t="str">
        <x:v>US-12 showed 0 Tasks, no rows and totals To Do 0h / Actuals 0h / Estimate 0h.</x:v>
      </x:c>
      <x:c r="H28" s="46" t="str">
        <x:v>Passed</x:v>
      </x:c>
      <x:c r="I28" s="46" t="str">
        <x:v>evidence/E2E-07/01-empty-task-dashboard.png</x:v>
      </x:c>
      <x:c r="J28" s="46" t="str">
        <x:v>Clean starting state</x:v>
      </x:c>
    </x:row>
    <x:row r="29">
      <x:c r="A29" s="46" t="str">
        <x:v>EXEC-025</x:v>
      </x:c>
      <x:c r="B29" s="46" t="str">
        <x:v>E2E-07</x:v>
      </x:c>
      <x:c r="C29" s="50" t="n">
        <x:v>46223</x:v>
      </x:c>
      <x:c r="D29" s="46" t="str">
        <x:v>Create Task modal</x:v>
      </x:c>
      <x:c r="E29" s="46" t="str">
        <x:v>Inspect task-create fields</x:v>
      </x:c>
      <x:c r="F29" s="46" t="str">
        <x:v>Create captures Name, Owner and initial To Do/Actuals inputs or derives read-only Estimate from them</x:v>
      </x:c>
      <x:c r="G29" s="46" t="str">
        <x:v>Form contains Name, editable Estimate and Owner; it has no To Do or Actuals.</x:v>
      </x:c>
      <x:c r="H29" s="46" t="str">
        <x:v>Failed</x:v>
      </x:c>
      <x:c r="I29" s="46" t="str">
        <x:v>evidence/E2E-07/02-add-task-form.png</x:v>
      </x:c>
      <x:c r="J29" s="46" t="str">
        <x:v>Conflicts with confirmed Estimate = To Do + Actuals rule</x:v>
      </x:c>
    </x:row>
    <x:row r="30">
      <x:c r="A30" s="46" t="str">
        <x:v>EXEC-026</x:v>
      </x:c>
      <x:c r="B30" s="46" t="str">
        <x:v>E2E-07</x:v>
      </x:c>
      <x:c r="C30" s="50" t="n">
        <x:v>46223</x:v>
      </x:c>
      <x:c r="D30" s="46" t="str">
        <x:v>Work Item Detail &gt; Tasks</x:v>
      </x:c>
      <x:c r="E30" s="46" t="str">
        <x:v>Create controlled Task A</x:v>
      </x:c>
      <x:c r="F30" s="46" t="str">
        <x:v>One child Task is created with default Defined and inherited context</x:v>
      </x:c>
      <x:c r="G30" s="46" t="str">
        <x:v>TA-8 created once, defaulted Defined, showed NXP / no Team and Alice Developer.</x:v>
      </x:c>
      <x:c r="H30" s="46" t="str">
        <x:v>Passed</x:v>
      </x:c>
      <x:c r="I30" s="46" t="str">
        <x:v>evidence/E2E-07/03-task-a-created.png</x:v>
      </x:c>
      <x:c r="J30" s="46" t="str">
        <x:v>Task row appeared under US-12</x:v>
      </x:c>
    </x:row>
    <x:row r="31">
      <x:c r="A31" s="46" t="str">
        <x:v>EXEC-027</x:v>
      </x:c>
      <x:c r="B31" s="46" t="str">
        <x:v>E2E-07</x:v>
      </x:c>
      <x:c r="C31" s="50" t="n">
        <x:v>46223</x:v>
      </x:c>
      <x:c r="D31" s="46" t="str">
        <x:v>Work Item Detail &gt; Tasks</x:v>
      </x:c>
      <x:c r="E31" s="46" t="str">
        <x:v>Create controlled Task B</x:v>
      </x:c>
      <x:c r="F31" s="46" t="str">
        <x:v>Second child Task is created once; tab count and totals update</x:v>
      </x:c>
      <x:c r="G31" s="46" t="str">
        <x:v>TA-9 created once and defaulted Defined; two rows and 6h Estimate were visible, but the tab still showed 0 Tasks.</x:v>
      </x:c>
      <x:c r="H31" s="46" t="str">
        <x:v>Failed</x:v>
      </x:c>
      <x:c r="I31" s="46" t="str">
        <x:v>evidence/E2E-07/04-task-b-created-count-mismatch.png</x:v>
      </x:c>
      <x:c r="J31" s="46" t="str">
        <x:v>Row data and count derive from different sources</x:v>
      </x:c>
    </x:row>
    <x:row r="32">
      <x:c r="A32" s="46" t="str">
        <x:v>EXEC-028</x:v>
      </x:c>
      <x:c r="B32" s="46" t="str">
        <x:v>E2E-07</x:v>
      </x:c>
      <x:c r="C32" s="50" t="n">
        <x:v>46223</x:v>
      </x:c>
      <x:c r="D32" s="46" t="str">
        <x:v>Work Item Detail reload</x:v>
      </x:c>
      <x:c r="E32" s="46" t="str">
        <x:v>Reload US-12 and reopen Tasks</x:v>
      </x:c>
      <x:c r="F32" s="46" t="str">
        <x:v>Both Tasks persist; tab count equals 2; Task roll-up matches rows</x:v>
      </x:c>
      <x:c r="G32" s="46" t="str">
        <x:v>TA-8 and TA-9 persisted and Detail roll-up showed Estimate 6 / To Do 0 / Actual 0, but the tab remained 0 Tasks.</x:v>
      </x:c>
      <x:c r="H32" s="46" t="str">
        <x:v>Failed</x:v>
      </x:c>
      <x:c r="I32" s="46" t="str">
        <x:v>evidence/E2E-07/05-tasks-persisted-after-reload.png</x:v>
      </x:c>
      <x:c r="J32" s="46" t="str">
        <x:v>Persistence passes; count remains wrong</x:v>
      </x:c>
    </x:row>
    <x:row r="33">
      <x:c r="A33" s="46" t="str">
        <x:v>EXEC-029</x:v>
      </x:c>
      <x:c r="B33" s="46" t="str">
        <x:v>E2E-07</x:v>
      </x:c>
      <x:c r="C33" s="50" t="n">
        <x:v>46223</x:v>
      </x:c>
      <x:c r="D33" s="46" t="str">
        <x:v>Backlog search</x:v>
      </x:c>
      <x:c r="E33" s="46" t="str">
        <x:v>Search the controlled Task prefix</x:v>
      </x:c>
      <x:c r="F33" s="46" t="str">
        <x:v>Child Tasks do not appear as Backlog rows</x:v>
      </x:c>
      <x:c r="G33" s="46" t="str">
        <x:v>No backlog items matched BA-E2E-20260720 Task.</x:v>
      </x:c>
      <x:c r="H33" s="46" t="str">
        <x:v>Passed</x:v>
      </x:c>
      <x:c r="I33" s="46" t="str">
        <x:v>evidence/E2E-07/06-tasks-not-in-backlog.png</x:v>
      </x:c>
      <x:c r="J33" s="46" t="str">
        <x:v>Backlog isolation passes</x:v>
      </x:c>
    </x:row>
    <x:row r="34">
      <x:c r="A34" s="46" t="str">
        <x:v>EXEC-030</x:v>
      </x:c>
      <x:c r="B34" s="46" t="str">
        <x:v>E2E-07</x:v>
      </x:c>
      <x:c r="C34" s="50" t="n">
        <x:v>46223</x:v>
      </x:c>
      <x:c r="D34" s="46" t="str">
        <x:v>BA confirmation</x:v>
      </x:c>
      <x:c r="E34" s="46" t="str">
        <x:v>Confirm DEV-012/013/014</x:v>
      </x:c>
      <x:c r="F34" s="46" t="str">
        <x:v>Task count, time contract and inline-edit dispositions are explicit</x:v>
      </x:c>
      <x:c r="G34" s="46" t="str">
        <x:v>BA confirmed count must be correct, time must follow the defined business rule, and Task Dashboard must allow inline editing.</x:v>
      </x:c>
      <x:c r="H34" s="46" t="str">
        <x:v>Passed</x:v>
      </x:c>
      <x:c r="I34" s="46" t="str"/>
      <x:c r="J34" s="46" t="str">
        <x:v>E2E-07 BA decision closed; functional result remains Failed</x:v>
      </x:c>
    </x:row>
    <x:row r="35">
      <x:c r="A35" s="46" t="str">
        <x:v>EXEC-031</x:v>
      </x:c>
      <x:c r="B35" s="46" t="str">
        <x:v>E2E-08</x:v>
      </x:c>
      <x:c r="C35" s="50" t="n">
        <x:v>46223</x:v>
      </x:c>
      <x:c r="D35" s="46" t="str">
        <x:v>DevInt environment</x:v>
      </x:c>
      <x:c r="E35" s="46" t="str">
        <x:v>Start Task time/status propagation test</x:v>
      </x:c>
      <x:c r="F35" s="46" t="str">
        <x:v>DevInt is available and US-12 can be opened</x:v>
      </x:c>
      <x:c r="G35" s="46" t="str">
        <x:v>DevInt was turned off; BA instructed testing to stop and resume later.</x:v>
      </x:c>
      <x:c r="H35" s="46" t="str">
        <x:v>Blocked</x:v>
      </x:c>
      <x:c r="I35" s="46" t="str"/>
      <x:c r="J35" s="46" t="str">
        <x:v>Resume at E2E-08; do not recreate TA-8 or TA-9</x:v>
      </x:c>
    </x:row>
    <x:row r="36">
      <x:c r="A36" s="46"/>
      <x:c r="B36" s="46"/>
      <x:c r="C36" s="50"/>
      <x:c r="D36" s="46"/>
      <x:c r="E36" s="46"/>
      <x:c r="F36" s="46"/>
      <x:c r="G36" s="46"/>
      <x:c r="H36" s="46"/>
      <x:c r="I36" s="46"/>
      <x:c r="J36" s="46"/>
    </x:row>
    <x:row r="37">
      <x:c r="A37" s="46"/>
      <x:c r="B37" s="46"/>
      <x:c r="C37" s="50"/>
      <x:c r="D37" s="46"/>
      <x:c r="E37" s="46"/>
      <x:c r="F37" s="46"/>
      <x:c r="G37" s="46"/>
      <x:c r="H37" s="46"/>
      <x:c r="I37" s="46"/>
      <x:c r="J37" s="46"/>
    </x:row>
    <x:row r="38">
      <x:c r="A38" s="46"/>
      <x:c r="B38" s="46"/>
      <x:c r="C38" s="50"/>
      <x:c r="D38" s="46"/>
      <x:c r="E38" s="46"/>
      <x:c r="F38" s="46"/>
      <x:c r="G38" s="46"/>
      <x:c r="H38" s="46"/>
      <x:c r="I38" s="46"/>
      <x:c r="J38" s="46"/>
    </x:row>
    <x:row r="39">
      <x:c r="A39" s="46"/>
      <x:c r="B39" s="46"/>
      <x:c r="C39" s="50"/>
      <x:c r="D39" s="46"/>
      <x:c r="E39" s="46"/>
      <x:c r="F39" s="46"/>
      <x:c r="G39" s="46"/>
      <x:c r="H39" s="46"/>
      <x:c r="I39" s="46"/>
      <x:c r="J39" s="46"/>
    </x:row>
    <x:row r="40">
      <x:c r="A40" s="46"/>
      <x:c r="B40" s="46"/>
      <x:c r="C40" s="50"/>
      <x:c r="D40" s="46"/>
      <x:c r="E40" s="46"/>
      <x:c r="F40" s="46"/>
      <x:c r="G40" s="46"/>
      <x:c r="H40" s="46"/>
      <x:c r="I40" s="46"/>
      <x:c r="J40" s="46"/>
    </x:row>
    <x:row r="41">
      <x:c r="A41" s="46"/>
      <x:c r="B41" s="46"/>
      <x:c r="C41" s="50"/>
      <x:c r="D41" s="46"/>
      <x:c r="E41" s="46"/>
      <x:c r="F41" s="46"/>
      <x:c r="G41" s="46"/>
      <x:c r="H41" s="46"/>
      <x:c r="I41" s="46"/>
      <x:c r="J41" s="46"/>
    </x:row>
    <x:row r="42">
      <x:c r="A42" s="46"/>
      <x:c r="B42" s="46"/>
      <x:c r="C42" s="50"/>
      <x:c r="D42" s="46"/>
      <x:c r="E42" s="46"/>
      <x:c r="F42" s="46"/>
      <x:c r="G42" s="46"/>
      <x:c r="H42" s="46"/>
      <x:c r="I42" s="46"/>
      <x:c r="J42" s="46"/>
    </x:row>
    <x:row r="43">
      <x:c r="A43" s="46"/>
      <x:c r="B43" s="46"/>
      <x:c r="C43" s="50"/>
      <x:c r="D43" s="46"/>
      <x:c r="E43" s="46"/>
      <x:c r="F43" s="46"/>
      <x:c r="G43" s="46"/>
      <x:c r="H43" s="46"/>
      <x:c r="I43" s="46"/>
      <x:c r="J43" s="46"/>
    </x:row>
    <x:row r="44">
      <x:c r="A44" s="46"/>
      <x:c r="B44" s="46"/>
      <x:c r="C44" s="50"/>
      <x:c r="D44" s="46"/>
      <x:c r="E44" s="46"/>
      <x:c r="F44" s="46"/>
      <x:c r="G44" s="46"/>
      <x:c r="H44" s="46"/>
      <x:c r="I44" s="46"/>
      <x:c r="J44" s="46"/>
    </x:row>
    <x:row r="45">
      <x:c r="A45" s="46"/>
      <x:c r="B45" s="46"/>
      <x:c r="C45" s="50"/>
      <x:c r="D45" s="46"/>
      <x:c r="E45" s="46"/>
      <x:c r="F45" s="46"/>
      <x:c r="G45" s="46"/>
      <x:c r="H45" s="46"/>
      <x:c r="I45" s="46"/>
      <x:c r="J45" s="46"/>
    </x:row>
    <x:row r="46">
      <x:c r="A46" s="46"/>
      <x:c r="B46" s="46"/>
      <x:c r="C46" s="50"/>
      <x:c r="D46" s="46"/>
      <x:c r="E46" s="46"/>
      <x:c r="F46" s="46"/>
      <x:c r="G46" s="46"/>
      <x:c r="H46" s="46"/>
      <x:c r="I46" s="46"/>
      <x:c r="J46" s="46"/>
    </x:row>
    <x:row r="47">
      <x:c r="A47" s="46"/>
      <x:c r="B47" s="46"/>
      <x:c r="C47" s="50"/>
      <x:c r="D47" s="46"/>
      <x:c r="E47" s="46"/>
      <x:c r="F47" s="46"/>
      <x:c r="G47" s="46"/>
      <x:c r="H47" s="46"/>
      <x:c r="I47" s="46"/>
      <x:c r="J47" s="46"/>
    </x:row>
    <x:row r="48">
      <x:c r="A48" s="46"/>
      <x:c r="B48" s="46"/>
      <x:c r="C48" s="50"/>
      <x:c r="D48" s="46"/>
      <x:c r="E48" s="46"/>
      <x:c r="F48" s="46"/>
      <x:c r="G48" s="46"/>
      <x:c r="H48" s="46"/>
      <x:c r="I48" s="46"/>
      <x:c r="J48" s="46"/>
    </x:row>
    <x:row r="49">
      <x:c r="A49" s="46"/>
      <x:c r="B49" s="46"/>
      <x:c r="C49" s="50"/>
      <x:c r="D49" s="46"/>
      <x:c r="E49" s="46"/>
      <x:c r="F49" s="46"/>
      <x:c r="G49" s="46"/>
      <x:c r="H49" s="46"/>
      <x:c r="I49" s="46"/>
      <x:c r="J49" s="46"/>
    </x:row>
    <x:row r="50">
      <x:c r="A50" s="46"/>
      <x:c r="B50" s="46"/>
      <x:c r="C50" s="50"/>
      <x:c r="D50" s="46"/>
      <x:c r="E50" s="46"/>
      <x:c r="F50" s="46"/>
      <x:c r="G50" s="46"/>
      <x:c r="H50" s="46"/>
      <x:c r="I50" s="46"/>
      <x:c r="J50" s="46"/>
    </x:row>
    <x:row r="51">
      <x:c r="A51" s="46"/>
      <x:c r="B51" s="46"/>
      <x:c r="C51" s="50"/>
      <x:c r="D51" s="46"/>
      <x:c r="E51" s="46"/>
      <x:c r="F51" s="46"/>
      <x:c r="G51" s="46"/>
      <x:c r="H51" s="46"/>
      <x:c r="I51" s="46"/>
      <x:c r="J51" s="46"/>
    </x:row>
    <x:row r="52">
      <x:c r="A52" s="46"/>
      <x:c r="B52" s="46"/>
      <x:c r="C52" s="50"/>
      <x:c r="D52" s="46"/>
      <x:c r="E52" s="46"/>
      <x:c r="F52" s="46"/>
      <x:c r="G52" s="46"/>
      <x:c r="H52" s="46"/>
      <x:c r="I52" s="46"/>
      <x:c r="J52" s="46"/>
    </x:row>
    <x:row r="53">
      <x:c r="A53" s="46"/>
      <x:c r="B53" s="46"/>
      <x:c r="C53" s="50"/>
      <x:c r="D53" s="46"/>
      <x:c r="E53" s="46"/>
      <x:c r="F53" s="46"/>
      <x:c r="G53" s="46"/>
      <x:c r="H53" s="46"/>
      <x:c r="I53" s="46"/>
      <x:c r="J53" s="46"/>
    </x:row>
    <x:row r="54">
      <x:c r="A54" s="46"/>
      <x:c r="B54" s="46"/>
      <x:c r="C54" s="50"/>
      <x:c r="D54" s="46"/>
      <x:c r="E54" s="46"/>
      <x:c r="F54" s="46"/>
      <x:c r="G54" s="46"/>
      <x:c r="H54" s="46"/>
      <x:c r="I54" s="46"/>
      <x:c r="J54" s="46"/>
    </x:row>
    <x:row r="55">
      <x:c r="A55" s="46"/>
      <x:c r="B55" s="46"/>
      <x:c r="C55" s="50"/>
      <x:c r="D55" s="46"/>
      <x:c r="E55" s="46"/>
      <x:c r="F55" s="46"/>
      <x:c r="G55" s="46"/>
      <x:c r="H55" s="46"/>
      <x:c r="I55" s="46"/>
      <x:c r="J55" s="46"/>
    </x:row>
    <x:row r="56">
      <x:c r="A56" s="46"/>
      <x:c r="B56" s="46"/>
      <x:c r="C56" s="50"/>
      <x:c r="D56" s="46"/>
      <x:c r="E56" s="46"/>
      <x:c r="F56" s="46"/>
      <x:c r="G56" s="46"/>
      <x:c r="H56" s="46"/>
      <x:c r="I56" s="46"/>
      <x:c r="J56" s="46"/>
    </x:row>
    <x:row r="57">
      <x:c r="A57" s="46"/>
      <x:c r="B57" s="46"/>
      <x:c r="C57" s="50"/>
      <x:c r="D57" s="46"/>
      <x:c r="E57" s="46"/>
      <x:c r="F57" s="46"/>
      <x:c r="G57" s="46"/>
      <x:c r="H57" s="46"/>
      <x:c r="I57" s="46"/>
      <x:c r="J57" s="46"/>
    </x:row>
    <x:row r="58">
      <x:c r="A58" s="46"/>
      <x:c r="B58" s="46"/>
      <x:c r="C58" s="50"/>
      <x:c r="D58" s="46"/>
      <x:c r="E58" s="46"/>
      <x:c r="F58" s="46"/>
      <x:c r="G58" s="46"/>
      <x:c r="H58" s="46"/>
      <x:c r="I58" s="46"/>
      <x:c r="J58" s="46"/>
    </x:row>
    <x:row r="59">
      <x:c r="A59" s="46"/>
      <x:c r="B59" s="46"/>
      <x:c r="C59" s="50"/>
      <x:c r="D59" s="46"/>
      <x:c r="E59" s="46"/>
      <x:c r="F59" s="46"/>
      <x:c r="G59" s="46"/>
      <x:c r="H59" s="46"/>
      <x:c r="I59" s="46"/>
      <x:c r="J59" s="46"/>
    </x:row>
    <x:row r="60">
      <x:c r="A60" s="46"/>
      <x:c r="B60" s="46"/>
      <x:c r="C60" s="50"/>
      <x:c r="D60" s="46"/>
      <x:c r="E60" s="46"/>
      <x:c r="F60" s="46"/>
      <x:c r="G60" s="46"/>
      <x:c r="H60" s="46"/>
      <x:c r="I60" s="46"/>
      <x:c r="J60" s="46"/>
    </x:row>
    <x:row r="61">
      <x:c r="A61" s="46"/>
      <x:c r="B61" s="46"/>
      <x:c r="C61" s="50"/>
      <x:c r="D61" s="46"/>
      <x:c r="E61" s="46"/>
      <x:c r="F61" s="46"/>
      <x:c r="G61" s="46"/>
      <x:c r="H61" s="46"/>
      <x:c r="I61" s="46"/>
      <x:c r="J61" s="46"/>
    </x:row>
    <x:row r="62">
      <x:c r="A62" s="46"/>
      <x:c r="B62" s="46"/>
      <x:c r="C62" s="50"/>
      <x:c r="D62" s="46"/>
      <x:c r="E62" s="46"/>
      <x:c r="F62" s="46"/>
      <x:c r="G62" s="46"/>
      <x:c r="H62" s="46"/>
      <x:c r="I62" s="46"/>
      <x:c r="J62" s="46"/>
    </x:row>
    <x:row r="63">
      <x:c r="A63" s="46"/>
      <x:c r="B63" s="46"/>
      <x:c r="C63" s="50"/>
      <x:c r="D63" s="46"/>
      <x:c r="E63" s="46"/>
      <x:c r="F63" s="46"/>
      <x:c r="G63" s="46"/>
      <x:c r="H63" s="46"/>
      <x:c r="I63" s="46"/>
      <x:c r="J63" s="46"/>
    </x:row>
    <x:row r="64">
      <x:c r="A64" s="46"/>
      <x:c r="B64" s="46"/>
      <x:c r="C64" s="50"/>
      <x:c r="D64" s="46"/>
      <x:c r="E64" s="46"/>
      <x:c r="F64" s="46"/>
      <x:c r="G64" s="46"/>
      <x:c r="H64" s="46"/>
      <x:c r="I64" s="46"/>
      <x:c r="J64" s="46"/>
    </x:row>
    <x:row r="65">
      <x:c r="A65" s="46"/>
      <x:c r="B65" s="46"/>
      <x:c r="C65" s="50"/>
      <x:c r="D65" s="46"/>
      <x:c r="E65" s="46"/>
      <x:c r="F65" s="46"/>
      <x:c r="G65" s="46"/>
      <x:c r="H65" s="46"/>
      <x:c r="I65" s="46"/>
      <x:c r="J65" s="46"/>
    </x:row>
    <x:row r="66">
      <x:c r="A66" s="46"/>
      <x:c r="B66" s="46"/>
      <x:c r="C66" s="50"/>
      <x:c r="D66" s="46"/>
      <x:c r="E66" s="46"/>
      <x:c r="F66" s="46"/>
      <x:c r="G66" s="46"/>
      <x:c r="H66" s="46"/>
      <x:c r="I66" s="46"/>
      <x:c r="J66" s="46"/>
    </x:row>
    <x:row r="67">
      <x:c r="A67" s="46"/>
      <x:c r="B67" s="46"/>
      <x:c r="C67" s="50"/>
      <x:c r="D67" s="46"/>
      <x:c r="E67" s="46"/>
      <x:c r="F67" s="46"/>
      <x:c r="G67" s="46"/>
      <x:c r="H67" s="46"/>
      <x:c r="I67" s="46"/>
      <x:c r="J67" s="46"/>
    </x:row>
    <x:row r="68">
      <x:c r="A68" s="46"/>
      <x:c r="B68" s="46"/>
      <x:c r="C68" s="50"/>
      <x:c r="D68" s="46"/>
      <x:c r="E68" s="46"/>
      <x:c r="F68" s="46"/>
      <x:c r="G68" s="46"/>
      <x:c r="H68" s="46"/>
      <x:c r="I68" s="46"/>
      <x:c r="J68" s="46"/>
    </x:row>
    <x:row r="69">
      <x:c r="A69" s="46"/>
      <x:c r="B69" s="46"/>
      <x:c r="C69" s="50"/>
      <x:c r="D69" s="46"/>
      <x:c r="E69" s="46"/>
      <x:c r="F69" s="46"/>
      <x:c r="G69" s="46"/>
      <x:c r="H69" s="46"/>
      <x:c r="I69" s="46"/>
      <x:c r="J69" s="46"/>
    </x:row>
    <x:row r="70">
      <x:c r="A70" s="46"/>
      <x:c r="B70" s="46"/>
      <x:c r="C70" s="50"/>
      <x:c r="D70" s="46"/>
      <x:c r="E70" s="46"/>
      <x:c r="F70" s="46"/>
      <x:c r="G70" s="46"/>
      <x:c r="H70" s="46"/>
      <x:c r="I70" s="46"/>
      <x:c r="J70" s="46"/>
    </x:row>
    <x:row r="71">
      <x:c r="A71" s="46"/>
      <x:c r="B71" s="46"/>
      <x:c r="C71" s="50"/>
      <x:c r="D71" s="46"/>
      <x:c r="E71" s="46"/>
      <x:c r="F71" s="46"/>
      <x:c r="G71" s="46"/>
      <x:c r="H71" s="46"/>
      <x:c r="I71" s="46"/>
      <x:c r="J71" s="46"/>
    </x:row>
    <x:row r="72">
      <x:c r="A72" s="46"/>
      <x:c r="B72" s="46"/>
      <x:c r="C72" s="50"/>
      <x:c r="D72" s="46"/>
      <x:c r="E72" s="46"/>
      <x:c r="F72" s="46"/>
      <x:c r="G72" s="46"/>
      <x:c r="H72" s="46"/>
      <x:c r="I72" s="46"/>
      <x:c r="J72" s="46"/>
    </x:row>
    <x:row r="73">
      <x:c r="A73" s="46"/>
      <x:c r="B73" s="46"/>
      <x:c r="C73" s="50"/>
      <x:c r="D73" s="46"/>
      <x:c r="E73" s="46"/>
      <x:c r="F73" s="46"/>
      <x:c r="G73" s="46"/>
      <x:c r="H73" s="46"/>
      <x:c r="I73" s="46"/>
      <x:c r="J73" s="46"/>
    </x:row>
    <x:row r="74">
      <x:c r="A74" s="46"/>
      <x:c r="B74" s="46"/>
      <x:c r="C74" s="50"/>
      <x:c r="D74" s="46"/>
      <x:c r="E74" s="46"/>
      <x:c r="F74" s="46"/>
      <x:c r="G74" s="46"/>
      <x:c r="H74" s="46"/>
      <x:c r="I74" s="46"/>
      <x:c r="J74" s="46"/>
    </x:row>
    <x:row r="75">
      <x:c r="A75" s="46"/>
      <x:c r="B75" s="46"/>
      <x:c r="C75" s="50"/>
      <x:c r="D75" s="46"/>
      <x:c r="E75" s="46"/>
      <x:c r="F75" s="46"/>
      <x:c r="G75" s="46"/>
      <x:c r="H75" s="46"/>
      <x:c r="I75" s="46"/>
      <x:c r="J75" s="46"/>
    </x:row>
    <x:row r="76">
      <x:c r="A76" s="46"/>
      <x:c r="B76" s="46"/>
      <x:c r="C76" s="50"/>
      <x:c r="D76" s="46"/>
      <x:c r="E76" s="46"/>
      <x:c r="F76" s="46"/>
      <x:c r="G76" s="46"/>
      <x:c r="H76" s="46"/>
      <x:c r="I76" s="46"/>
      <x:c r="J76" s="46"/>
    </x:row>
    <x:row r="77">
      <x:c r="A77" s="46"/>
      <x:c r="B77" s="46"/>
      <x:c r="C77" s="50"/>
      <x:c r="D77" s="46"/>
      <x:c r="E77" s="46"/>
      <x:c r="F77" s="46"/>
      <x:c r="G77" s="46"/>
      <x:c r="H77" s="46"/>
      <x:c r="I77" s="46"/>
      <x:c r="J77" s="46"/>
    </x:row>
    <x:row r="78">
      <x:c r="A78" s="46"/>
      <x:c r="B78" s="46"/>
      <x:c r="C78" s="50"/>
      <x:c r="D78" s="46"/>
      <x:c r="E78" s="46"/>
      <x:c r="F78" s="46"/>
      <x:c r="G78" s="46"/>
      <x:c r="H78" s="46"/>
      <x:c r="I78" s="46"/>
      <x:c r="J78" s="46"/>
    </x:row>
    <x:row r="79">
      <x:c r="A79" s="46"/>
      <x:c r="B79" s="46"/>
      <x:c r="C79" s="50"/>
      <x:c r="D79" s="46"/>
      <x:c r="E79" s="46"/>
      <x:c r="F79" s="46"/>
      <x:c r="G79" s="46"/>
      <x:c r="H79" s="46"/>
      <x:c r="I79" s="46"/>
      <x:c r="J79" s="46"/>
    </x:row>
    <x:row r="80">
      <x:c r="A80" s="46"/>
      <x:c r="B80" s="46"/>
      <x:c r="C80" s="50"/>
      <x:c r="D80" s="46"/>
      <x:c r="E80" s="46"/>
      <x:c r="F80" s="46"/>
      <x:c r="G80" s="46"/>
      <x:c r="H80" s="46"/>
      <x:c r="I80" s="46"/>
      <x:c r="J80" s="46"/>
    </x:row>
    <x:row r="81">
      <x:c r="A81" s="46"/>
      <x:c r="B81" s="46"/>
      <x:c r="C81" s="50"/>
      <x:c r="D81" s="46"/>
      <x:c r="E81" s="46"/>
      <x:c r="F81" s="46"/>
      <x:c r="G81" s="46"/>
      <x:c r="H81" s="46"/>
      <x:c r="I81" s="46"/>
      <x:c r="J81" s="46"/>
    </x:row>
    <x:row r="82">
      <x:c r="A82" s="46"/>
      <x:c r="B82" s="46"/>
      <x:c r="C82" s="50"/>
      <x:c r="D82" s="46"/>
      <x:c r="E82" s="46"/>
      <x:c r="F82" s="46"/>
      <x:c r="G82" s="46"/>
      <x:c r="H82" s="46"/>
      <x:c r="I82" s="46"/>
      <x:c r="J82" s="46"/>
    </x:row>
    <x:row r="83">
      <x:c r="A83" s="46"/>
      <x:c r="B83" s="46"/>
      <x:c r="C83" s="50"/>
      <x:c r="D83" s="46"/>
      <x:c r="E83" s="46"/>
      <x:c r="F83" s="46"/>
      <x:c r="G83" s="46"/>
      <x:c r="H83" s="46"/>
      <x:c r="I83" s="46"/>
      <x:c r="J83" s="46"/>
    </x:row>
    <x:row r="84">
      <x:c r="A84" s="46"/>
      <x:c r="B84" s="46"/>
      <x:c r="C84" s="50"/>
      <x:c r="D84" s="46"/>
      <x:c r="E84" s="46"/>
      <x:c r="F84" s="46"/>
      <x:c r="G84" s="46"/>
      <x:c r="H84" s="46"/>
      <x:c r="I84" s="46"/>
      <x:c r="J84" s="46"/>
    </x:row>
    <x:row r="85">
      <x:c r="A85" s="46"/>
      <x:c r="B85" s="46"/>
      <x:c r="C85" s="50"/>
      <x:c r="D85" s="46"/>
      <x:c r="E85" s="46"/>
      <x:c r="F85" s="46"/>
      <x:c r="G85" s="46"/>
      <x:c r="H85" s="46"/>
      <x:c r="I85" s="46"/>
      <x:c r="J85" s="46"/>
    </x:row>
    <x:row r="86">
      <x:c r="A86" s="46"/>
      <x:c r="B86" s="46"/>
      <x:c r="C86" s="50"/>
      <x:c r="D86" s="46"/>
      <x:c r="E86" s="46"/>
      <x:c r="F86" s="46"/>
      <x:c r="G86" s="46"/>
      <x:c r="H86" s="46"/>
      <x:c r="I86" s="46"/>
      <x:c r="J86" s="46"/>
    </x:row>
    <x:row r="87">
      <x:c r="A87" s="46"/>
      <x:c r="B87" s="46"/>
      <x:c r="C87" s="50"/>
      <x:c r="D87" s="46"/>
      <x:c r="E87" s="46"/>
      <x:c r="F87" s="46"/>
      <x:c r="G87" s="46"/>
      <x:c r="H87" s="46"/>
      <x:c r="I87" s="46"/>
      <x:c r="J87" s="46"/>
    </x:row>
    <x:row r="88">
      <x:c r="A88" s="46"/>
      <x:c r="B88" s="46"/>
      <x:c r="C88" s="50"/>
      <x:c r="D88" s="46"/>
      <x:c r="E88" s="46"/>
      <x:c r="F88" s="46"/>
      <x:c r="G88" s="46"/>
      <x:c r="H88" s="46"/>
      <x:c r="I88" s="46"/>
      <x:c r="J88" s="46"/>
    </x:row>
    <x:row r="89">
      <x:c r="A89" s="46"/>
      <x:c r="B89" s="46"/>
      <x:c r="C89" s="50"/>
      <x:c r="D89" s="46"/>
      <x:c r="E89" s="46"/>
      <x:c r="F89" s="46"/>
      <x:c r="G89" s="46"/>
      <x:c r="H89" s="46"/>
      <x:c r="I89" s="46"/>
      <x:c r="J89" s="46"/>
    </x:row>
    <x:row r="90">
      <x:c r="A90" s="46"/>
      <x:c r="B90" s="46"/>
      <x:c r="C90" s="50"/>
      <x:c r="D90" s="46"/>
      <x:c r="E90" s="46"/>
      <x:c r="F90" s="46"/>
      <x:c r="G90" s="46"/>
      <x:c r="H90" s="46"/>
      <x:c r="I90" s="46"/>
      <x:c r="J90" s="46"/>
    </x:row>
    <x:row r="91">
      <x:c r="A91" s="46"/>
      <x:c r="B91" s="46"/>
      <x:c r="C91" s="50"/>
      <x:c r="D91" s="46"/>
      <x:c r="E91" s="46"/>
      <x:c r="F91" s="46"/>
      <x:c r="G91" s="46"/>
      <x:c r="H91" s="46"/>
      <x:c r="I91" s="46"/>
      <x:c r="J91" s="46"/>
    </x:row>
    <x:row r="92">
      <x:c r="A92" s="46"/>
      <x:c r="B92" s="46"/>
      <x:c r="C92" s="50"/>
      <x:c r="D92" s="46"/>
      <x:c r="E92" s="46"/>
      <x:c r="F92" s="46"/>
      <x:c r="G92" s="46"/>
      <x:c r="H92" s="46"/>
      <x:c r="I92" s="46"/>
      <x:c r="J92" s="46"/>
    </x:row>
    <x:row r="93">
      <x:c r="A93" s="46"/>
      <x:c r="B93" s="46"/>
      <x:c r="C93" s="50"/>
      <x:c r="D93" s="46"/>
      <x:c r="E93" s="46"/>
      <x:c r="F93" s="46"/>
      <x:c r="G93" s="46"/>
      <x:c r="H93" s="46"/>
      <x:c r="I93" s="46"/>
      <x:c r="J93" s="46"/>
    </x:row>
    <x:row r="94">
      <x:c r="A94" s="46"/>
      <x:c r="B94" s="46"/>
      <x:c r="C94" s="50"/>
      <x:c r="D94" s="46"/>
      <x:c r="E94" s="46"/>
      <x:c r="F94" s="46"/>
      <x:c r="G94" s="46"/>
      <x:c r="H94" s="46"/>
      <x:c r="I94" s="46"/>
      <x:c r="J94" s="46"/>
    </x:row>
    <x:row r="95">
      <x:c r="A95" s="46"/>
      <x:c r="B95" s="46"/>
      <x:c r="C95" s="50"/>
      <x:c r="D95" s="46"/>
      <x:c r="E95" s="46"/>
      <x:c r="F95" s="46"/>
      <x:c r="G95" s="46"/>
      <x:c r="H95" s="46"/>
      <x:c r="I95" s="46"/>
      <x:c r="J95" s="46"/>
    </x:row>
    <x:row r="96">
      <x:c r="A96" s="46"/>
      <x:c r="B96" s="46"/>
      <x:c r="C96" s="50"/>
      <x:c r="D96" s="46"/>
      <x:c r="E96" s="46"/>
      <x:c r="F96" s="46"/>
      <x:c r="G96" s="46"/>
      <x:c r="H96" s="46"/>
      <x:c r="I96" s="46"/>
      <x:c r="J96" s="46"/>
    </x:row>
    <x:row r="97">
      <x:c r="A97" s="46"/>
      <x:c r="B97" s="46"/>
      <x:c r="C97" s="50"/>
      <x:c r="D97" s="46"/>
      <x:c r="E97" s="46"/>
      <x:c r="F97" s="46"/>
      <x:c r="G97" s="46"/>
      <x:c r="H97" s="46"/>
      <x:c r="I97" s="46"/>
      <x:c r="J97" s="46"/>
    </x:row>
    <x:row r="98">
      <x:c r="A98" s="46"/>
      <x:c r="B98" s="46"/>
      <x:c r="C98" s="50"/>
      <x:c r="D98" s="46"/>
      <x:c r="E98" s="46"/>
      <x:c r="F98" s="46"/>
      <x:c r="G98" s="46"/>
      <x:c r="H98" s="46"/>
      <x:c r="I98" s="46"/>
      <x:c r="J98" s="46"/>
    </x:row>
    <x:row r="99">
      <x:c r="A99" s="46"/>
      <x:c r="B99" s="46"/>
      <x:c r="C99" s="50"/>
      <x:c r="D99" s="46"/>
      <x:c r="E99" s="46"/>
      <x:c r="F99" s="46"/>
      <x:c r="G99" s="46"/>
      <x:c r="H99" s="46"/>
      <x:c r="I99" s="46"/>
      <x:c r="J99" s="46"/>
    </x:row>
    <x:row r="100">
      <x:c r="A100" s="46"/>
      <x:c r="B100" s="46"/>
      <x:c r="C100" s="50"/>
      <x:c r="D100" s="46"/>
      <x:c r="E100" s="46"/>
      <x:c r="F100" s="46"/>
      <x:c r="G100" s="46"/>
      <x:c r="H100" s="46"/>
      <x:c r="I100" s="46"/>
      <x:c r="J100" s="46"/>
    </x:row>
  </x:sheetData>
  <x:mergeCells>
    <x:mergeCell ref="A1:J1"/>
  </x:mergeCells>
  <x:dataValidations count="1">
    <x:dataValidation type="list" sqref="H5:H100">
      <x:formula1>"Passed,Failed,Blocked,Partial,Not Testable"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6b40266575434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6" hidden="0" customWidth="1"/>
    <x:col min="4" max="4" width="42" hidden="0" customWidth="1"/>
    <x:col min="5" max="5" width="42" hidden="0" customWidth="1"/>
    <x:col min="6" max="6" width="20" hidden="0" customWidth="1"/>
    <x:col min="7" max="7" width="12" hidden="0" customWidth="1"/>
    <x:col min="8" max="8" width="46" hidden="0" customWidth="1"/>
    <x:col min="9" max="9" width="22" hidden="0" customWidth="1"/>
    <x:col min="10" max="10" width="18" hidden="0" customWidth="1"/>
    <x:col min="11" max="11" width="14" hidden="0" customWidth="1"/>
    <x:col min="12" max="12" width="34" hidden="0" customWidth="1"/>
    <x:col min="13" max="13" width="36" hidden="0" customWidth="1"/>
  </x:cols>
  <x:sheetData>
    <x:row r="1" ht="32" customHeight="1">
      <x:c r="A1" s="3" t="str">
        <x:v>Business E2E Gap 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4">
      <x:c r="A4" s="46" t="str">
        <x:v>Gap ID</x:v>
      </x:c>
      <x:c r="B4" s="46" t="str">
        <x:v>Step ID</x:v>
      </x:c>
      <x:c r="C4" s="46" t="str">
        <x:v>Object/Screen</x:v>
      </x:c>
      <x:c r="D4" s="46" t="str">
        <x:v>Expected Business</x:v>
      </x:c>
      <x:c r="E4" s="46" t="str">
        <x:v>DevInt Actual</x:v>
      </x:c>
      <x:c r="F4" s="46" t="str">
        <x:v>Gap Type</x:v>
      </x:c>
      <x:c r="G4" s="46" t="str">
        <x:v>Severity</x:v>
      </x:c>
      <x:c r="H4" s="46" t="str">
        <x:v>Recommendation</x:v>
      </x:c>
      <x:c r="I4" s="46" t="str">
        <x:v>BA Decision</x:v>
      </x:c>
      <x:c r="J4" s="46" t="str">
        <x:v>Owner</x:v>
      </x:c>
      <x:c r="K4" s="46" t="str">
        <x:v>Retest</x:v>
      </x:c>
      <x:c r="L4" s="46" t="str">
        <x:v>Evidence</x:v>
      </x:c>
      <x:c r="M4" s="46" t="str">
        <x:v>Notes</x:v>
      </x:c>
    </x:row>
    <x:row r="5" ht="72" customHeight="1">
      <x:c r="A5" s="46" t="str">
        <x:v>DOC-001</x:v>
      </x:c>
      <x:c r="B5" s="46" t="str">
        <x:v>E2E-06</x:v>
      </x:c>
      <x:c r="C5" s="46" t="str">
        <x:v>Release/Milestone SRS</x:v>
      </x:c>
      <x:c r="D5" s="46" t="str">
        <x:v>Work Item has at most one Release and may have multiple Milestones</x:v>
      </x:c>
      <x:c r="E5" s="46" t="str">
        <x:v>Current Release and Milestone SRS already state this rule</x:v>
      </x:c>
      <x:c r="F5" s="46" t="str">
        <x:v>Invalidated</x:v>
      </x:c>
      <x:c r="G5" s="46" t="str">
        <x:v>-</x:v>
      </x:c>
      <x:c r="H5" s="46" t="str">
        <x:v>No document change for Release cardinality; preserve the confirmed C01 rule</x:v>
      </x:c>
      <x:c r="I5" s="46" t="str">
        <x:v>Invalidated</x:v>
      </x:c>
      <x:c r="J5" s="46" t="str">
        <x:v>BA / Docs</x:v>
      </x:c>
      <x:c r="K5" s="46" t="str">
        <x:v>Not Required</x:v>
      </x:c>
      <x:c r="L5" s="46" t="str"/>
      <x:c r="M5" s="46" t="str">
        <x:v>Tracker expectation was corrected against the final reconciliation log</x:v>
      </x:c>
    </x:row>
    <x:row r="6" ht="72" customHeight="1">
      <x:c r="A6" s="46" t="str">
        <x:v>DOC-002</x:v>
      </x:c>
      <x:c r="B6" s="46" t="str">
        <x:v>E2E-08</x:v>
      </x:c>
      <x:c r="C6" s="46" t="str">
        <x:v>Task/Time SRS</x:v>
      </x:c>
      <x:c r="D6" s="46" t="str">
        <x:v>Estimate is read-only and equals To Do + Actuals</x:v>
      </x:c>
      <x:c r="E6" s="46" t="str">
        <x:v>Current SRS allows Estimate as an independent input</x:v>
      </x:c>
      <x:c r="F6" s="46" t="str">
        <x:v>Documentation</x:v>
      </x:c>
      <x:c r="G6" s="46" t="str">
        <x:v>P0</x:v>
      </x:c>
      <x:c r="H6" s="46" t="str">
        <x:v>Reconcile Task Management and Time Tracking SRS plus mockup</x:v>
      </x:c>
      <x:c r="I6" s="46" t="str">
        <x:v>Fix Direction Approved</x:v>
      </x:c>
      <x:c r="J6" s="46" t="str">
        <x:v>BA / Docs</x:v>
      </x:c>
      <x:c r="K6" s="46" t="str">
        <x:v>Not Run</x:v>
      </x:c>
      <x:c r="L6" s="46" t="str"/>
      <x:c r="M6" s="46" t="str">
        <x:v>Latest BA decision is authoritative</x:v>
      </x:c>
    </x:row>
    <x:row r="7" ht="72" customHeight="1">
      <x:c r="A7" s="46" t="str">
        <x:v>DEV-001</x:v>
      </x:c>
      <x:c r="B7" s="46" t="str">
        <x:v>E2E-01</x:v>
      </x:c>
      <x:c r="C7" s="46" t="str">
        <x:v>Timeboxes / New Iteration</x:v>
      </x:c>
      <x:c r="D7" s="46" t="str">
        <x:v>Iteration states are Planning, Committed and Accepted</x:v>
      </x:c>
      <x:c r="E7" s="46" t="str">
        <x:v>DevInt exposes the correct three states</x:v>
      </x:c>
      <x:c r="F7" s="46" t="str">
        <x:v>Invalidated</x:v>
      </x:c>
      <x:c r="G7" s="46" t="str">
        <x:v>-</x:v>
      </x:c>
      <x:c r="H7" s="46" t="str">
        <x:v>No Dev change; reconcile the main Phase 2 SRS with the confirmed reconciliation record</x:v>
      </x:c>
      <x:c r="I7" s="46" t="str">
        <x:v>Invalidated</x:v>
      </x:c>
      <x:c r="J7" s="46" t="str">
        <x:v>BA / Docs</x:v>
      </x:c>
      <x:c r="K7" s="46" t="str">
        <x:v>Not Required</x:v>
      </x:c>
      <x:c r="L7" s="46" t="str">
        <x:v>evidence/E2E-01/01-create-form.png</x:v>
      </x:c>
      <x:c r="M7" s="46" t="str">
        <x:v>BA reconfirmed on 2026-07-20 that Committed is valid</x:v>
      </x:c>
    </x:row>
    <x:row r="8" ht="72" customHeight="1">
      <x:c r="A8" s="46" t="str">
        <x:v>DEV-002</x:v>
      </x:c>
      <x:c r="B8" s="46" t="str">
        <x:v>E2E-01</x:v>
      </x:c>
      <x:c r="C8" s="46" t="str">
        <x:v>New Iteration quick create</x:v>
      </x:c>
      <x:c r="D8" s="46" t="str">
        <x:v>Quick create includes and inherits active Project/Team context; selected Team must belong to Project</x:v>
      </x:c>
      <x:c r="E8" s="46" t="str">
        <x:v>Form shows Team only, offers No team and Team Alpha, and does not show Project or Type</x:v>
      </x:c>
      <x:c r="F8" s="46" t="str">
        <x:v>UI / Business</x:v>
      </x:c>
      <x:c r="G8" s="46" t="str">
        <x:v>P1</x:v>
      </x:c>
      <x:c r="H8" s="46" t="str">
        <x:v>Add Type and Project; inherit Project from active context; keep Team behavior separately testable</x:v>
      </x:c>
      <x:c r="I8" s="46" t="str">
        <x:v>Confirmed</x:v>
      </x:c>
      <x:c r="J8" s="46" t="str">
        <x:v>Dev</x:v>
      </x:c>
      <x:c r="K8" s="46" t="str">
        <x:v>Not Run</x:v>
      </x:c>
      <x:c r="L8" s="46" t="str">
        <x:v>evidence/E2E-01/01-create-form.png</x:v>
      </x:c>
      <x:c r="M8" s="46" t="str">
        <x:v>BA approved the proposed UI addition on 2026-07-20</x:v>
      </x:c>
    </x:row>
    <x:row r="9" ht="72" customHeight="1">
      <x:c r="A9" s="46" t="str">
        <x:v>DEV-003</x:v>
      </x:c>
      <x:c r="B9" s="46" t="str">
        <x:v>E2E-00; E2E-01</x:v>
      </x:c>
      <x:c r="C9" s="46" t="str">
        <x:v>Project/Team context</x:v>
      </x:c>
      <x:c r="D9" s="46" t="str">
        <x:v>A valid linked Team can be selected when Team behavior is in test scope</x:v>
      </x:c>
      <x:c r="E9" s="46" t="str">
        <x:v>Team Alpha is selectable but submit returns Team is not linked to this project</x:v>
      </x:c>
      <x:c r="F9" s="46" t="str">
        <x:v>Test Data / Integration</x:v>
      </x:c>
      <x:c r="G9" s="46" t="str">
        <x:v>P2</x:v>
      </x:c>
      <x:c r="H9" s="46" t="str">
        <x:v>Defer Team validation; provide linked Team data and rerun later</x:v>
      </x:c>
      <x:c r="I9" s="46" t="str">
        <x:v>Confirmed</x:v>
      </x:c>
      <x:c r="J9" s="46" t="str">
        <x:v>Dev / Test Data</x:v>
      </x:c>
      <x:c r="K9" s="46" t="str">
        <x:v>Not Testable</x:v>
      </x:c>
      <x:c r="L9" s="46" t="str">
        <x:v>evidence/E2E-01/02-team-not-linked.png</x:v>
      </x:c>
      <x:c r="M9" s="46" t="str">
        <x:v>BA directed use of No team so the remaining business chain can continue</x:v>
      </x:c>
    </x:row>
    <x:row r="10" ht="72" customHeight="1">
      <x:c r="A10" s="46" t="str">
        <x:v>DEV-004</x:v>
      </x:c>
      <x:c r="B10" s="46" t="str">
        <x:v>E2E-02</x:v>
      </x:c>
      <x:c r="C10" s="46" t="str">
        <x:v>Release navigation</x:v>
      </x:c>
      <x:c r="D10" s="46" t="str">
        <x:v>Phase 3 Release Management is accessed under Plan &gt; Timeboxes; Portfolio &gt; Release Planning is Future Phase 5</x:v>
      </x:c>
      <x:c r="E10" s="46" t="str">
        <x:v>DevInt exposes Releases as an active top-level navigation item at /releases</x:v>
      </x:c>
      <x:c r="F10" s="46" t="str">
        <x:v>Navigation / Scope</x:v>
      </x:c>
      <x:c r="G10" s="46" t="str">
        <x:v>P1</x:v>
      </x:c>
      <x:c r="H10" s="46" t="str">
        <x:v>Move current Release Management under Timeboxes and remove the top-level Releases entry</x:v>
      </x:c>
      <x:c r="I10" s="46" t="str">
        <x:v>Confirmed</x:v>
      </x:c>
      <x:c r="J10" s="46" t="str">
        <x:v>Dev</x:v>
      </x:c>
      <x:c r="K10" s="46" t="str">
        <x:v>Not Run</x:v>
      </x:c>
      <x:c r="L10" s="46" t="str">
        <x:v>evidence/E2E-02/03-releases-persisted.png</x:v>
      </x:c>
      <x:c r="M10" s="46" t="str">
        <x:v>Matches the earlier DevInt-alignment decision</x:v>
      </x:c>
    </x:row>
    <x:row r="11" ht="72" customHeight="1">
      <x:c r="A11" s="46" t="str">
        <x:v>DEV-005</x:v>
      </x:c>
      <x:c r="B11" s="46" t="str">
        <x:v>E2E-02</x:v>
      </x:c>
      <x:c r="C11" s="46" t="str">
        <x:v>Releases list</x:v>
      </x:c>
      <x:c r="D11" s="46" t="str">
        <x:v>Phase 3 shows Release assignment/readiness fields only; Release progress/tracking is Future Phase 5</x:v>
      </x:c>
      <x:c r="E11" s="46" t="str">
        <x:v>Current Phase 3-looking list exposes a Progress column</x:v>
      </x:c>
      <x:c r="F11" s="46" t="str">
        <x:v>Scope Leakage</x:v>
      </x:c>
      <x:c r="G11" s="46" t="str">
        <x:v>P1</x:v>
      </x:c>
      <x:c r="H11" s="46" t="str">
        <x:v>Remove/hide Progress from current Release Management; implement tracking later in Portfolio &gt; Release Planning</x:v>
      </x:c>
      <x:c r="I11" s="46" t="str">
        <x:v>Confirmed</x:v>
      </x:c>
      <x:c r="J11" s="46" t="str">
        <x:v>Dev</x:v>
      </x:c>
      <x:c r="K11" s="46" t="str">
        <x:v>Not Run</x:v>
      </x:c>
      <x:c r="L11" s="46" t="str">
        <x:v>evidence/E2E-02/03-releases-persisted.png</x:v>
      </x:c>
      <x:c r="M11" s="46" t="str">
        <x:v>Do not use the current dash/percentage as Phase 3 acceptance evidence</x:v>
      </x:c>
    </x:row>
    <x:row r="12" ht="72" customHeight="1">
      <x:c r="A12" s="46" t="str">
        <x:v>DEV-006</x:v>
      </x:c>
      <x:c r="B12" s="46" t="str">
        <x:v>E2E-03</x:v>
      </x:c>
      <x:c r="C12" s="46" t="str">
        <x:v>Milestone Associated Releases</x:v>
      </x:c>
      <x:c r="D12" s="46" t="str">
        <x:v>Same-project Releases are selectable in Create/Edit; one Milestone may link multiple Releases and derive MIN start / MAX end</x:v>
      </x:c>
      <x:c r="E12" s="46" t="str">
        <x:v>Create and Edit display No releases available although Release A and B exist in NXP</x:v>
      </x:c>
      <x:c r="F12" s="46" t="str">
        <x:v>Business Integration</x:v>
      </x:c>
      <x:c r="G12" s="46" t="str">
        <x:v>P0</x:v>
      </x:c>
      <x:c r="H12" s="46" t="str">
        <x:v>Load current-project Releases into the Milestone multi-select, persist many-to-many links, and recalculate derived dates on add/remove</x:v>
      </x:c>
      <x:c r="I12" s="46" t="str">
        <x:v>Confirmed</x:v>
      </x:c>
      <x:c r="J12" s="46" t="str">
        <x:v>Dev</x:v>
      </x:c>
      <x:c r="K12" s="46" t="str">
        <x:v>Not Run</x:v>
      </x:c>
      <x:c r="L12" s="46" t="str">
        <x:v>evidence/E2E-03/03-edit-no-releases.png</x:v>
      </x:c>
      <x:c r="M12" s="46" t="str">
        <x:v>BA confirmed the gap and fix direction on 2026-07-20</x:v>
      </x:c>
    </x:row>
    <x:row r="13" ht="72" customHeight="1">
      <x:c r="A13" s="46" t="str">
        <x:v>DEV-007</x:v>
      </x:c>
      <x:c r="B13" s="46" t="str">
        <x:v>E2E-04</x:v>
      </x:c>
      <x:c r="C13" s="46" t="str">
        <x:v>Backlog Story creation</x:v>
      </x:c>
      <x:c r="D13" s="46" t="str">
        <x:v>A valid create path produces exactly one Story in the active Project</x:v>
      </x:c>
      <x:c r="E13" s="46" t="str">
        <x:v>No team returns a generic unexpected error; Team Alpha returns Team is not linked to this project; no record is created</x:v>
      </x:c>
      <x:c r="F13" s="46" t="str">
        <x:v>Functional Blocker</x:v>
      </x:c>
      <x:c r="G13" s="46" t="str">
        <x:v>P0</x:v>
      </x:c>
      <x:c r="H13" s="46" t="str">
        <x:v>Provide a valid current-Project Team path, prevent incompatible selections, return field-level validation, and ensure one successful create commit</x:v>
      </x:c>
      <x:c r="I13" s="46" t="str">
        <x:v>Confirmed</x:v>
      </x:c>
      <x:c r="J13" s="46" t="str">
        <x:v>Dev / Test Data</x:v>
      </x:c>
      <x:c r="K13" s="46" t="str">
        <x:v>Not Run</x:v>
      </x:c>
      <x:c r="L13" s="46" t="str">
        <x:v>evidence/E2E-04/02-no-team-unexpected-error.png; evidence/E2E-04/03-team-not-linked.png; evidence/E2E-04/04-no-record-after-attempts.png</x:v>
      </x:c>
      <x:c r="M13" s="46" t="str">
        <x:v>BA directed this finding to Dev on 2026-07-20</x:v>
      </x:c>
    </x:row>
    <x:row r="14" ht="72" customHeight="1">
      <x:c r="A14" s="46" t="str">
        <x:v>DEV-008</x:v>
      </x:c>
      <x:c r="B14" s="46" t="str">
        <x:v>E2E-04</x:v>
      </x:c>
      <x:c r="C14" s="46" t="str">
        <x:v>New Work Item quick create</x:v>
      </x:c>
      <x:c r="D14" s="46" t="str">
        <x:v>Quick create fields are Type, Title, Project, Team, Owner and Plan Estimate; Project defaults current and Team is filtered by Project</x:v>
      </x:c>
      <x:c r="E14" s="46" t="str">
        <x:v>Project is absent; No team and an incompatible Team Alpha are both offered</x:v>
      </x:c>
      <x:c r="F14" s="46" t="str">
        <x:v>UI / Business</x:v>
      </x:c>
      <x:c r="G14" s="46" t="str">
        <x:v>P1</x:v>
      </x:c>
      <x:c r="H14" s="46" t="str">
        <x:v>Add required Project defaulted to current context; filter Team to active project membership; align requiredness/options with the confirmed mockup</x:v>
      </x:c>
      <x:c r="I14" s="46" t="str">
        <x:v>Confirmed</x:v>
      </x:c>
      <x:c r="J14" s="46" t="str">
        <x:v>Dev</x:v>
      </x:c>
      <x:c r="K14" s="46" t="str">
        <x:v>Not Run</x:v>
      </x:c>
      <x:c r="L14" s="46" t="str">
        <x:v>evidence/E2E-04/01-create-form.png</x:v>
      </x:c>
      <x:c r="M14" s="46" t="str">
        <x:v>BA directed this finding to Dev on 2026-07-20; Iteration and Release stay out of quick create</x:v>
      </x:c>
    </x:row>
    <x:row r="15" ht="72" customHeight="1">
      <x:c r="A15" s="46" t="str">
        <x:v>DEV-009</x:v>
      </x:c>
      <x:c r="B15" s="46" t="str">
        <x:v>E2E-04; E2E-11</x:v>
      </x:c>
      <x:c r="C15" s="46" t="str">
        <x:v>Backlog state controls</x:v>
      </x:c>
      <x:c r="D15" s="46" t="str">
        <x:v>Flow State is the six-button control; Schedule State is a dropdown; both use Idea/Defined/In-Progress/Completed/Accepted/Release and mirror</x:v>
      </x:c>
      <x:c r="E15" s="46" t="str">
        <x:v>Only a Schedule State column is visible and it is rendered as the six-button control; Flow State is absent</x:v>
      </x:c>
      <x:c r="F15" s="46" t="str">
        <x:v>UI / Business</x:v>
      </x:c>
      <x:c r="G15" s="46" t="str">
        <x:v>P0</x:v>
      </x:c>
      <x:c r="H15" s="46" t="str">
        <x:v>Render the six-button control as Flow State, add Schedule State dropdown, use the exact catalog, and update both atomically in either direction</x:v>
      </x:c>
      <x:c r="I15" s="46" t="str">
        <x:v>Confirmed</x:v>
      </x:c>
      <x:c r="J15" s="46" t="str">
        <x:v>Dev</x:v>
      </x:c>
      <x:c r="K15" s="46" t="str">
        <x:v>Not Run</x:v>
      </x:c>
      <x:c r="L15" s="46" t="str">
        <x:v>evidence/E2E-04/04-no-record-after-attempts.png</x:v>
      </x:c>
      <x:c r="M15" s="46" t="str">
        <x:v>BA already confirmed this presentation and mirror rule during DevInt alignment</x:v>
      </x:c>
    </x:row>
    <x:row r="16" ht="72" customHeight="1">
      <x:c r="A16" s="46" t="str">
        <x:v>DEV-010</x:v>
      </x:c>
      <x:c r="B16" s="46" t="str">
        <x:v>E2E-05</x:v>
      </x:c>
      <x:c r="C16" s="46" t="str">
        <x:v>Iteration Status / All Teams</x:v>
      </x:c>
      <x:c r="D16" s="46" t="str">
        <x:v>Iteration Status is supported only under a valid selected Team; All Teams behavior is not required</x:v>
      </x:c>
      <x:c r="E16" s="46" t="str">
        <x:v>All Teams shows no Iterations; Team Alpha exposes its linked Sprint 26.2</x:v>
      </x:c>
      <x:c r="F16" s="46" t="str">
        <x:v>Scope Decision</x:v>
      </x:c>
      <x:c r="G16" s="46" t="str">
        <x:v>-</x:v>
      </x:c>
      <x:c r="H16" s="46" t="str">
        <x:v>Do not implement All Teams for Iteration Status; retest same-ID and totals later with valid Team-linked data</x:v>
      </x:c>
      <x:c r="I16" s="46" t="str">
        <x:v>Accepted As-Is</x:v>
      </x:c>
      <x:c r="J16" s="46" t="str">
        <x:v>Dev / Test Data</x:v>
      </x:c>
      <x:c r="K16" s="46" t="str">
        <x:v>Not Testable</x:v>
      </x:c>
      <x:c r="L16" s="46" t="str">
        <x:v>evidence/E2E-05/04-iteration-status-no-iterations.png; evidence/E2E-05/05-team-alpha-iteration-status.png</x:v>
      </x:c>
      <x:c r="M16" s="46" t="str">
        <x:v>BA explicitly confirmed no All Teams requirement on 2026-07-20</x:v>
      </x:c>
    </x:row>
    <x:row r="17" ht="72" customHeight="1">
      <x:c r="A17" s="46" t="str">
        <x:v>DEV-011</x:v>
      </x:c>
      <x:c r="B17" s="46" t="str">
        <x:v>E2E-06</x:v>
      </x:c>
      <x:c r="C17" s="46" t="str">
        <x:v>Work Item Detail Milestones</x:v>
      </x:c>
      <x:c r="D17" s="46" t="str">
        <x:v>Work Item has a Milestone multi-select; without Release show valid current-project options, with Release show related add-new options while retaining selected Milestones</x:v>
      </x:c>
      <x:c r="E17" s="46" t="str">
        <x:v>Work Item Detail has no Milestone field or control</x:v>
      </x:c>
      <x:c r="F17" s="46" t="str">
        <x:v>Missing Function</x:v>
      </x:c>
      <x:c r="G17" s="46" t="str">
        <x:v>P0</x:v>
      </x:c>
      <x:c r="H17" s="46" t="str">
        <x:v>Add Milestone multi-select, load valid scoped options, apply Release-related add-new filtering, preserve selected values across Release changes, and persist independently</x:v>
      </x:c>
      <x:c r="I17" s="46" t="str">
        <x:v>Confirmed</x:v>
      </x:c>
      <x:c r="J17" s="46" t="str">
        <x:v>Dev</x:v>
      </x:c>
      <x:c r="K17" s="46" t="str">
        <x:v>Not Run</x:v>
      </x:c>
      <x:c r="L17" s="46" t="str">
        <x:v>evidence/E2E-06/04-us12-release-b-persisted-no-milestone.png</x:v>
      </x:c>
      <x:c r="M17" s="46" t="str">
        <x:v>BA confirmed the fix direction on 2026-07-20</x:v>
      </x:c>
    </x:row>
    <x:row r="18" ht="72" customHeight="1">
      <x:c r="A18" s="46" t="str">
        <x:v>DEV-012</x:v>
      </x:c>
      <x:c r="B18" s="46" t="str">
        <x:v>E2E-07</x:v>
      </x:c>
      <x:c r="C18" s="46" t="str">
        <x:v>Work Item Task tab count</x:v>
      </x:c>
      <x:c r="D18" s="46" t="str">
        <x:v>Task tab count equals the total number of child Tasks created under the Work Item</x:v>
      </x:c>
      <x:c r="E18" s="46" t="str">
        <x:v>TA-8 and TA-9 exist and persist, but the tab still displays 0 Tasks</x:v>
      </x:c>
      <x:c r="F18" s="46" t="str">
        <x:v>Shared Data / Metric</x:v>
      </x:c>
      <x:c r="G18" s="46" t="str">
        <x:v>P0</x:v>
      </x:c>
      <x:c r="H18" s="46" t="str">
        <x:v>Drive tab count from the same child Task collection used by the table and roll-up; refresh immediately after create/delete</x:v>
      </x:c>
      <x:c r="I18" s="46" t="str">
        <x:v>Confirmed</x:v>
      </x:c>
      <x:c r="J18" s="46" t="str">
        <x:v>Dev</x:v>
      </x:c>
      <x:c r="K18" s="46" t="str">
        <x:v>Not Run</x:v>
      </x:c>
      <x:c r="L18" s="46" t="str">
        <x:v>evidence/E2E-07/04-task-b-created-count-mismatch.png; evidence/E2E-07/05-tasks-persisted-after-reload.png</x:v>
      </x:c>
      <x:c r="M18" s="46" t="str">
        <x:v>BA confirmed the count must be correct on 2026-07-20</x:v>
      </x:c>
    </x:row>
    <x:row r="19" ht="72" customHeight="1">
      <x:c r="A19" s="46" t="str">
        <x:v>DEV-013</x:v>
      </x:c>
      <x:c r="B19" s="46" t="str">
        <x:v>E2E-07; E2E-08</x:v>
      </x:c>
      <x:c r="C19" s="46" t="str">
        <x:v>Create Task time fields</x:v>
      </x:c>
      <x:c r="D19" s="46" t="str">
        <x:v>Estimate is read-only and always equals To Do + Actuals</x:v>
      </x:c>
      <x:c r="E19" s="46" t="str">
        <x:v>Create Task exposes editable Estimate and no To Do/Actuals fields</x:v>
      </x:c>
      <x:c r="F19" s="46" t="str">
        <x:v>Business Contract</x:v>
      </x:c>
      <x:c r="G19" s="46" t="str">
        <x:v>P0</x:v>
      </x:c>
      <x:c r="H19" s="46" t="str">
        <x:v>Replace editable Estimate with To Do and Actuals inputs or initialize both to zero; always calculate and display Estimate = To Do + Actuals</x:v>
      </x:c>
      <x:c r="I19" s="46" t="str">
        <x:v>Confirmed</x:v>
      </x:c>
      <x:c r="J19" s="46" t="str">
        <x:v>Dev</x:v>
      </x:c>
      <x:c r="K19" s="46" t="str">
        <x:v>Not Run</x:v>
      </x:c>
      <x:c r="L19" s="46" t="str">
        <x:v>evidence/E2E-07/02-add-task-form.png</x:v>
      </x:c>
      <x:c r="M19" s="46" t="str">
        <x:v>BA confirmed the previously defined time business rule on 2026-07-20; also reconcile DOC-002</x:v>
      </x:c>
    </x:row>
    <x:row r="20" ht="72" customHeight="1">
      <x:c r="A20" s="46" t="str">
        <x:v>DEV-014</x:v>
      </x:c>
      <x:c r="B20" s="46" t="str">
        <x:v>E2E-07; E2E-08</x:v>
      </x:c>
      <x:c r="C20" s="46" t="str">
        <x:v>Task Dashboard inline editing</x:v>
      </x:c>
      <x:c r="D20" s="46" t="str">
        <x:v>Task Dashboard supports inline Name, State, Owner, To Do and Actuals; Estimate is read-only derived</x:v>
      </x:c>
      <x:c r="E20" s="46" t="str">
        <x:v>Rows render static text only; no inline inputs or selectors are exposed</x:v>
      </x:c>
      <x:c r="F20" s="46" t="str">
        <x:v>Missing Function</x:v>
      </x:c>
      <x:c r="G20" s="46" t="str">
        <x:v>P0</x:v>
      </x:c>
      <x:c r="H20" s="46" t="str">
        <x:v>Add inline controls for Name, State, Owner, To Do and Actuals; recalculate read-only Estimate and parent totals immediately</x:v>
      </x:c>
      <x:c r="I20" s="46" t="str">
        <x:v>Confirmed</x:v>
      </x:c>
      <x:c r="J20" s="46" t="str">
        <x:v>Dev</x:v>
      </x:c>
      <x:c r="K20" s="46" t="str">
        <x:v>Not Run</x:v>
      </x:c>
      <x:c r="L20" s="46" t="str">
        <x:v>evidence/E2E-07/04-task-b-created-count-mismatch.png</x:v>
      </x:c>
      <x:c r="M20" s="46" t="str">
        <x:v>BA confirmed inline editing is required on 2026-07-20</x:v>
      </x:c>
    </x:row>
    <x:row r="21">
      <x:c r="A21" s="46"/>
      <x:c r="B21" s="46"/>
      <x:c r="C21" s="46"/>
      <x:c r="D21" s="46"/>
      <x:c r="E21" s="46"/>
      <x:c r="F21" s="46"/>
      <x:c r="G21" s="46"/>
      <x:c r="H21" s="46"/>
      <x:c r="I21" s="46"/>
      <x:c r="J21" s="46"/>
      <x:c r="K21" s="46"/>
      <x:c r="L21" s="46"/>
      <x:c r="M21" s="46"/>
    </x:row>
    <x:row r="22">
      <x:c r="A22" s="46"/>
      <x:c r="B22" s="46"/>
      <x:c r="C22" s="46"/>
      <x:c r="D22" s="46"/>
      <x:c r="E22" s="46"/>
      <x:c r="F22" s="46"/>
      <x:c r="G22" s="46"/>
      <x:c r="H22" s="46"/>
      <x:c r="I22" s="46"/>
      <x:c r="J22" s="46"/>
      <x:c r="K22" s="46"/>
      <x:c r="L22" s="46"/>
      <x:c r="M22" s="46"/>
    </x:row>
    <x:row r="23">
      <x:c r="A23" s="46"/>
      <x:c r="B23" s="46"/>
      <x:c r="C23" s="46"/>
      <x:c r="D23" s="46"/>
      <x:c r="E23" s="46"/>
      <x:c r="F23" s="46"/>
      <x:c r="G23" s="46"/>
      <x:c r="H23" s="46"/>
      <x:c r="I23" s="46"/>
      <x:c r="J23" s="46"/>
      <x:c r="K23" s="46"/>
      <x:c r="L23" s="46"/>
      <x:c r="M23" s="46"/>
    </x:row>
    <x:row r="24">
      <x:c r="A24" s="46"/>
      <x:c r="B24" s="46"/>
      <x:c r="C24" s="46"/>
      <x:c r="D24" s="46"/>
      <x:c r="E24" s="46"/>
      <x:c r="F24" s="46"/>
      <x:c r="G24" s="46"/>
      <x:c r="H24" s="46"/>
      <x:c r="I24" s="46"/>
      <x:c r="J24" s="46"/>
      <x:c r="K24" s="46"/>
      <x:c r="L24" s="46"/>
      <x:c r="M24" s="46"/>
    </x:row>
    <x:row r="25">
      <x:c r="A25" s="46"/>
      <x:c r="B25" s="46"/>
      <x:c r="C25" s="46"/>
      <x:c r="D25" s="46"/>
      <x:c r="E25" s="46"/>
      <x:c r="F25" s="46"/>
      <x:c r="G25" s="46"/>
      <x:c r="H25" s="46"/>
      <x:c r="I25" s="46"/>
      <x:c r="J25" s="46"/>
      <x:c r="K25" s="46"/>
      <x:c r="L25" s="46"/>
      <x:c r="M25" s="46"/>
    </x:row>
    <x:row r="26">
      <x:c r="A26" s="46"/>
      <x:c r="B26" s="46"/>
      <x:c r="C26" s="46"/>
      <x:c r="D26" s="46"/>
      <x:c r="E26" s="46"/>
      <x:c r="F26" s="46"/>
      <x:c r="G26" s="46"/>
      <x:c r="H26" s="46"/>
      <x:c r="I26" s="46"/>
      <x:c r="J26" s="46"/>
      <x:c r="K26" s="46"/>
      <x:c r="L26" s="46"/>
      <x:c r="M26" s="46"/>
    </x:row>
    <x:row r="27">
      <x:c r="A27" s="46"/>
      <x:c r="B27" s="46"/>
      <x:c r="C27" s="46"/>
      <x:c r="D27" s="46"/>
      <x:c r="E27" s="46"/>
      <x:c r="F27" s="46"/>
      <x:c r="G27" s="46"/>
      <x:c r="H27" s="46"/>
      <x:c r="I27" s="46"/>
      <x:c r="J27" s="46"/>
      <x:c r="K27" s="46"/>
      <x:c r="L27" s="46"/>
      <x:c r="M27" s="46"/>
    </x:row>
    <x:row r="28">
      <x:c r="A28" s="46"/>
      <x:c r="B28" s="46"/>
      <x:c r="C28" s="46"/>
      <x:c r="D28" s="46"/>
      <x:c r="E28" s="46"/>
      <x:c r="F28" s="46"/>
      <x:c r="G28" s="46"/>
      <x:c r="H28" s="46"/>
      <x:c r="I28" s="46"/>
      <x:c r="J28" s="46"/>
      <x:c r="K28" s="46"/>
      <x:c r="L28" s="46"/>
      <x:c r="M28" s="46"/>
    </x:row>
    <x:row r="29">
      <x:c r="A29" s="46"/>
      <x:c r="B29" s="46"/>
      <x:c r="C29" s="46"/>
      <x:c r="D29" s="46"/>
      <x:c r="E29" s="46"/>
      <x:c r="F29" s="46"/>
      <x:c r="G29" s="46"/>
      <x:c r="H29" s="46"/>
      <x:c r="I29" s="46"/>
      <x:c r="J29" s="46"/>
      <x:c r="K29" s="46"/>
      <x:c r="L29" s="46"/>
      <x:c r="M29" s="46"/>
    </x:row>
    <x:row r="30">
      <x:c r="A30" s="46"/>
      <x:c r="B30" s="46"/>
      <x:c r="C30" s="46"/>
      <x:c r="D30" s="46"/>
      <x:c r="E30" s="46"/>
      <x:c r="F30" s="46"/>
      <x:c r="G30" s="46"/>
      <x:c r="H30" s="46"/>
      <x:c r="I30" s="46"/>
      <x:c r="J30" s="46"/>
      <x:c r="K30" s="46"/>
      <x:c r="L30" s="46"/>
      <x:c r="M30" s="46"/>
    </x:row>
    <x:row r="31">
      <x:c r="A31" s="46"/>
      <x:c r="B31" s="46"/>
      <x:c r="C31" s="46"/>
      <x:c r="D31" s="46"/>
      <x:c r="E31" s="46"/>
      <x:c r="F31" s="46"/>
      <x:c r="G31" s="46"/>
      <x:c r="H31" s="46"/>
      <x:c r="I31" s="46"/>
      <x:c r="J31" s="46"/>
      <x:c r="K31" s="46"/>
      <x:c r="L31" s="46"/>
      <x:c r="M31" s="46"/>
    </x:row>
    <x:row r="32">
      <x:c r="A32" s="46"/>
      <x:c r="B32" s="46"/>
      <x:c r="C32" s="46"/>
      <x:c r="D32" s="46"/>
      <x:c r="E32" s="46"/>
      <x:c r="F32" s="46"/>
      <x:c r="G32" s="46"/>
      <x:c r="H32" s="46"/>
      <x:c r="I32" s="46"/>
      <x:c r="J32" s="46"/>
      <x:c r="K32" s="46"/>
      <x:c r="L32" s="46"/>
      <x:c r="M32" s="46"/>
    </x:row>
    <x:row r="33">
      <x:c r="A33" s="46"/>
      <x:c r="B33" s="46"/>
      <x:c r="C33" s="46"/>
      <x:c r="D33" s="46"/>
      <x:c r="E33" s="46"/>
      <x:c r="F33" s="46"/>
      <x:c r="G33" s="46"/>
      <x:c r="H33" s="46"/>
      <x:c r="I33" s="46"/>
      <x:c r="J33" s="46"/>
      <x:c r="K33" s="46"/>
      <x:c r="L33" s="46"/>
      <x:c r="M33" s="46"/>
    </x:row>
    <x:row r="34">
      <x:c r="A34" s="46"/>
      <x:c r="B34" s="46"/>
      <x:c r="C34" s="46"/>
      <x:c r="D34" s="46"/>
      <x:c r="E34" s="46"/>
      <x:c r="F34" s="46"/>
      <x:c r="G34" s="46"/>
      <x:c r="H34" s="46"/>
      <x:c r="I34" s="46"/>
      <x:c r="J34" s="46"/>
      <x:c r="K34" s="46"/>
      <x:c r="L34" s="46"/>
      <x:c r="M34" s="46"/>
    </x:row>
    <x:row r="35">
      <x:c r="A35" s="46"/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</x:row>
    <x:row r="36">
      <x:c r="A36" s="46"/>
      <x:c r="B36" s="46"/>
      <x:c r="C36" s="46"/>
      <x:c r="D36" s="46"/>
      <x:c r="E36" s="46"/>
      <x:c r="F36" s="46"/>
      <x:c r="G36" s="46"/>
      <x:c r="H36" s="46"/>
      <x:c r="I36" s="46"/>
      <x:c r="J36" s="46"/>
      <x:c r="K36" s="46"/>
      <x:c r="L36" s="46"/>
      <x:c r="M36" s="46"/>
    </x:row>
    <x:row r="37">
      <x:c r="A37" s="46"/>
      <x:c r="B37" s="46"/>
      <x:c r="C37" s="46"/>
      <x:c r="D37" s="46"/>
      <x:c r="E37" s="46"/>
      <x:c r="F37" s="46"/>
      <x:c r="G37" s="46"/>
      <x:c r="H37" s="46"/>
      <x:c r="I37" s="46"/>
      <x:c r="J37" s="46"/>
      <x:c r="K37" s="46"/>
      <x:c r="L37" s="46"/>
      <x:c r="M37" s="46"/>
    </x:row>
    <x:row r="38">
      <x:c r="A38" s="46"/>
      <x:c r="B38" s="46"/>
      <x:c r="C38" s="46"/>
      <x:c r="D38" s="46"/>
      <x:c r="E38" s="46"/>
      <x:c r="F38" s="46"/>
      <x:c r="G38" s="46"/>
      <x:c r="H38" s="46"/>
      <x:c r="I38" s="46"/>
      <x:c r="J38" s="46"/>
      <x:c r="K38" s="46"/>
      <x:c r="L38" s="46"/>
      <x:c r="M38" s="46"/>
    </x:row>
    <x:row r="39">
      <x:c r="A39" s="46"/>
      <x:c r="B39" s="46"/>
      <x:c r="C39" s="46"/>
      <x:c r="D39" s="46"/>
      <x:c r="E39" s="46"/>
      <x:c r="F39" s="46"/>
      <x:c r="G39" s="46"/>
      <x:c r="H39" s="46"/>
      <x:c r="I39" s="46"/>
      <x:c r="J39" s="46"/>
      <x:c r="K39" s="46"/>
      <x:c r="L39" s="46"/>
      <x:c r="M39" s="46"/>
    </x:row>
    <x:row r="40">
      <x:c r="A40" s="46"/>
      <x:c r="B40" s="46"/>
      <x:c r="C40" s="46"/>
      <x:c r="D40" s="46"/>
      <x:c r="E40" s="46"/>
      <x:c r="F40" s="46"/>
      <x:c r="G40" s="46"/>
      <x:c r="H40" s="46"/>
      <x:c r="I40" s="46"/>
      <x:c r="J40" s="46"/>
      <x:c r="K40" s="46"/>
      <x:c r="L40" s="46"/>
      <x:c r="M40" s="46"/>
    </x:row>
    <x:row r="41">
      <x:c r="A41" s="46"/>
      <x:c r="B41" s="46"/>
      <x:c r="C41" s="46"/>
      <x:c r="D41" s="46"/>
      <x:c r="E41" s="46"/>
      <x:c r="F41" s="46"/>
      <x:c r="G41" s="46"/>
      <x:c r="H41" s="46"/>
      <x:c r="I41" s="46"/>
      <x:c r="J41" s="46"/>
      <x:c r="K41" s="46"/>
      <x:c r="L41" s="46"/>
      <x:c r="M41" s="46"/>
    </x:row>
    <x:row r="42">
      <x:c r="A42" s="46"/>
      <x:c r="B42" s="46"/>
      <x:c r="C42" s="46"/>
      <x:c r="D42" s="46"/>
      <x:c r="E42" s="46"/>
      <x:c r="F42" s="46"/>
      <x:c r="G42" s="46"/>
      <x:c r="H42" s="46"/>
      <x:c r="I42" s="46"/>
      <x:c r="J42" s="46"/>
      <x:c r="K42" s="46"/>
      <x:c r="L42" s="46"/>
      <x:c r="M42" s="46"/>
    </x:row>
    <x:row r="43">
      <x:c r="A43" s="46"/>
      <x:c r="B43" s="46"/>
      <x:c r="C43" s="46"/>
      <x:c r="D43" s="46"/>
      <x:c r="E43" s="46"/>
      <x:c r="F43" s="46"/>
      <x:c r="G43" s="46"/>
      <x:c r="H43" s="46"/>
      <x:c r="I43" s="46"/>
      <x:c r="J43" s="46"/>
      <x:c r="K43" s="46"/>
      <x:c r="L43" s="46"/>
      <x:c r="M43" s="46"/>
    </x:row>
    <x:row r="44">
      <x:c r="A44" s="46"/>
      <x:c r="B44" s="46"/>
      <x:c r="C44" s="46"/>
      <x:c r="D44" s="46"/>
      <x:c r="E44" s="46"/>
      <x:c r="F44" s="46"/>
      <x:c r="G44" s="46"/>
      <x:c r="H44" s="46"/>
      <x:c r="I44" s="46"/>
      <x:c r="J44" s="46"/>
      <x:c r="K44" s="46"/>
      <x:c r="L44" s="46"/>
      <x:c r="M44" s="46"/>
    </x:row>
    <x:row r="45">
      <x:c r="A45" s="46"/>
      <x:c r="B45" s="46"/>
      <x:c r="C45" s="46"/>
      <x:c r="D45" s="46"/>
      <x:c r="E45" s="46"/>
      <x:c r="F45" s="46"/>
      <x:c r="G45" s="46"/>
      <x:c r="H45" s="46"/>
      <x:c r="I45" s="46"/>
      <x:c r="J45" s="46"/>
      <x:c r="K45" s="46"/>
      <x:c r="L45" s="46"/>
      <x:c r="M45" s="46"/>
    </x:row>
    <x:row r="46">
      <x:c r="A46" s="46"/>
      <x:c r="B46" s="46"/>
      <x:c r="C46" s="46"/>
      <x:c r="D46" s="46"/>
      <x:c r="E46" s="46"/>
      <x:c r="F46" s="46"/>
      <x:c r="G46" s="46"/>
      <x:c r="H46" s="46"/>
      <x:c r="I46" s="46"/>
      <x:c r="J46" s="46"/>
      <x:c r="K46" s="46"/>
      <x:c r="L46" s="46"/>
      <x:c r="M46" s="46"/>
    </x:row>
    <x:row r="47">
      <x:c r="A47" s="46"/>
      <x:c r="B47" s="46"/>
      <x:c r="C47" s="46"/>
      <x:c r="D47" s="46"/>
      <x:c r="E47" s="46"/>
      <x:c r="F47" s="46"/>
      <x:c r="G47" s="46"/>
      <x:c r="H47" s="46"/>
      <x:c r="I47" s="46"/>
      <x:c r="J47" s="46"/>
      <x:c r="K47" s="46"/>
      <x:c r="L47" s="46"/>
      <x:c r="M47" s="46"/>
    </x:row>
    <x:row r="48">
      <x:c r="A48" s="46"/>
      <x:c r="B48" s="46"/>
      <x:c r="C48" s="46"/>
      <x:c r="D48" s="46"/>
      <x:c r="E48" s="46"/>
      <x:c r="F48" s="46"/>
      <x:c r="G48" s="46"/>
      <x:c r="H48" s="46"/>
      <x:c r="I48" s="46"/>
      <x:c r="J48" s="46"/>
      <x:c r="K48" s="46"/>
      <x:c r="L48" s="46"/>
      <x:c r="M48" s="46"/>
    </x:row>
    <x:row r="49">
      <x:c r="A49" s="46"/>
      <x:c r="B49" s="46"/>
      <x:c r="C49" s="46"/>
      <x:c r="D49" s="46"/>
      <x:c r="E49" s="46"/>
      <x:c r="F49" s="46"/>
      <x:c r="G49" s="46"/>
      <x:c r="H49" s="46"/>
      <x:c r="I49" s="46"/>
      <x:c r="J49" s="46"/>
      <x:c r="K49" s="46"/>
      <x:c r="L49" s="46"/>
      <x:c r="M49" s="46"/>
    </x:row>
    <x:row r="50">
      <x:c r="A50" s="46"/>
      <x:c r="B50" s="46"/>
      <x:c r="C50" s="46"/>
      <x:c r="D50" s="46"/>
      <x:c r="E50" s="46"/>
      <x:c r="F50" s="46"/>
      <x:c r="G50" s="46"/>
      <x:c r="H50" s="46"/>
      <x:c r="I50" s="46"/>
      <x:c r="J50" s="46"/>
      <x:c r="K50" s="46"/>
      <x:c r="L50" s="46"/>
      <x:c r="M50" s="46"/>
    </x:row>
    <x:row r="51">
      <x:c r="A51" s="46"/>
      <x:c r="B51" s="46"/>
      <x:c r="C51" s="46"/>
      <x:c r="D51" s="46"/>
      <x:c r="E51" s="46"/>
      <x:c r="F51" s="46"/>
      <x:c r="G51" s="46"/>
      <x:c r="H51" s="46"/>
      <x:c r="I51" s="46"/>
      <x:c r="J51" s="46"/>
      <x:c r="K51" s="46"/>
      <x:c r="L51" s="46"/>
      <x:c r="M51" s="46"/>
    </x:row>
    <x:row r="52">
      <x:c r="A52" s="46"/>
      <x:c r="B52" s="46"/>
      <x:c r="C52" s="46"/>
      <x:c r="D52" s="46"/>
      <x:c r="E52" s="46"/>
      <x:c r="F52" s="46"/>
      <x:c r="G52" s="46"/>
      <x:c r="H52" s="46"/>
      <x:c r="I52" s="46"/>
      <x:c r="J52" s="46"/>
      <x:c r="K52" s="46"/>
      <x:c r="L52" s="46"/>
      <x:c r="M52" s="46"/>
    </x:row>
    <x:row r="53">
      <x:c r="A53" s="46"/>
      <x:c r="B53" s="46"/>
      <x:c r="C53" s="46"/>
      <x:c r="D53" s="46"/>
      <x:c r="E53" s="46"/>
      <x:c r="F53" s="46"/>
      <x:c r="G53" s="46"/>
      <x:c r="H53" s="46"/>
      <x:c r="I53" s="46"/>
      <x:c r="J53" s="46"/>
      <x:c r="K53" s="46"/>
      <x:c r="L53" s="46"/>
      <x:c r="M53" s="46"/>
    </x:row>
    <x:row r="54">
      <x:c r="A54" s="46"/>
      <x:c r="B54" s="46"/>
      <x:c r="C54" s="46"/>
      <x:c r="D54" s="46"/>
      <x:c r="E54" s="46"/>
      <x:c r="F54" s="46"/>
      <x:c r="G54" s="46"/>
      <x:c r="H54" s="46"/>
      <x:c r="I54" s="46"/>
      <x:c r="J54" s="46"/>
      <x:c r="K54" s="46"/>
      <x:c r="L54" s="46"/>
      <x:c r="M54" s="46"/>
    </x:row>
    <x:row r="55">
      <x:c r="A55" s="46"/>
      <x:c r="B55" s="46"/>
      <x:c r="C55" s="46"/>
      <x:c r="D55" s="46"/>
      <x:c r="E55" s="46"/>
      <x:c r="F55" s="46"/>
      <x:c r="G55" s="46"/>
      <x:c r="H55" s="46"/>
      <x:c r="I55" s="46"/>
      <x:c r="J55" s="46"/>
      <x:c r="K55" s="46"/>
      <x:c r="L55" s="46"/>
      <x:c r="M55" s="46"/>
    </x:row>
    <x:row r="56">
      <x:c r="A56" s="46"/>
      <x:c r="B56" s="46"/>
      <x:c r="C56" s="46"/>
      <x:c r="D56" s="46"/>
      <x:c r="E56" s="46"/>
      <x:c r="F56" s="46"/>
      <x:c r="G56" s="46"/>
      <x:c r="H56" s="46"/>
      <x:c r="I56" s="46"/>
      <x:c r="J56" s="46"/>
      <x:c r="K56" s="46"/>
      <x:c r="L56" s="46"/>
      <x:c r="M56" s="46"/>
    </x:row>
    <x:row r="57">
      <x:c r="A57" s="46"/>
      <x:c r="B57" s="46"/>
      <x:c r="C57" s="46"/>
      <x:c r="D57" s="46"/>
      <x:c r="E57" s="46"/>
      <x:c r="F57" s="46"/>
      <x:c r="G57" s="46"/>
      <x:c r="H57" s="46"/>
      <x:c r="I57" s="46"/>
      <x:c r="J57" s="46"/>
      <x:c r="K57" s="46"/>
      <x:c r="L57" s="46"/>
      <x:c r="M57" s="46"/>
    </x:row>
    <x:row r="58">
      <x:c r="A58" s="46"/>
      <x:c r="B58" s="46"/>
      <x:c r="C58" s="46"/>
      <x:c r="D58" s="46"/>
      <x:c r="E58" s="46"/>
      <x:c r="F58" s="46"/>
      <x:c r="G58" s="46"/>
      <x:c r="H58" s="46"/>
      <x:c r="I58" s="46"/>
      <x:c r="J58" s="46"/>
      <x:c r="K58" s="46"/>
      <x:c r="L58" s="46"/>
      <x:c r="M58" s="46"/>
    </x:row>
    <x:row r="59">
      <x:c r="A59" s="46"/>
      <x:c r="B59" s="46"/>
      <x:c r="C59" s="46"/>
      <x:c r="D59" s="46"/>
      <x:c r="E59" s="46"/>
      <x:c r="F59" s="46"/>
      <x:c r="G59" s="46"/>
      <x:c r="H59" s="46"/>
      <x:c r="I59" s="46"/>
      <x:c r="J59" s="46"/>
      <x:c r="K59" s="46"/>
      <x:c r="L59" s="46"/>
      <x:c r="M59" s="46"/>
    </x:row>
    <x:row r="60">
      <x:c r="A60" s="46"/>
      <x:c r="B60" s="46"/>
      <x:c r="C60" s="46"/>
      <x:c r="D60" s="46"/>
      <x:c r="E60" s="46"/>
      <x:c r="F60" s="46"/>
      <x:c r="G60" s="46"/>
      <x:c r="H60" s="46"/>
      <x:c r="I60" s="46"/>
      <x:c r="J60" s="46"/>
      <x:c r="K60" s="46"/>
      <x:c r="L60" s="46"/>
      <x:c r="M60" s="46"/>
    </x:row>
    <x:row r="61">
      <x:c r="A61" s="46"/>
      <x:c r="B61" s="46"/>
      <x:c r="C61" s="46"/>
      <x:c r="D61" s="46"/>
      <x:c r="E61" s="46"/>
      <x:c r="F61" s="46"/>
      <x:c r="G61" s="46"/>
      <x:c r="H61" s="46"/>
      <x:c r="I61" s="46"/>
      <x:c r="J61" s="46"/>
      <x:c r="K61" s="46"/>
      <x:c r="L61" s="46"/>
      <x:c r="M61" s="46"/>
    </x:row>
    <x:row r="62">
      <x:c r="A62" s="46"/>
      <x:c r="B62" s="46"/>
      <x:c r="C62" s="46"/>
      <x:c r="D62" s="46"/>
      <x:c r="E62" s="46"/>
      <x:c r="F62" s="46"/>
      <x:c r="G62" s="46"/>
      <x:c r="H62" s="46"/>
      <x:c r="I62" s="46"/>
      <x:c r="J62" s="46"/>
      <x:c r="K62" s="46"/>
      <x:c r="L62" s="46"/>
      <x:c r="M62" s="46"/>
    </x:row>
    <x:row r="63">
      <x:c r="A63" s="46"/>
      <x:c r="B63" s="46"/>
      <x:c r="C63" s="46"/>
      <x:c r="D63" s="46"/>
      <x:c r="E63" s="46"/>
      <x:c r="F63" s="46"/>
      <x:c r="G63" s="46"/>
      <x:c r="H63" s="46"/>
      <x:c r="I63" s="46"/>
      <x:c r="J63" s="46"/>
      <x:c r="K63" s="46"/>
      <x:c r="L63" s="46"/>
      <x:c r="M63" s="46"/>
    </x:row>
    <x:row r="64">
      <x:c r="A64" s="46"/>
      <x:c r="B64" s="46"/>
      <x:c r="C64" s="46"/>
      <x:c r="D64" s="46"/>
      <x:c r="E64" s="46"/>
      <x:c r="F64" s="46"/>
      <x:c r="G64" s="46"/>
      <x:c r="H64" s="46"/>
      <x:c r="I64" s="46"/>
      <x:c r="J64" s="46"/>
      <x:c r="K64" s="46"/>
      <x:c r="L64" s="46"/>
      <x:c r="M64" s="46"/>
    </x:row>
    <x:row r="65">
      <x:c r="A65" s="46"/>
      <x:c r="B65" s="46"/>
      <x:c r="C65" s="46"/>
      <x:c r="D65" s="46"/>
      <x:c r="E65" s="46"/>
      <x:c r="F65" s="46"/>
      <x:c r="G65" s="46"/>
      <x:c r="H65" s="46"/>
      <x:c r="I65" s="46"/>
      <x:c r="J65" s="46"/>
      <x:c r="K65" s="46"/>
      <x:c r="L65" s="46"/>
      <x:c r="M65" s="46"/>
    </x:row>
    <x:row r="66">
      <x:c r="A66" s="46"/>
      <x:c r="B66" s="46"/>
      <x:c r="C66" s="46"/>
      <x:c r="D66" s="46"/>
      <x:c r="E66" s="46"/>
      <x:c r="F66" s="46"/>
      <x:c r="G66" s="46"/>
      <x:c r="H66" s="46"/>
      <x:c r="I66" s="46"/>
      <x:c r="J66" s="46"/>
      <x:c r="K66" s="46"/>
      <x:c r="L66" s="46"/>
      <x:c r="M66" s="46"/>
    </x:row>
    <x:row r="67">
      <x:c r="A67" s="46"/>
      <x:c r="B67" s="46"/>
      <x:c r="C67" s="46"/>
      <x:c r="D67" s="46"/>
      <x:c r="E67" s="46"/>
      <x:c r="F67" s="46"/>
      <x:c r="G67" s="46"/>
      <x:c r="H67" s="46"/>
      <x:c r="I67" s="46"/>
      <x:c r="J67" s="46"/>
      <x:c r="K67" s="46"/>
      <x:c r="L67" s="46"/>
      <x:c r="M67" s="46"/>
    </x:row>
    <x:row r="68">
      <x:c r="A68" s="46"/>
      <x:c r="B68" s="46"/>
      <x:c r="C68" s="46"/>
      <x:c r="D68" s="46"/>
      <x:c r="E68" s="46"/>
      <x:c r="F68" s="46"/>
      <x:c r="G68" s="46"/>
      <x:c r="H68" s="46"/>
      <x:c r="I68" s="46"/>
      <x:c r="J68" s="46"/>
      <x:c r="K68" s="46"/>
      <x:c r="L68" s="46"/>
      <x:c r="M68" s="46"/>
    </x:row>
    <x:row r="69">
      <x:c r="A69" s="46"/>
      <x:c r="B69" s="46"/>
      <x:c r="C69" s="46"/>
      <x:c r="D69" s="46"/>
      <x:c r="E69" s="46"/>
      <x:c r="F69" s="46"/>
      <x:c r="G69" s="46"/>
      <x:c r="H69" s="46"/>
      <x:c r="I69" s="46"/>
      <x:c r="J69" s="46"/>
      <x:c r="K69" s="46"/>
      <x:c r="L69" s="46"/>
      <x:c r="M69" s="46"/>
    </x:row>
    <x:row r="70">
      <x:c r="A70" s="46"/>
      <x:c r="B70" s="46"/>
      <x:c r="C70" s="46"/>
      <x:c r="D70" s="46"/>
      <x:c r="E70" s="46"/>
      <x:c r="F70" s="46"/>
      <x:c r="G70" s="46"/>
      <x:c r="H70" s="46"/>
      <x:c r="I70" s="46"/>
      <x:c r="J70" s="46"/>
      <x:c r="K70" s="46"/>
      <x:c r="L70" s="46"/>
      <x:c r="M70" s="46"/>
    </x:row>
    <x:row r="71">
      <x:c r="A71" s="46"/>
      <x:c r="B71" s="46"/>
      <x:c r="C71" s="46"/>
      <x:c r="D71" s="46"/>
      <x:c r="E71" s="46"/>
      <x:c r="F71" s="46"/>
      <x:c r="G71" s="46"/>
      <x:c r="H71" s="46"/>
      <x:c r="I71" s="46"/>
      <x:c r="J71" s="46"/>
      <x:c r="K71" s="46"/>
      <x:c r="L71" s="46"/>
      <x:c r="M71" s="46"/>
    </x:row>
    <x:row r="72">
      <x:c r="A72" s="46"/>
      <x:c r="B72" s="46"/>
      <x:c r="C72" s="46"/>
      <x:c r="D72" s="46"/>
      <x:c r="E72" s="46"/>
      <x:c r="F72" s="46"/>
      <x:c r="G72" s="46"/>
      <x:c r="H72" s="46"/>
      <x:c r="I72" s="46"/>
      <x:c r="J72" s="46"/>
      <x:c r="K72" s="46"/>
      <x:c r="L72" s="46"/>
      <x:c r="M72" s="46"/>
    </x:row>
    <x:row r="73">
      <x:c r="A73" s="46"/>
      <x:c r="B73" s="46"/>
      <x:c r="C73" s="46"/>
      <x:c r="D73" s="46"/>
      <x:c r="E73" s="46"/>
      <x:c r="F73" s="46"/>
      <x:c r="G73" s="46"/>
      <x:c r="H73" s="46"/>
      <x:c r="I73" s="46"/>
      <x:c r="J73" s="46"/>
      <x:c r="K73" s="46"/>
      <x:c r="L73" s="46"/>
      <x:c r="M73" s="46"/>
    </x:row>
    <x:row r="74">
      <x:c r="A74" s="46"/>
      <x:c r="B74" s="46"/>
      <x:c r="C74" s="46"/>
      <x:c r="D74" s="46"/>
      <x:c r="E74" s="46"/>
      <x:c r="F74" s="46"/>
      <x:c r="G74" s="46"/>
      <x:c r="H74" s="46"/>
      <x:c r="I74" s="46"/>
      <x:c r="J74" s="46"/>
      <x:c r="K74" s="46"/>
      <x:c r="L74" s="46"/>
      <x:c r="M74" s="46"/>
    </x:row>
    <x:row r="75">
      <x:c r="A75" s="46"/>
      <x:c r="B75" s="46"/>
      <x:c r="C75" s="46"/>
      <x:c r="D75" s="46"/>
      <x:c r="E75" s="46"/>
      <x:c r="F75" s="46"/>
      <x:c r="G75" s="46"/>
      <x:c r="H75" s="46"/>
      <x:c r="I75" s="46"/>
      <x:c r="J75" s="46"/>
      <x:c r="K75" s="46"/>
      <x:c r="L75" s="46"/>
      <x:c r="M75" s="46"/>
    </x:row>
    <x:row r="76">
      <x:c r="A76" s="46"/>
      <x:c r="B76" s="46"/>
      <x:c r="C76" s="46"/>
      <x:c r="D76" s="46"/>
      <x:c r="E76" s="46"/>
      <x:c r="F76" s="46"/>
      <x:c r="G76" s="46"/>
      <x:c r="H76" s="46"/>
      <x:c r="I76" s="46"/>
      <x:c r="J76" s="46"/>
      <x:c r="K76" s="46"/>
      <x:c r="L76" s="46"/>
      <x:c r="M76" s="46"/>
    </x:row>
    <x:row r="77">
      <x:c r="A77" s="46"/>
      <x:c r="B77" s="46"/>
      <x:c r="C77" s="46"/>
      <x:c r="D77" s="46"/>
      <x:c r="E77" s="46"/>
      <x:c r="F77" s="46"/>
      <x:c r="G77" s="46"/>
      <x:c r="H77" s="46"/>
      <x:c r="I77" s="46"/>
      <x:c r="J77" s="46"/>
      <x:c r="K77" s="46"/>
      <x:c r="L77" s="46"/>
      <x:c r="M77" s="46"/>
    </x:row>
    <x:row r="78">
      <x:c r="A78" s="46"/>
      <x:c r="B78" s="46"/>
      <x:c r="C78" s="46"/>
      <x:c r="D78" s="46"/>
      <x:c r="E78" s="46"/>
      <x:c r="F78" s="46"/>
      <x:c r="G78" s="46"/>
      <x:c r="H78" s="46"/>
      <x:c r="I78" s="46"/>
      <x:c r="J78" s="46"/>
      <x:c r="K78" s="46"/>
      <x:c r="L78" s="46"/>
      <x:c r="M78" s="46"/>
    </x:row>
    <x:row r="79">
      <x:c r="A79" s="46"/>
      <x:c r="B79" s="46"/>
      <x:c r="C79" s="46"/>
      <x:c r="D79" s="46"/>
      <x:c r="E79" s="46"/>
      <x:c r="F79" s="46"/>
      <x:c r="G79" s="46"/>
      <x:c r="H79" s="46"/>
      <x:c r="I79" s="46"/>
      <x:c r="J79" s="46"/>
      <x:c r="K79" s="46"/>
      <x:c r="L79" s="46"/>
      <x:c r="M79" s="46"/>
    </x:row>
    <x:row r="80">
      <x:c r="A80" s="46"/>
      <x:c r="B80" s="46"/>
      <x:c r="C80" s="46"/>
      <x:c r="D80" s="46"/>
      <x:c r="E80" s="46"/>
      <x:c r="F80" s="46"/>
      <x:c r="G80" s="46"/>
      <x:c r="H80" s="46"/>
      <x:c r="I80" s="46"/>
      <x:c r="J80" s="46"/>
      <x:c r="K80" s="46"/>
      <x:c r="L80" s="46"/>
      <x:c r="M80" s="46"/>
    </x:row>
    <x:row r="81">
      <x:c r="A81" s="46"/>
      <x:c r="B81" s="46"/>
      <x:c r="C81" s="46"/>
      <x:c r="D81" s="46"/>
      <x:c r="E81" s="46"/>
      <x:c r="F81" s="46"/>
      <x:c r="G81" s="46"/>
      <x:c r="H81" s="46"/>
      <x:c r="I81" s="46"/>
      <x:c r="J81" s="46"/>
      <x:c r="K81" s="46"/>
      <x:c r="L81" s="46"/>
      <x:c r="M81" s="46"/>
    </x:row>
    <x:row r="82">
      <x:c r="A82" s="46"/>
      <x:c r="B82" s="46"/>
      <x:c r="C82" s="46"/>
      <x:c r="D82" s="46"/>
      <x:c r="E82" s="46"/>
      <x:c r="F82" s="46"/>
      <x:c r="G82" s="46"/>
      <x:c r="H82" s="46"/>
      <x:c r="I82" s="46"/>
      <x:c r="J82" s="46"/>
      <x:c r="K82" s="46"/>
      <x:c r="L82" s="46"/>
      <x:c r="M82" s="46"/>
    </x:row>
    <x:row r="83">
      <x:c r="A83" s="46"/>
      <x:c r="B83" s="46"/>
      <x:c r="C83" s="46"/>
      <x:c r="D83" s="46"/>
      <x:c r="E83" s="46"/>
      <x:c r="F83" s="46"/>
      <x:c r="G83" s="46"/>
      <x:c r="H83" s="46"/>
      <x:c r="I83" s="46"/>
      <x:c r="J83" s="46"/>
      <x:c r="K83" s="46"/>
      <x:c r="L83" s="46"/>
      <x:c r="M83" s="46"/>
    </x:row>
    <x:row r="84">
      <x:c r="A84" s="46"/>
      <x:c r="B84" s="46"/>
      <x:c r="C84" s="46"/>
      <x:c r="D84" s="46"/>
      <x:c r="E84" s="46"/>
      <x:c r="F84" s="46"/>
      <x:c r="G84" s="46"/>
      <x:c r="H84" s="46"/>
      <x:c r="I84" s="46"/>
      <x:c r="J84" s="46"/>
      <x:c r="K84" s="46"/>
      <x:c r="L84" s="46"/>
      <x:c r="M84" s="46"/>
    </x:row>
    <x:row r="85">
      <x:c r="A85" s="46"/>
      <x:c r="B85" s="46"/>
      <x:c r="C85" s="46"/>
      <x:c r="D85" s="46"/>
      <x:c r="E85" s="46"/>
      <x:c r="F85" s="46"/>
      <x:c r="G85" s="46"/>
      <x:c r="H85" s="46"/>
      <x:c r="I85" s="46"/>
      <x:c r="J85" s="46"/>
      <x:c r="K85" s="46"/>
      <x:c r="L85" s="46"/>
      <x:c r="M85" s="46"/>
    </x:row>
    <x:row r="86">
      <x:c r="A86" s="46"/>
      <x:c r="B86" s="46"/>
      <x:c r="C86" s="46"/>
      <x:c r="D86" s="46"/>
      <x:c r="E86" s="46"/>
      <x:c r="F86" s="46"/>
      <x:c r="G86" s="46"/>
      <x:c r="H86" s="46"/>
      <x:c r="I86" s="46"/>
      <x:c r="J86" s="46"/>
      <x:c r="K86" s="46"/>
      <x:c r="L86" s="46"/>
      <x:c r="M86" s="46"/>
    </x:row>
    <x:row r="87">
      <x:c r="A87" s="46"/>
      <x:c r="B87" s="46"/>
      <x:c r="C87" s="46"/>
      <x:c r="D87" s="46"/>
      <x:c r="E87" s="46"/>
      <x:c r="F87" s="46"/>
      <x:c r="G87" s="46"/>
      <x:c r="H87" s="46"/>
      <x:c r="I87" s="46"/>
      <x:c r="J87" s="46"/>
      <x:c r="K87" s="46"/>
      <x:c r="L87" s="46"/>
      <x:c r="M87" s="46"/>
    </x:row>
    <x:row r="88">
      <x:c r="A88" s="46"/>
      <x:c r="B88" s="46"/>
      <x:c r="C88" s="46"/>
      <x:c r="D88" s="46"/>
      <x:c r="E88" s="46"/>
      <x:c r="F88" s="46"/>
      <x:c r="G88" s="46"/>
      <x:c r="H88" s="46"/>
      <x:c r="I88" s="46"/>
      <x:c r="J88" s="46"/>
      <x:c r="K88" s="46"/>
      <x:c r="L88" s="46"/>
      <x:c r="M88" s="46"/>
    </x:row>
    <x:row r="89">
      <x:c r="A89" s="46"/>
      <x:c r="B89" s="46"/>
      <x:c r="C89" s="46"/>
      <x:c r="D89" s="46"/>
      <x:c r="E89" s="46"/>
      <x:c r="F89" s="46"/>
      <x:c r="G89" s="46"/>
      <x:c r="H89" s="46"/>
      <x:c r="I89" s="46"/>
      <x:c r="J89" s="46"/>
      <x:c r="K89" s="46"/>
      <x:c r="L89" s="46"/>
      <x:c r="M89" s="46"/>
    </x:row>
    <x:row r="90">
      <x:c r="A90" s="46"/>
      <x:c r="B90" s="46"/>
      <x:c r="C90" s="46"/>
      <x:c r="D90" s="46"/>
      <x:c r="E90" s="46"/>
      <x:c r="F90" s="46"/>
      <x:c r="G90" s="46"/>
      <x:c r="H90" s="46"/>
      <x:c r="I90" s="46"/>
      <x:c r="J90" s="46"/>
      <x:c r="K90" s="46"/>
      <x:c r="L90" s="46"/>
      <x:c r="M90" s="46"/>
    </x:row>
    <x:row r="91">
      <x:c r="A91" s="46"/>
      <x:c r="B91" s="46"/>
      <x:c r="C91" s="46"/>
      <x:c r="D91" s="46"/>
      <x:c r="E91" s="46"/>
      <x:c r="F91" s="46"/>
      <x:c r="G91" s="46"/>
      <x:c r="H91" s="46"/>
      <x:c r="I91" s="46"/>
      <x:c r="J91" s="46"/>
      <x:c r="K91" s="46"/>
      <x:c r="L91" s="46"/>
      <x:c r="M91" s="46"/>
    </x:row>
    <x:row r="92">
      <x:c r="A92" s="46"/>
      <x:c r="B92" s="46"/>
      <x:c r="C92" s="46"/>
      <x:c r="D92" s="46"/>
      <x:c r="E92" s="46"/>
      <x:c r="F92" s="46"/>
      <x:c r="G92" s="46"/>
      <x:c r="H92" s="46"/>
      <x:c r="I92" s="46"/>
      <x:c r="J92" s="46"/>
      <x:c r="K92" s="46"/>
      <x:c r="L92" s="46"/>
      <x:c r="M92" s="46"/>
    </x:row>
    <x:row r="93">
      <x:c r="A93" s="46"/>
      <x:c r="B93" s="46"/>
      <x:c r="C93" s="46"/>
      <x:c r="D93" s="46"/>
      <x:c r="E93" s="46"/>
      <x:c r="F93" s="46"/>
      <x:c r="G93" s="46"/>
      <x:c r="H93" s="46"/>
      <x:c r="I93" s="46"/>
      <x:c r="J93" s="46"/>
      <x:c r="K93" s="46"/>
      <x:c r="L93" s="46"/>
      <x:c r="M93" s="46"/>
    </x:row>
    <x:row r="94">
      <x:c r="A94" s="46"/>
      <x:c r="B94" s="46"/>
      <x:c r="C94" s="46"/>
      <x:c r="D94" s="46"/>
      <x:c r="E94" s="46"/>
      <x:c r="F94" s="46"/>
      <x:c r="G94" s="46"/>
      <x:c r="H94" s="46"/>
      <x:c r="I94" s="46"/>
      <x:c r="J94" s="46"/>
      <x:c r="K94" s="46"/>
      <x:c r="L94" s="46"/>
      <x:c r="M94" s="46"/>
    </x:row>
    <x:row r="95">
      <x:c r="A95" s="46"/>
      <x:c r="B95" s="46"/>
      <x:c r="C95" s="46"/>
      <x:c r="D95" s="46"/>
      <x:c r="E95" s="46"/>
      <x:c r="F95" s="46"/>
      <x:c r="G95" s="46"/>
      <x:c r="H95" s="46"/>
      <x:c r="I95" s="46"/>
      <x:c r="J95" s="46"/>
      <x:c r="K95" s="46"/>
      <x:c r="L95" s="46"/>
      <x:c r="M95" s="46"/>
    </x:row>
    <x:row r="96">
      <x:c r="A96" s="46"/>
      <x:c r="B96" s="46"/>
      <x:c r="C96" s="46"/>
      <x:c r="D96" s="46"/>
      <x:c r="E96" s="46"/>
      <x:c r="F96" s="46"/>
      <x:c r="G96" s="46"/>
      <x:c r="H96" s="46"/>
      <x:c r="I96" s="46"/>
      <x:c r="J96" s="46"/>
      <x:c r="K96" s="46"/>
      <x:c r="L96" s="46"/>
      <x:c r="M96" s="46"/>
    </x:row>
    <x:row r="97">
      <x:c r="A97" s="46"/>
      <x:c r="B97" s="46"/>
      <x:c r="C97" s="46"/>
      <x:c r="D97" s="46"/>
      <x:c r="E97" s="46"/>
      <x:c r="F97" s="46"/>
      <x:c r="G97" s="46"/>
      <x:c r="H97" s="46"/>
      <x:c r="I97" s="46"/>
      <x:c r="J97" s="46"/>
      <x:c r="K97" s="46"/>
      <x:c r="L97" s="46"/>
      <x:c r="M97" s="46"/>
    </x:row>
    <x:row r="98">
      <x:c r="A98" s="46"/>
      <x:c r="B98" s="46"/>
      <x:c r="C98" s="46"/>
      <x:c r="D98" s="46"/>
      <x:c r="E98" s="46"/>
      <x:c r="F98" s="46"/>
      <x:c r="G98" s="46"/>
      <x:c r="H98" s="46"/>
      <x:c r="I98" s="46"/>
      <x:c r="J98" s="46"/>
      <x:c r="K98" s="46"/>
      <x:c r="L98" s="46"/>
      <x:c r="M98" s="46"/>
    </x:row>
    <x:row r="99">
      <x:c r="A99" s="46"/>
      <x:c r="B99" s="46"/>
      <x:c r="C99" s="46"/>
      <x:c r="D99" s="46"/>
      <x:c r="E99" s="46"/>
      <x:c r="F99" s="46"/>
      <x:c r="G99" s="46"/>
      <x:c r="H99" s="46"/>
      <x:c r="I99" s="46"/>
      <x:c r="J99" s="46"/>
      <x:c r="K99" s="46"/>
      <x:c r="L99" s="46"/>
      <x:c r="M99" s="46"/>
    </x:row>
    <x:row r="100">
      <x:c r="A100" s="46"/>
      <x:c r="B100" s="46"/>
      <x:c r="C100" s="46"/>
      <x:c r="D100" s="46"/>
      <x:c r="E100" s="46"/>
      <x:c r="F100" s="46"/>
      <x:c r="G100" s="46"/>
      <x:c r="H100" s="46"/>
      <x:c r="I100" s="46"/>
      <x:c r="J100" s="46"/>
      <x:c r="K100" s="46"/>
      <x:c r="L100" s="46"/>
      <x:c r="M100" s="46"/>
    </x:row>
  </x:sheetData>
  <x:mergeCells>
    <x:mergeCell ref="A1:M1"/>
  </x:mergeCells>
  <x:dataValidations count="2">
    <x:dataValidation type="list" sqref="I5:I100">
      <x:formula1>"Pending BA,Confirmed,Fix Direction Approved,Accepted As-Is,Invalidated"</x:formula1>
    </x:dataValidation>
    <x:dataValidation type="list" sqref="K5:K100">
      <x:formula1>"Not Run,Passed,Failed,Not Required,Not Testable"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18008eefa504443"/>
  </x:tableParts>
</x:worksheet>
</file>