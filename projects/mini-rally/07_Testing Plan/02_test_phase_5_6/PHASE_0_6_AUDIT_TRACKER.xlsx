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259f63afa843a5" /></Relationships>
</file>

<file path=xl/workbook.xml><?xml version="1.0" encoding="utf-8"?>
<x:workbook xmlns:x="http://schemas.openxmlformats.org/spreadsheetml/2006/main">
  <x:sheets>
    <x:sheet xmlns:r="http://schemas.openxmlformats.org/officeDocument/2006/relationships" name="Dashboard" sheetId="1" r:id="R1b214e27a60a44f8"/>
    <x:sheet xmlns:r="http://schemas.openxmlformats.org/officeDocument/2006/relationships" name="Test Guide" sheetId="2" r:id="R6171b57647fa4c8a"/>
    <x:sheet xmlns:r="http://schemas.openxmlformats.org/officeDocument/2006/relationships" name="Execution Plan" sheetId="3" r:id="R876163687d2c46b4"/>
    <x:sheet xmlns:r="http://schemas.openxmlformats.org/officeDocument/2006/relationships" name="Carryover P0-4" sheetId="4" r:id="Rac4787d30275477b"/>
    <x:sheet xmlns:r="http://schemas.openxmlformats.org/officeDocument/2006/relationships" name="Phase 5 Scenarios" sheetId="5" r:id="Rf7fbeff35e6c4085"/>
    <x:sheet xmlns:r="http://schemas.openxmlformats.org/officeDocument/2006/relationships" name="Phase 6 Scenarios" sheetId="6" r:id="Rfbc672800b1345a0"/>
    <x:sheet xmlns:r="http://schemas.openxmlformats.org/officeDocument/2006/relationships" name="Run Log" sheetId="7" r:id="R67134e609a4246f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6"/>
      <x:color rgb="FFFFFFFF"/>
      <x:name val="Carlito"/>
    </x:font>
    <x:font>
      <x:i/>
      <x:sz val="11"/>
      <x:color rgb="FF5F7187"/>
      <x:name val="Carlito"/>
    </x:font>
    <x:font>
      <x:b/>
      <x:sz val="11"/>
      <x:color rgb="FFFFFFFF"/>
      <x:name val="Carlito"/>
    </x:font>
    <x:font>
      <x:sz val="10"/>
      <x:color rgb="FF24364B"/>
      <x:name val="Carlito"/>
    </x:font>
    <x:font>
      <x:b/>
      <x:sz val="11"/>
      <x:color rgb="FF173F73"/>
      <x:name val="Carlito"/>
    </x:font>
  </x:fonts>
  <x:fills count="7">
    <x:fill>
      <x:patternFill patternType="none"/>
    </x:fill>
    <x:fill>
      <x:patternFill patternType="gray125"/>
    </x:fill>
    <x:fill>
      <x:patternFill patternType="solid">
        <x:fgColor rgb="FF173F73"/>
      </x:patternFill>
    </x:fill>
    <x:fill>
      <x:patternFill patternType="solid">
        <x:fgColor rgb="FFEAF2FB"/>
      </x:patternFill>
    </x:fill>
    <x:fill>
      <x:patternFill patternType="solid">
        <x:fgColor rgb="FF2B62A8"/>
      </x:patternFill>
    </x:fill>
    <x:fill>
      <x:patternFill patternType="solid">
        <x:fgColor rgb="FFF5F9FE"/>
      </x:patternFill>
    </x:fill>
    <x:fill>
      <x:patternFill patternType="solid">
        <x:fgColor rgb="FFFFF8E7"/>
      </x:patternFill>
    </x:fill>
  </x:fills>
  <x:borders count="10">
    <x:border/>
    <x:border>
      <x:left style="thin">
        <x:color rgb="FFC8D5E5"/>
      </x:left>
      <x:right style="thin">
        <x:color rgb="FFC8D5E5"/>
      </x:right>
      <x:top style="thin">
        <x:color rgb="FFC8D5E5"/>
      </x:top>
      <x:bottom style="thin">
        <x:color rgb="FFC8D5E5"/>
      </x:bottom>
    </x:border>
    <x:border>
      <x:right style="thin">
        <x:color rgb="FFC8D5E5"/>
      </x:right>
      <x:bottom style="thin">
        <x:color rgb="FFC8D5E5"/>
      </x:bottom>
    </x:border>
    <x:border>
      <x:left style="thin">
        <x:color rgb="FFC8D5E5"/>
      </x:left>
      <x:right style="thin">
        <x:color rgb="FFC8D5E5"/>
      </x:right>
      <x:bottom style="thin">
        <x:color rgb="FFC8D5E5"/>
      </x:bottom>
    </x:border>
    <x:border>
      <x:left style="thin">
        <x:color rgb="FFC8D5E5"/>
      </x:left>
      <x:bottom style="thin">
        <x:color rgb="FFC8D5E5"/>
      </x:bottom>
    </x:border>
    <x:border>
      <x:right style="thin">
        <x:color rgb="FFC8D5E5"/>
      </x:right>
      <x:top style="thin">
        <x:color rgb="FFC8D5E5"/>
      </x:top>
      <x:bottom style="thin">
        <x:color rgb="FFC8D5E5"/>
      </x:bottom>
    </x:border>
    <x:border>
      <x:left style="thin">
        <x:color rgb="FFC8D5E5"/>
      </x:left>
      <x:top style="thin">
        <x:color rgb="FFC8D5E5"/>
      </x:top>
      <x:bottom style="thin">
        <x:color rgb="FFC8D5E5"/>
      </x:bottom>
    </x:border>
    <x:border>
      <x:right style="thin">
        <x:color rgb="FFC8D5E5"/>
      </x:right>
      <x:top style="thin">
        <x:color rgb="FFC8D5E5"/>
      </x:top>
    </x:border>
    <x:border>
      <x:left style="thin">
        <x:color rgb="FFC8D5E5"/>
      </x:left>
      <x:right style="thin">
        <x:color rgb="FFC8D5E5"/>
      </x:right>
      <x:top style="thin">
        <x:color rgb="FFC8D5E5"/>
      </x:top>
    </x:border>
    <x:border>
      <x:left style="thin">
        <x:color rgb="FFC8D5E5"/>
      </x:left>
      <x:top style="thin">
        <x:color rgb="FFC8D5E5"/>
      </x:top>
    </x:border>
  </x:borders>
  <x:cellStyleXfs count="1">
    <x:xf numFmtId="0" fontId="0" fillId="0" borderId="0"/>
  </x:cellStyleXfs>
  <x:cellXfs count="9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1"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8" xfId="0" applyNumberFormat="1" applyFont="1" applyFill="1" applyBorder="1" applyAlignment="1">
      <x:alignment vertical="top" wrapText="1"/>
    </x:xf>
    <x:xf numFmtId="0" fontId="4" fillId="6" borderId="9" xfId="0" applyNumberFormat="1" applyFont="1" applyFill="1" applyBorder="1" applyAlignment="1">
      <x:alignment vertical="top" wrapText="1"/>
    </x:xf>
    <x:xf numFmtId="200" fontId="4" fillId="6" borderId="4" xfId="0" applyNumberFormat="1" applyFont="1" applyFill="1" applyBorder="1" applyAlignment="1">
      <x:alignment vertical="top" wrapText="1"/>
    </x:xf>
    <x:xf numFmtId="200" fontId="4" fillId="6" borderId="6" xfId="0" applyNumberFormat="1" applyFont="1" applyFill="1" applyBorder="1" applyAlignment="1">
      <x:alignment vertical="top" wrapText="1"/>
    </x:xf>
    <x:xf numFmtId="200" fontId="4" fillId="6" borderId="9" xfId="0" applyNumberFormat="1" applyFont="1" applyFill="1" applyBorder="1" applyAlignment="1">
      <x:alignment vertical="top" wrapText="1"/>
    </x:xf>
    <x:xf numFmtId="0" fontId="0" fillId="0" borderId="2"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9" xfId="0" applyNumberFormat="1" applyFont="1" applyFill="1" applyBorder="1"/>
    <x:xf numFmtId="0" fontId="0" fillId="0" borderId="2"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3" xfId="0" applyNumberFormat="1" applyFont="1" applyFill="1" applyBorder="1"/>
    <x:xf numFmtId="0" fontId="0" fillId="0" borderId="1" xfId="0" applyNumberFormat="1" applyFont="1" applyFill="1" applyBorder="1"/>
    <x:xf numFmtId="0" fontId="0" fillId="0" borderId="8" xfId="0" applyNumberFormat="1" applyFont="1" applyFill="1" applyBorder="1"/>
    <x:xf numFmtId="0" fontId="0" fillId="0" borderId="3"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3"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200" fontId="0" fillId="0" borderId="7"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0" fontId="0" fillId="4" borderId="1" xfId="0" applyNumberFormat="1" applyFont="1" applyFill="1" applyBorder="1"/>
    <x:xf numFmtId="0" fontId="5" fillId="3" borderId="0" xfId="0" applyNumberFormat="1" applyFont="1" applyFill="1" applyBorder="1"/>
    <x:xf numFmtId="20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b4a4aaa9444d51" /><Relationship Type="http://schemas.openxmlformats.org/officeDocument/2006/relationships/theme" Target="/xl/theme/theme1.xml" Id="Rbbfa924475394f4c" /><Relationship Type="http://schemas.openxmlformats.org/officeDocument/2006/relationships/sharedStrings" Target="/xl/sharedStrings.xml" Id="R398ba94568d64248" /><Relationship Type="http://schemas.openxmlformats.org/officeDocument/2006/relationships/worksheet" Target="/xl/worksheets/sheet1.xml" Id="R1b214e27a60a44f8" /><Relationship Type="http://schemas.openxmlformats.org/officeDocument/2006/relationships/worksheet" Target="/xl/worksheets/sheet2.xml" Id="R6171b57647fa4c8a" /><Relationship Type="http://schemas.openxmlformats.org/officeDocument/2006/relationships/worksheet" Target="/xl/worksheets/sheet3.xml" Id="R876163687d2c46b4" /><Relationship Type="http://schemas.openxmlformats.org/officeDocument/2006/relationships/worksheet" Target="/xl/worksheets/sheet4.xml" Id="Rac4787d30275477b" /><Relationship Type="http://schemas.openxmlformats.org/officeDocument/2006/relationships/worksheet" Target="/xl/worksheets/sheet5.xml" Id="Rf7fbeff35e6c4085" /><Relationship Type="http://schemas.openxmlformats.org/officeDocument/2006/relationships/worksheet" Target="/xl/worksheets/sheet6.xml" Id="Rfbc672800b1345a0" /><Relationship Type="http://schemas.openxmlformats.org/officeDocument/2006/relationships/worksheet" Target="/xl/worksheets/sheet7.xml" Id="R67134e609a4246f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52" hidden="0" customWidth="1"/>
    <x:col min="4" max="4" width="38" hidden="0" customWidth="1"/>
    <x:col min="5" max="5" width="16" hidden="0" customWidth="1"/>
    <x:col min="6" max="6" width="18" hidden="0" customWidth="1"/>
    <x:col min="7" max="7" width="18" hidden="0" customWidth="1"/>
    <x:col min="8" max="8" width="18" hidden="0" customWidth="1"/>
  </x:cols>
  <x:sheetData>
    <x:row r="1" ht="30" customHeight="1">
      <x:c r="A1" s="4" t="str">
        <x:v>Mini Rally Phase 0-6 Audit Dashboard</x:v>
      </x:c>
      <x:c r="B1" s="4"/>
      <x:c r="C1" s="4"/>
      <x:c r="D1" s="4"/>
      <x:c r="E1" s="4"/>
      <x:c r="F1" s="4"/>
      <x:c r="G1" s="4"/>
      <x:c r="H1" s="4"/>
    </x:row>
    <x:row r="2" ht="34" customHeight="1">
      <x:c r="A2" s="8" t="str">
        <x:v>Phase 0-4 carryover plus Phase 5-6 deployed-product acceptance. Updated 2026-08-06.</x:v>
      </x:c>
      <x:c r="B2" s="8"/>
      <x:c r="C2" s="8"/>
      <x:c r="D2" s="8"/>
      <x:c r="E2" s="8"/>
      <x:c r="F2" s="8"/>
      <x:c r="G2" s="8"/>
      <x:c r="H2" s="8"/>
    </x:row>
    <x:row r="4">
      <x:c r="A4" s="11" t="str">
        <x:v>Current Status</x:v>
      </x:c>
      <x:c r="B4" s="11" t="str">
        <x:v>Count</x:v>
      </x:c>
      <x:c r="D4" s="11" t="str">
        <x:v>Scope</x:v>
      </x:c>
      <x:c r="E4" s="11" t="str">
        <x:v>Count</x:v>
      </x:c>
    </x:row>
    <x:row r="5">
      <x:c r="A5" s="77" t="str">
        <x:v>Pass</x:v>
      </x:c>
      <x:c r="B5" s="77" t="n">
        <x:f>COUNTIF('Carryover P0-4'!$L$5:$L$65,A5)+COUNTIF('Phase 5 Scenarios'!$L$5:$L$82,A5)+COUNTIF('Phase 6 Scenarios'!$L$5:$L$57,A5)</x:f>
        <x:v>67</x:v>
      </x:c>
      <x:c r="D5" s="77" t="str">
        <x:v>Carryover P0-4</x:v>
      </x:c>
      <x:c r="E5" s="77" t="n">
        <x:v>61</x:v>
      </x:c>
    </x:row>
    <x:row r="6">
      <x:c r="A6" s="77" t="str">
        <x:v>Partial</x:v>
      </x:c>
      <x:c r="B6" s="77" t="n">
        <x:f>COUNTIF('Carryover P0-4'!$L$5:$L$65,A6)+COUNTIF('Phase 5 Scenarios'!$L$5:$L$82,A6)+COUNTIF('Phase 6 Scenarios'!$L$5:$L$57,A6)</x:f>
        <x:v>33</x:v>
      </x:c>
      <x:c r="D6" s="77" t="str">
        <x:v>Phase 5 scenarios</x:v>
      </x:c>
      <x:c r="E6" s="77" t="n">
        <x:v>78</x:v>
      </x:c>
    </x:row>
    <x:row r="7">
      <x:c r="A7" s="77" t="str">
        <x:v>Fail</x:v>
      </x:c>
      <x:c r="B7" s="77" t="n">
        <x:f>COUNTIF('Carryover P0-4'!$L$5:$L$65,A7)+COUNTIF('Phase 5 Scenarios'!$L$5:$L$82,A7)+COUNTIF('Phase 6 Scenarios'!$L$5:$L$57,A7)</x:f>
        <x:v>24</x:v>
      </x:c>
      <x:c r="D7" s="77" t="str">
        <x:v>Phase 6 scenarios</x:v>
      </x:c>
      <x:c r="E7" s="77" t="n">
        <x:v>53</x:v>
      </x:c>
    </x:row>
    <x:row r="8">
      <x:c r="A8" s="77" t="str">
        <x:v>Blocked</x:v>
      </x:c>
      <x:c r="B8" s="77" t="n">
        <x:f>COUNTIF('Carryover P0-4'!$L$5:$L$65,A8)+COUNTIF('Phase 5 Scenarios'!$L$5:$L$82,A8)+COUNTIF('Phase 6 Scenarios'!$L$5:$L$57,A8)</x:f>
        <x:v>14</x:v>
      </x:c>
      <x:c r="D8" s="77" t="str">
        <x:v>Active scenarios</x:v>
      </x:c>
      <x:c r="E8" s="77" t="n">
        <x:f>SUM(E5:E7)-B10-B11</x:f>
        <x:v>179</x:v>
      </x:c>
    </x:row>
    <x:row r="9">
      <x:c r="A9" s="77" t="str">
        <x:v>Not Run</x:v>
      </x:c>
      <x:c r="B9" s="77" t="n">
        <x:f>COUNTIF('Carryover P0-4'!$L$5:$L$65,A9)+COUNTIF('Phase 5 Scenarios'!$L$5:$L$82,A9)+COUNTIF('Phase 6 Scenarios'!$L$5:$L$57,A9)</x:f>
        <x:v>41</x:v>
      </x:c>
      <x:c r="D9" s="77"/>
      <x:c r="E9" s="77"/>
    </x:row>
    <x:row r="10">
      <x:c r="A10" s="77" t="str">
        <x:v>Future Backlog</x:v>
      </x:c>
      <x:c r="B10" s="77" t="n">
        <x:f>COUNTIF('Carryover P0-4'!$L$5:$L$65,A10)+COUNTIF('Phase 5 Scenarios'!$L$5:$L$82,A10)+COUNTIF('Phase 6 Scenarios'!$L$5:$L$57,A10)</x:f>
        <x:v>9</x:v>
      </x:c>
      <x:c r="D10" s="77" t="str">
        <x:v>Audit coverage</x:v>
      </x:c>
      <x:c r="E10" s="89" t="n">
        <x:f>IF(E8=0,0,(E8-B9)/E8)</x:f>
        <x:v>0.770949720670391</x:v>
      </x:c>
    </x:row>
    <x:row r="11">
      <x:c r="A11" s="77" t="str">
        <x:v>Not Required</x:v>
      </x:c>
      <x:c r="B11" s="77" t="n">
        <x:f>COUNTIF('Carryover P0-4'!$L$5:$L$65,A11)+COUNTIF('Phase 5 Scenarios'!$L$5:$L$82,A11)+COUNTIF('Phase 6 Scenarios'!$L$5:$L$57,A11)</x:f>
        <x:v>4</x:v>
      </x:c>
    </x:row>
    <x:row r="13">
      <x:c r="A13" s="91" t="str">
        <x:v>Current dependencies</x:v>
      </x:c>
      <x:c r="B13" s="91"/>
      <x:c r="C13" s="91"/>
      <x:c r="D13" s="91"/>
      <x:c r="E13" s="91"/>
      <x:c r="F13" s="91"/>
      <x:c r="G13" s="91"/>
      <x:c r="H13" s="91"/>
    </x:row>
    <x:row r="14">
      <x:c r="A14" s="70" t="str">
        <x:v>1</x:v>
      </x:c>
      <x:c r="B14" s="82" t="str">
        <x:v>Test data</x:v>
      </x:c>
      <x:c r="C14" s="82" t="str">
        <x:v>TEST now has Pegasus, RE-1, CP-1, EP-1 and FE audit records; only one usable Team is available.</x:v>
      </x:c>
      <x:c r="D14" s="82" t="str">
        <x:v>Blocks split-allocation, cross-Team origin and warning branches only</x:v>
      </x:c>
      <x:c r="E14" s="82"/>
      <x:c r="F14" s="82"/>
      <x:c r="G14" s="82"/>
      <x:c r="H14" s="71"/>
    </x:row>
    <x:row r="15">
      <x:c r="A15" s="72" t="str">
        <x:v>2</x:v>
      </x:c>
      <x:c r="B15" s="83" t="str">
        <x:v>Test accounts</x:v>
      </x:c>
      <x:c r="C15" s="83" t="str">
        <x:v>Project Admin and Project Member sessions are required</x:v>
      </x:c>
      <x:c r="D15" s="83" t="str">
        <x:v>Blocks RBAC and denied-route proof</x:v>
      </x:c>
      <x:c r="E15" s="83"/>
      <x:c r="F15" s="83"/>
      <x:c r="G15" s="83"/>
      <x:c r="H15" s="73"/>
    </x:row>
    <x:row r="16">
      <x:c r="A16" s="72" t="str">
        <x:v>3</x:v>
      </x:c>
      <x:c r="B16" s="83" t="str">
        <x:v>Notification data</x:v>
      </x:c>
      <x:c r="C16" s="83" t="str">
        <x:v>Safe recipient and notification rows are required</x:v>
      </x:c>
      <x:c r="D16" s="83" t="str">
        <x:v>Carries blocked Phase 4 cases</x:v>
      </x:c>
      <x:c r="E16" s="83"/>
      <x:c r="F16" s="83"/>
      <x:c r="G16" s="83"/>
      <x:c r="H16" s="73"/>
    </x:row>
    <x:row r="17">
      <x:c r="A17" s="74" t="str">
        <x:v>4</x:v>
      </x:c>
      <x:c r="B17" s="84" t="str">
        <x:v>Execution owner</x:v>
      </x:c>
      <x:c r="C17" s="84" t="str">
        <x:v>BA/User runs cases; Codex retests only a requested Scenario ID</x:v>
      </x:c>
      <x:c r="D17" s="84" t="str">
        <x:v>Use Test Guide and record results in the scenario row</x:v>
      </x:c>
      <x:c r="E17" s="84"/>
      <x:c r="F17" s="84"/>
      <x:c r="G17" s="84"/>
      <x:c r="H17" s="75"/>
    </x:row>
  </x:sheetData>
  <x:mergeCells>
    <x:mergeCell ref="A1:H1"/>
    <x:mergeCell ref="A2:H2"/>
    <x:mergeCell ref="A13:H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00" hidden="0" customWidth="1"/>
  </x:cols>
  <x:sheetData>
    <x:row r="1" ht="30" customHeight="1">
      <x:c r="A1" s="4" t="str">
        <x:v>Hướng dẫn chạy và ghi nhận test</x:v>
      </x:c>
      <x:c r="B1" s="4"/>
      <x:c r="C1" s="4"/>
      <x:c r="D1" s="4"/>
      <x:c r="E1" s="4"/>
      <x:c r="F1" s="4"/>
      <x:c r="G1" s="4"/>
      <x:c r="H1" s="4"/>
    </x:row>
    <x:row r="2" ht="34" customHeight="1">
      <x:c r="A2" s="8" t="str">
        <x:v>Bạn là người chạy test chính. Codex chỉ chạy lại case khi bạn gọi đúng Scenario ID.</x:v>
      </x:c>
      <x:c r="B2" s="8"/>
      <x:c r="C2" s="8"/>
      <x:c r="D2" s="8"/>
      <x:c r="E2" s="8"/>
      <x:c r="F2" s="8"/>
      <x:c r="G2" s="8"/>
      <x:c r="H2" s="8"/>
    </x:row>
    <x:row r="4">
      <x:c r="A4" s="11" t="str">
        <x:v>Mục</x:v>
      </x:c>
      <x:c r="B4" s="11" t="str">
        <x:v>Cách thực hiện</x:v>
      </x:c>
    </x:row>
    <x:row r="5">
      <x:c r="A5" s="70" t="str">
        <x:v>1. Chọn case</x:v>
      </x:c>
      <x:c r="B5" s="71" t="str">
        <x:v>Lọc theo Phase/Module/Priority và chọn một Scenario ID. Chạy P0 trước P1 khi cùng chức năng.</x:v>
      </x:c>
    </x:row>
    <x:row r="6">
      <x:c r="A6" s="72" t="str">
        <x:v>2. Kiểm tra điều kiện</x:v>
      </x:c>
      <x:c r="B6" s="73" t="str">
        <x:v>Đọc Preconditions và Test Data. Nếu thiếu account/data/environment, không đoán: chọn Blocked và ghi rõ điều kiện thiếu.</x:v>
      </x:c>
    </x:row>
    <x:row r="7">
      <x:c r="A7" s="72" t="str">
        <x:v>3. Chạy đúng bước</x:v>
      </x:c>
      <x:c r="B7" s="73" t="str">
        <x:v>Thực hiện Detailed Test Steps theo thứ tự. Không sửa record nghiệp vụ có sẵn; dữ liệu mới dùng prefix P56-AUDIT.</x:v>
      </x:c>
    </x:row>
    <x:row r="8">
      <x:c r="A8" s="72" t="str">
        <x:v>4. Ghi Actual Result</x:v>
      </x:c>
      <x:c r="B8" s="73" t="str">
        <x:v>Mô tả ngắn: thao tác nào đã làm, hệ thống trả về gì, giá trị trước/sau và hành vi sau reload.</x:v>
      </x:c>
    </x:row>
    <x:row r="9">
      <x:c r="A9" s="72" t="str">
        <x:v>5. Chọn Current Status</x:v>
      </x:c>
      <x:c r="B9" s="73" t="str">
        <x:v>Pass nếu toàn bộ Expected Result đúng; Partial nếu chỉ đúng một phần; Fail nếu lệch; Blocked nếu không chạy được; Not Run nếu chưa chạy.</x:v>
      </x:c>
    </x:row>
    <x:row r="10">
      <x:c r="A10" s="72" t="str">
        <x:v>6. Gắn Evidence</x:v>
      </x:c>
      <x:c r="B10" s="73" t="str">
        <x:v>Điền đường dẫn screenshot/video/log. Tên gợi ý: evidence/&lt;Scenario-ID&gt;/01-before.png, 02-action.png, 03-result.png.</x:v>
      </x:c>
    </x:row>
    <x:row r="11">
      <x:c r="A11" s="72" t="str">
        <x:v>7. Ghi Gap / Comment</x:v>
      </x:c>
      <x:c r="B11" s="73" t="str">
        <x:v>Nếu Partial/Fail, nêu điểm lệch cụ thể, bước tái hiện và hướng mong muốn. Có thể gán Gap ID sau khi BA xác nhận.</x:v>
      </x:c>
    </x:row>
    <x:row r="12">
      <x:c r="A12" s="74" t="str">
        <x:v>8. Nhờ Codex retest</x:v>
      </x:c>
      <x:c r="B12" s="75" t="str">
        <x:v>Gửi đúng mã, ví dụ: 'Test lại P6-VEL-010'. Codex sẽ chỉ chạy case đó, cập nhật Actual Result/Evidence và chờ bạn confirm.</x:v>
      </x:c>
    </x:row>
  </x:sheetData>
  <x:mergeCells>
    <x:mergeCell ref="A1:H1"/>
    <x:mergeCell ref="A2:H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12" hidden="0" customWidth="1"/>
    <x:col min="3" max="3" width="25" hidden="0" customWidth="1"/>
    <x:col min="4" max="4" width="34" hidden="0" customWidth="1"/>
    <x:col min="5" max="5" width="48" hidden="0" customWidth="1"/>
    <x:col min="6" max="6" width="38" hidden="0" customWidth="1"/>
    <x:col min="7" max="7" width="16" hidden="0" customWidth="1"/>
    <x:col min="8" max="8" width="16" hidden="0" customWidth="1"/>
  </x:cols>
  <x:sheetData>
    <x:row r="1" ht="30" customHeight="1">
      <x:c r="A1" s="4" t="str">
        <x:v>Phase 0-6 Test Execution Plan</x:v>
      </x:c>
      <x:c r="B1" s="4"/>
      <x:c r="C1" s="4"/>
      <x:c r="D1" s="4"/>
      <x:c r="E1" s="4"/>
      <x:c r="F1" s="4"/>
      <x:c r="G1" s="4"/>
      <x:c r="H1" s="4"/>
    </x:row>
    <x:row r="2" ht="34" customHeight="1">
      <x:c r="A2" s="8" t="str">
        <x:v>Run one function group at a time: expected -&gt; deployed evidence -&gt; BA confirmation -&gt; next.</x:v>
      </x:c>
      <x:c r="B2" s="8"/>
      <x:c r="C2" s="8"/>
      <x:c r="D2" s="8"/>
      <x:c r="E2" s="8"/>
      <x:c r="F2" s="8"/>
      <x:c r="G2" s="8"/>
      <x:c r="H2" s="8"/>
    </x:row>
    <x:row r="4">
      <x:c r="A4" s="12" t="str">
        <x:v>Step</x:v>
      </x:c>
      <x:c r="B4" s="12" t="str">
        <x:v>Phase</x:v>
      </x:c>
      <x:c r="C4" s="12" t="str">
        <x:v>Area</x:v>
      </x:c>
      <x:c r="D4" s="12" t="str">
        <x:v>Preconditions</x:v>
      </x:c>
      <x:c r="E4" s="12" t="str">
        <x:v>Test Activities</x:v>
      </x:c>
      <x:c r="F4" s="12" t="str">
        <x:v>Exit Criteria</x:v>
      </x:c>
      <x:c r="G4" s="12" t="str">
        <x:v>Owner</x:v>
      </x:c>
      <x:c r="H4" s="12" t="str">
        <x:v>Status</x:v>
      </x:c>
    </x:row>
    <x:row r="5">
      <x:c r="A5" s="70" t="n">
        <x:v>0</x:v>
      </x:c>
      <x:c r="B5" s="82" t="str">
        <x:v>Setup</x:v>
      </x:c>
      <x:c r="C5" s="82" t="str">
        <x:v>Environment and evidence</x:v>
      </x:c>
      <x:c r="D5" s="82" t="str">
        <x:v>Signed-in URL; build; safe Project</x:v>
      </x:c>
      <x:c r="E5" s="82" t="str">
        <x:v>Confirm scope, accounts, data and evidence naming</x:v>
      </x:c>
      <x:c r="F5" s="82" t="str">
        <x:v>Dependencies recorded</x:v>
      </x:c>
      <x:c r="G5" s="82" t="str">
        <x:v>BA + Tester</x:v>
      </x:c>
      <x:c r="H5" s="71" t="str">
        <x:v>In Progress</x:v>
      </x:c>
    </x:row>
    <x:row r="6">
      <x:c r="A6" s="72" t="n">
        <x:v>1</x:v>
      </x:c>
      <x:c r="B6" s="83" t="str">
        <x:v>P0-4</x:v>
      </x:c>
      <x:c r="C6" s="83" t="str">
        <x:v>Carryover regression</x:v>
      </x:c>
      <x:c r="D6" s="83" t="str">
        <x:v>Latest deployment</x:v>
      </x:c>
      <x:c r="E6" s="83" t="str">
        <x:v>Re-run all active carryover rows</x:v>
      </x:c>
      <x:c r="F6" s="83" t="str">
        <x:v>No unresolved row lacks a current result</x:v>
      </x:c>
      <x:c r="G6" s="83" t="str">
        <x:v>BA/User</x:v>
      </x:c>
      <x:c r="H6" s="73" t="str">
        <x:v>Pending</x:v>
      </x:c>
    </x:row>
    <x:row r="7">
      <x:c r="A7" s="72" t="n">
        <x:v>2</x:v>
      </x:c>
      <x:c r="B7" s="83" t="str">
        <x:v>P5</x:v>
      </x:c>
      <x:c r="C7" s="83" t="str">
        <x:v>Navigation and RBAC</x:v>
      </x:c>
      <x:c r="D7" s="83" t="str">
        <x:v>Three test roles</x:v>
      </x:c>
      <x:c r="E7" s="83" t="str">
        <x:v>Portfolio routes, scope and action gates</x:v>
      </x:c>
      <x:c r="F7" s="83" t="str">
        <x:v>Role matrix confirmed</x:v>
      </x:c>
      <x:c r="G7" s="83" t="str">
        <x:v>BA/User</x:v>
      </x:c>
      <x:c r="H7" s="73" t="str">
        <x:v>Pending</x:v>
      </x:c>
    </x:row>
    <x:row r="8">
      <x:c r="A8" s="72" t="n">
        <x:v>3</x:v>
      </x:c>
      <x:c r="B8" s="83" t="str">
        <x:v>P5</x:v>
      </x:c>
      <x:c r="C8" s="83" t="str">
        <x:v>Portfolio Items</x:v>
      </x:c>
      <x:c r="D8" s="83" t="str">
        <x:v>Epic/Feature/Work Item data</x:v>
      </x:c>
      <x:c r="E8" s="83" t="str">
        <x:v>CRUD, hierarchy, inline, children and archive</x:v>
      </x:c>
      <x:c r="F8" s="83" t="str">
        <x:v>Identity and lifecycle confirmed</x:v>
      </x:c>
      <x:c r="G8" s="83" t="str">
        <x:v>BA/User</x:v>
      </x:c>
      <x:c r="H8" s="73" t="str">
        <x:v>Pending</x:v>
      </x:c>
    </x:row>
    <x:row r="9">
      <x:c r="A9" s="72" t="n">
        <x:v>4</x:v>
      </x:c>
      <x:c r="B9" s="83" t="str">
        <x:v>P5</x:v>
      </x:c>
      <x:c r="C9" s="83" t="str">
        <x:v>Capacity Planning</x:v>
      </x:c>
      <x:c r="D9" s="83" t="str">
        <x:v>Releases, Teams and Features</x:v>
      </x:c>
      <x:c r="E9" s="83" t="str">
        <x:v>Draft, allocation, formulas, publish/revert</x:v>
      </x:c>
      <x:c r="F9" s="83" t="str">
        <x:v>Plan lifecycle confirmed after reload</x:v>
      </x:c>
      <x:c r="G9" s="83" t="str">
        <x:v>BA/User</x:v>
      </x:c>
      <x:c r="H9" s="73" t="str">
        <x:v>Pending</x:v>
      </x:c>
    </x:row>
    <x:row r="10">
      <x:c r="A10" s="72" t="n">
        <x:v>5</x:v>
      </x:c>
      <x:c r="B10" s="83" t="str">
        <x:v>P6</x:v>
      </x:c>
      <x:c r="C10" s="83" t="str">
        <x:v>Release Tracking</x:v>
      </x:c>
      <x:c r="D10" s="83" t="str">
        <x:v>Controlled Direct/Derived/Unparented data</x:v>
      </x:c>
      <x:c r="E10" s="83" t="str">
        <x:v>Buckets, units, issues, totals and history</x:v>
      </x:c>
      <x:c r="F10" s="83" t="str">
        <x:v>RT acceptance checklist closed</x:v>
      </x:c>
      <x:c r="G10" s="83" t="str">
        <x:v>BA/User</x:v>
      </x:c>
      <x:c r="H10" s="73" t="str">
        <x:v>Completed</x:v>
      </x:c>
    </x:row>
    <x:row r="11">
      <x:c r="A11" s="72" t="n">
        <x:v>6</x:v>
      </x:c>
      <x:c r="B11" s="83" t="str">
        <x:v>P6</x:v>
      </x:c>
      <x:c r="C11" s="83" t="str">
        <x:v>Reports</x:v>
      </x:c>
      <x:c r="D11" s="83" t="str">
        <x:v>Snapshots, acceptedDate, tasks and capacity</x:v>
      </x:c>
      <x:c r="E11" s="83" t="str">
        <x:v>Burndown, Velocity and Team Capacity calculations</x:v>
      </x:c>
      <x:c r="F11" s="83" t="str">
        <x:v>All formulas match controlled data</x:v>
      </x:c>
      <x:c r="G11" s="83" t="str">
        <x:v>BA/User</x:v>
      </x:c>
      <x:c r="H11" s="73" t="str">
        <x:v>Completed</x:v>
      </x:c>
    </x:row>
    <x:row r="12">
      <x:c r="A12" s="72" t="n">
        <x:v>7</x:v>
      </x:c>
      <x:c r="B12" s="83" t="str">
        <x:v>P0-6</x:v>
      </x:c>
      <x:c r="C12" s="83" t="str">
        <x:v>E2E regression</x:v>
      </x:c>
      <x:c r="D12" s="83" t="str">
        <x:v>All prior steps usable</x:v>
      </x:c>
      <x:c r="E12" s="83" t="str">
        <x:v>Portfolio -&gt; delivery -&gt; release -&gt; report flow</x:v>
      </x:c>
      <x:c r="F12" s="83" t="str">
        <x:v>One traceable lifecycle passes</x:v>
      </x:c>
      <x:c r="G12" s="83" t="str">
        <x:v>BA/User</x:v>
      </x:c>
      <x:c r="H12" s="73" t="str">
        <x:v>Completed</x:v>
      </x:c>
    </x:row>
    <x:row r="13">
      <x:c r="A13" s="74" t="n">
        <x:v>8</x:v>
      </x:c>
      <x:c r="B13" s="84" t="str">
        <x:v>Handoff</x:v>
      </x:c>
      <x:c r="C13" s="84" t="str">
        <x:v>DEV/BA split</x:v>
      </x:c>
      <x:c r="D13" s="84" t="str">
        <x:v>All results BA-confirmed</x:v>
      </x:c>
      <x:c r="E13" s="84" t="str">
        <x:v>Package DEV fixes and BA doc/mockup updates</x:v>
      </x:c>
      <x:c r="F13" s="84" t="str">
        <x:v>Owners and retest gates clear</x:v>
      </x:c>
      <x:c r="G13" s="84" t="str">
        <x:v>BA</x:v>
      </x:c>
      <x:c r="H13" s="75" t="str">
        <x:v>Pending</x:v>
      </x:c>
    </x:row>
  </x:sheetData>
  <x:mergeCells>
    <x:mergeCell ref="A1:H1"/>
    <x:mergeCell ref="A2:H2"/>
  </x:mergeCells>
  <x:dataValidations count="1">
    <x:dataValidation type="list" sqref="H5:H13">
      <x:formula1>"Pending,In Progress,Complete,Blocked"</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7" hidden="0" customWidth="1"/>
    <x:col min="2" max="2" width="11" hidden="0" customWidth="1"/>
    <x:col min="3" max="3" width="28" hidden="0" customWidth="1"/>
    <x:col min="4" max="4" width="9" hidden="0" customWidth="1"/>
    <x:col min="5" max="5" width="30" hidden="0" customWidth="1"/>
    <x:col min="6" max="6" width="42" hidden="0" customWidth="1"/>
    <x:col min="7" max="7" width="42" hidden="0" customWidth="1"/>
    <x:col min="8" max="8" width="72" hidden="0" customWidth="1"/>
    <x:col min="9" max="9" width="54" hidden="0" customWidth="1"/>
    <x:col min="10" max="10" width="34" hidden="0" customWidth="1"/>
    <x:col min="11" max="11" width="48" hidden="0" customWidth="1"/>
    <x:col min="12" max="12" width="17" hidden="0" customWidth="1"/>
    <x:col min="13" max="13" width="48" hidden="0" customWidth="1"/>
    <x:col min="14" max="14" width="38" hidden="0" customWidth="1"/>
    <x:col min="15" max="15" width="46" hidden="0" customWidth="1"/>
    <x:col min="16" max="16" width="18" hidden="0" customWidth="1"/>
    <x:col min="17" max="17" width="20" hidden="0" customWidth="1"/>
    <x:col min="18" max="18" width="14" hidden="0" customWidth="1"/>
  </x:cols>
  <x:sheetData>
    <x:row r="1" ht="30" customHeight="1">
      <x:c r="A1" s="4" t="str">
        <x:v>Carryover Phase 0-4</x:v>
      </x:c>
      <x:c r="B1" s="4"/>
      <x:c r="C1" s="4"/>
      <x:c r="D1" s="4"/>
      <x:c r="E1" s="4"/>
      <x:c r="F1" s="4"/>
      <x:c r="G1" s="4"/>
      <x:c r="H1" s="4"/>
      <x:c r="I1" s="4"/>
      <x:c r="J1" s="4"/>
      <x:c r="K1" s="4"/>
      <x:c r="L1" s="4"/>
      <x:c r="M1" s="4"/>
      <x:c r="N1" s="4"/>
      <x:c r="O1" s="4"/>
      <x:c r="P1" s="4"/>
      <x:c r="Q1" s="4"/>
      <x:c r="R1" s="4"/>
    </x:row>
    <x:row r="2" ht="34" customHeight="1">
      <x:c r="A2" s="8" t="str">
        <x:v>61 unresolved, blocked, deferred or Future Backlog rows carried from DEVINT Phase 0-4 audit.</x:v>
      </x:c>
      <x:c r="B2" s="8"/>
      <x:c r="C2" s="8"/>
      <x:c r="D2" s="8"/>
      <x:c r="E2" s="8"/>
      <x:c r="F2" s="8"/>
      <x:c r="G2" s="8"/>
      <x:c r="H2" s="8"/>
      <x:c r="I2" s="8"/>
      <x:c r="J2" s="8"/>
      <x:c r="K2" s="8"/>
      <x:c r="L2" s="8"/>
      <x:c r="M2" s="8"/>
      <x:c r="N2" s="8"/>
      <x:c r="O2" s="8"/>
      <x:c r="P2" s="8"/>
      <x:c r="Q2" s="8"/>
      <x:c r="R2" s="8"/>
    </x:row>
    <x:row r="4">
      <x:c r="A4" s="14" t="str">
        <x:v>ID</x:v>
      </x:c>
      <x:c r="B4" s="14" t="str">
        <x:v>Phase</x:v>
      </x:c>
      <x:c r="C4" s="14" t="str">
        <x:v>Module</x:v>
      </x:c>
      <x:c r="D4" s="14" t="str">
        <x:v>Priority</x:v>
      </x:c>
      <x:c r="E4" s="14" t="str">
        <x:v>Test Objective</x:v>
      </x:c>
      <x:c r="F4" s="14" t="str">
        <x:v>Preconditions</x:v>
      </x:c>
      <x:c r="G4" s="14" t="str">
        <x:v>Test Data</x:v>
      </x:c>
      <x:c r="H4" s="14" t="str">
        <x:v>Detailed Test Steps</x:v>
      </x:c>
      <x:c r="I4" s="14" t="str">
        <x:v>Expected Result</x:v>
      </x:c>
      <x:c r="J4" s="14" t="str">
        <x:v>SRS / Mockup Ref</x:v>
      </x:c>
      <x:c r="K4" s="14" t="str">
        <x:v>Previous Result</x:v>
      </x:c>
      <x:c r="L4" s="14" t="str">
        <x:v>Current Status</x:v>
      </x:c>
      <x:c r="M4" s="14" t="str">
        <x:v>Actual Result</x:v>
      </x:c>
      <x:c r="N4" s="14" t="str">
        <x:v>Evidence</x:v>
      </x:c>
      <x:c r="O4" s="14" t="str">
        <x:v>Gap / Comment</x:v>
      </x:c>
      <x:c r="P4" s="14" t="str">
        <x:v>Tester</x:v>
      </x:c>
      <x:c r="Q4" s="14" t="str">
        <x:v>BA Confirmation</x:v>
      </x:c>
      <x:c r="R4" s="14" t="str">
        <x:v>Test Date</x:v>
      </x:c>
    </x:row>
    <x:row r="5">
      <x:c r="A5" s="43" t="str">
        <x:v>GAP-P0-AUTH-001</x:v>
      </x:c>
      <x:c r="B5" s="44" t="str">
        <x:v>Phase 0</x:v>
      </x:c>
      <x:c r="C5" s="44" t="str">
        <x:v>Login</x:v>
      </x:c>
      <x:c r="D5" s="44" t="str">
        <x:v>P1</x:v>
      </x:c>
      <x:c r="E5" s="35" t="str">
        <x:v>Authentication method</x:v>
      </x:c>
      <x:c r="F5" s="35" t="str">
        <x:v>DevInt truy cập được và không có lỗi tải trang nghiêm trọng.
Đã sign out hoặc dùng phiên chưa đăng nhập.</x:v>
      </x:c>
      <x:c r="G5" s="35" t="str">
        <x:v>Tài khoản test hợp lệ; email không có quyền hoặc credential sai khi case yêu cầu negative test; phiên browser đã sign out.</x:v>
      </x:c>
      <x:c r="H5" s="35" t="str">
        <x:v>1. Mở https://rally-dev.qnsc.vn/ và xác nhận đúng tài khoản/role của case.
2. Chọn Workspace/Project/Team theo Test Data; ghi lại scope trước khi thao tác.
3. Mở /login; chụp trạng thái ban đầu nếu case liên quan UI, số liệu hoặc quyền.
4. Thực hiện nghiệp vụ: Tại màn hình Login, kiểm tra chức năng "Authentication method"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/login offers only Sign in with Microsoft. It redirects to Microsoft Entra ID and returns to / Home after successful sign-in with hieuvbm@qnsc.vn..
8. Kiểm tra hướng sửa đã chốt: Recommended: make Microsoft SSO the authoritative internal-product rule; update Phase 0 SRS, login mockup and tests to SSO-first, and move local password/forgot/reset/change-password to Future Backlog. If local auth is still required, DevInt must add an explicit local sign-in path..
9. Ghi Actual Result, chọn Current Status, điền Evidence và Gap/Comment trong chính dòng case.</x:v>
      </x:c>
      <x:c r="I5" s="35" t="str">
        <x:v>Phase 0 SRS/mockup require local email + password, show/hide password, remember-me and generic invalid-credential handling; enterprise SSO/OAuth is explicitly out of scope.</x:v>
      </x:c>
      <x:c r="J5" s="35" t="str">
        <x:v>P0-AUTH-01</x:v>
      </x:c>
      <x:c r="K5" s="35" t="str">
        <x:v>Still Open</x:v>
      </x:c>
      <x:c r="L5" s="49" t="str">
        <x:v>Not Run</x:v>
      </x:c>
      <x:c r="M5" s="49" t="str"/>
      <x:c r="N5" s="49" t="str">
        <x:v>evidence/retest_2026-07-24/P0-AUTH-01-login.png</x:v>
      </x:c>
      <x:c r="O5" s="49" t="str">
        <x:v>Current build retest 2026-07-24: DevInt login now shows Work email + Continue and Sign in with Microsoft, but still has no local password, show/hide password or remember-me flow required by Phase 0. Email Continue returned No access.</x:v>
      </x:c>
      <x:c r="P5" s="49" t="str"/>
      <x:c r="Q5" s="49" t="str">
        <x:v>Fix Direction Approved</x:v>
      </x:c>
      <x:c r="R5" s="55" t="str"/>
    </x:row>
    <x:row r="6">
      <x:c r="A6" s="45" t="str">
        <x:v>GAP-P0-SHELL-002</x:v>
      </x:c>
      <x:c r="B6" s="46" t="str">
        <x:v>Phase 0</x:v>
      </x:c>
      <x:c r="C6" s="46" t="str">
        <x:v>Global navigation</x:v>
      </x:c>
      <x:c r="D6" s="46" t="str">
        <x:v>P1</x:v>
      </x:c>
      <x:c r="E6" s="38" t="str">
        <x:v>Portfolio menu behavior</x:v>
      </x:c>
      <x:c r="F6" s="38" t="str">
        <x:v>DevInt truy cập được và không có lỗi tải trang nghiêm trọng.
Đăng nhập bằng đúng role nêu trong case; nếu case không nêu role thì dùng Workspace Admin.</x:v>
      </x:c>
      <x:c r="G6" s="38" t="str">
        <x:v>Dùng dữ liệu test riêng trong Project TEST. Nếu chưa có dữ liệu bắt buộc, ghi Blocked và nêu rõ dữ liệu còn thiếu.</x:v>
      </x:c>
      <x:c r="H6" s="38" t="str">
        <x:v>1. Mở https://rally-dev.qnsc.vn/ và xác nhận đúng tài khoản/role của case.
2. Chọn Workspace/Project/Team theo Test Data; ghi lại scope trước khi thao tác.
3. Mở global header/navigation; chụp trạng thái ban đầu nếu case liên quan UI, số liệu hoặc quyền.
4. Thực hiện nghiệp vụ: Tại màn hình Global navigation, kiểm tra chức năng "Portfolio menu behavior"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renders Portfolio as a direct link to /portfolio and has no Release Planning dropdown item..
8. Kiểm tra hướng sửa đã chốt: Convert Portfolio to a dropdown and add Release Planning as a Phase 5 entry marked Coming Soon until Phase 5. Do not expose Release create/edit there. Reconcile mockup and navigation documents after the full audit..
9. Ghi Actual Result, chọn Current Status, điền Evidence và Gap/Comment trong chính dòng case.</x:v>
      </x:c>
      <x:c r="I6" s="38" t="str">
        <x:v>Portfolio is a dropdown containing Release Planning. Release Planning is a Phase 5 placeholder and is not a second Release management source in Phase 0–4.</x:v>
      </x:c>
      <x:c r="J6" s="38" t="str">
        <x:v>P0-SHELL-01</x:v>
      </x:c>
      <x:c r="K6" s="38" t="str">
        <x:v>Still Open</x:v>
      </x:c>
      <x:c r="L6" s="51" t="str">
        <x:v>Partial</x:v>
      </x:c>
      <x:c r="M6" s="51" t="str">
        <x:v>Portfolio is a dropdown with Portfolio Items, Capacity Planning and Release Tracking. Historical Release Planning is absent; BA trace alignment is still needed.</x:v>
      </x:c>
      <x:c r="N6" s="51" t="str">
        <x:v>evidence/retest_2026-07-24/P0-SHELL-01-dev.png; evidence/retest_2026-07-24/P0-SHELL-01-mock.png</x:v>
      </x:c>
      <x:c r="O6" s="51" t="str">
        <x:v>Align the historical Release Planning expectation with the approved Portfolio menu.</x:v>
      </x:c>
      <x:c r="P6" s="51" t="str">
        <x:v>Codex</x:v>
      </x:c>
      <x:c r="Q6" s="51" t="str">
        <x:v>Fix Direction Approved</x:v>
      </x:c>
      <x:c r="R6" s="56" t="str">
        <x:v>2026-08-05</x:v>
      </x:c>
    </x:row>
    <x:row r="7">
      <x:c r="A7" s="45" t="str">
        <x:v>GAP-P0-SHELL-004</x:v>
      </x:c>
      <x:c r="B7" s="46" t="str">
        <x:v>Phase 0</x:v>
      </x:c>
      <x:c r="C7" s="46" t="str">
        <x:v>Global navigation</x:v>
      </x:c>
      <x:c r="D7" s="46" t="str">
        <x:v>P2</x:v>
      </x:c>
      <x:c r="E7" s="38" t="str">
        <x:v>Iteration Status label</x:v>
      </x:c>
      <x:c r="F7" s="38" t="str">
        <x:v>DevInt truy cập được và không có lỗi tải trang nghiêm trọng.
Đăng nhập bằng đúng role nêu trong case; nếu case không nêu role thì dùng Workspace Admin.</x:v>
      </x:c>
      <x:c r="G7" s="38" t="str">
        <x:v>Project TEST; một Iteration active và một Iteration completed; Work Item/Task có thể nhận biết bằng prefix P56-AUDIT.</x:v>
      </x:c>
      <x:c r="H7" s="38" t="str">
        <x:v>1. Mở https://rally-dev.qnsc.vn/ và xác nhận đúng tài khoản/role của case.
2. Chọn Workspace/Project/Team theo Test Data; ghi lại scope trước khi thao tác.
3. Mở global header/navigation; chụp trạng thái ban đầu nếu case liên quan UI, số liệu hoặc quyền.
4. Thực hiện nghiệp vụ: Tại màn hình Global navigation, kiểm tra chức năng "Iteration Status label"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uses Track &gt; Iteration and Track &gt; Team Status. No Team Board item is present..
8. Kiểm tra hướng sửa đã chốt: Rename the DevInt Track child from Iteration to Iteration Status. Keep Team Status and continue excluding Team Board..
9. Ghi Actual Result, chọn Current Status, điền Evidence và Gap/Comment trong chính dòng case.</x:v>
      </x:c>
      <x:c r="I7" s="38" t="str">
        <x:v>Track dropdown uses the explicit child label Iteration Status; Team Status remains the other current Track child and Team Board is future backlog.</x:v>
      </x:c>
      <x:c r="J7" s="38" t="str">
        <x:v>P0-SHELL-01</x:v>
      </x:c>
      <x:c r="K7" s="38" t="str">
        <x:v>Still Open</x:v>
      </x:c>
      <x:c r="L7" s="51" t="str">
        <x:v>Pass</x:v>
      </x:c>
      <x:c r="M7" s="51" t="str">
        <x:v>Track menu shows Iteration Status and Team Status.</x:v>
      </x:c>
      <x:c r="N7" s="51" t="str">
        <x:v>evidence/retest_2026-07-24/P0-SHELL-01-dev.png; evidence/retest_2026-07-24/P0-SHELL-01-mock.png</x:v>
      </x:c>
      <x:c r="O7" s="51" t="str"/>
      <x:c r="P7" s="51" t="str">
        <x:v>Codex</x:v>
      </x:c>
      <x:c r="Q7" s="51" t="str">
        <x:v>Fix Direction Approved</x:v>
      </x:c>
      <x:c r="R7" s="56" t="str">
        <x:v>2026-08-05</x:v>
      </x:c>
    </x:row>
    <x:row r="8">
      <x:c r="A8" s="45" t="str">
        <x:v>GAP-P0-SHELL-006</x:v>
      </x:c>
      <x:c r="B8" s="46" t="str">
        <x:v>Phase 0</x:v>
      </x:c>
      <x:c r="C8" s="46" t="str">
        <x:v>Global Search</x:v>
      </x:c>
      <x:c r="D8" s="46" t="str">
        <x:v>P2</x:v>
      </x:c>
      <x:c r="E8" s="38" t="str">
        <x:v>Functional search scope</x:v>
      </x:c>
      <x:c r="F8" s="38" t="str">
        <x:v>DevInt truy cập được và không có lỗi tải trang nghiêm trọng.
Đăng nhập bằng đúng role nêu trong case; nếu case không nêu role thì dùng Workspace Admin.</x:v>
      </x:c>
      <x:c r="G8" s="38" t="str">
        <x:v>Dùng dữ liệu test riêng trong Project TEST. Nếu chưa có dữ liệu bắt buộc, ghi Blocked và nêu rõ dữ liệu còn thiếu.</x:v>
      </x:c>
      <x:c r="H8" s="38" t="str">
        <x:v>1. Mở https://rally-dev.qnsc.vn/ và xác nhận đúng tài khoản/role của case.
2. Chọn Workspace/Project/Team theo Test Data; ghi lại scope trước khi thao tác.
3. Mở Global Search; chụp trạng thái ban đầu nếu case liên quan UI, số liệu hoặc quyền.
4. Thực hiện nghiệp vụ: Tại màn hình Global Search, kiểm tra chức năng "Functional search scope"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renders the input and accepts text, but DE-1, Enter, and DEVINT-NO-MATCH-999 produced no overlay, results, empty state, or route change..
8. Kiểm tra hướng sửa đã chốt: Recommended: confirm contract-only Global Search for Phase 0-3, classify DevInt as matching current scope, and add functional Global Search to Future Backlog. Update this audit checkpoint expectation so it does not incorrectly require functional search now. If BA wants search in current scope, DevInt needs a result overlay/page, permission filtering, ID/title matching, empty/loading/error states, and identity-preserving result navigation..
9. Ghi Actual Result, chọn Current Status, điền Evidence và Gap/Comment trong chính dòng case.</x:v>
      </x:c>
      <x:c r="I8" s="38" t="str">
        <x:v>Phase 0 App Shell SRS SHELL-FR-009 allows Global Search to be contract-only; a later functional search should return permitted Work Items and preserve identity when opening a result.</x:v>
      </x:c>
      <x:c r="J8" s="38" t="str">
        <x:v>P0-SHELL-03</x:v>
      </x:c>
      <x:c r="K8" s="38" t="str">
        <x:v>Future Backlog</x:v>
      </x:c>
      <x:c r="L8" s="51" t="str">
        <x:v>Future Backlog</x:v>
      </x:c>
      <x:c r="M8" s="51" t="str"/>
      <x:c r="N8" s="51" t="str">
        <x:v>evidence/retest_2026-07-24/P0-SHELL-01-dev.png</x:v>
      </x:c>
      <x:c r="O8" s="51" t="str">
        <x:v>Current build retest 2026-07-24: Global Search remains visual-only/non-functional, consistent with Future Backlog scope. BA confirmed 2026-07-24: move this item to Future Backlog; not part of current dev fix package.</x:v>
      </x:c>
      <x:c r="P8" s="51" t="str"/>
      <x:c r="Q8" s="51" t="str">
        <x:v>Future Backlog Approved</x:v>
      </x:c>
      <x:c r="R8" s="56" t="str"/>
    </x:row>
    <x:row r="9">
      <x:c r="A9" s="45" t="str">
        <x:v>GAP-P0-WS-002</x:v>
      </x:c>
      <x:c r="B9" s="46" t="str">
        <x:v>Phase 0</x:v>
      </x:c>
      <x:c r="C9" s="46" t="str">
        <x:v>Workspace identity</x:v>
      </x:c>
      <x:c r="D9" s="46" t="str">
        <x:v>P1</x:v>
      </x:c>
      <x:c r="E9" s="38" t="str">
        <x:v>Company display-name editability</x:v>
      </x:c>
      <x:c r="F9"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9" s="38" t="str">
        <x:v>Dùng dữ liệu test riêng trong Project TEST. Nếu chưa có dữ liệu bắt buộc, ghi Blocked và nêu rõ dữ liệu còn thiếu.</x:v>
      </x:c>
      <x:c r="H9" s="38" t="str">
        <x:v>1. Mở https://rally-dev.qnsc.vn/ và xác nhận đúng tài khoản/role của case.
2. Chọn Workspace/Project/Team theo Test Data; ghi lại scope trước khi thao tác.
3. Mở Workspace identity; chụp trạng thái ban đầu nếu case liên quan UI, số liệu hoặc quyền.
4. Thực hiện nghiệp vụ: Tại màn hình Workspace identity, kiểm tra chức năng "Company display-name editability"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Workspace Settings exposes an enabled required Workspace name textbox containing ACME Corp and a Save changes button..
8. Kiểm tra hướng sửa đã chốt: Keep DevInt Workspace name editing. Reconcile SRS and mockup to allow Workspace Admin rename, with required-name validation, authorization, save feedback and audit-event acceptance criteria..
9. Ghi Actual Result, chọn Current Status, điền Evidence và Gap/Comment trong chính dòng case.</x:v>
      </x:c>
      <x:c r="I9" s="38" t="str">
        <x:v>BA-confirmed rule: Workspace Admin may edit Workspace name, while users still cannot create, switch, archive or delete Workspaces in the MVP.</x:v>
      </x:c>
      <x:c r="J9" s="38" t="str">
        <x:v>P0-WS-01</x:v>
      </x:c>
      <x:c r="K9" s="38" t="str">
        <x:v>Future Backlog</x:v>
      </x:c>
      <x:c r="L9" s="51" t="str">
        <x:v>Future Backlog</x:v>
      </x:c>
      <x:c r="M9" s="51" t="str"/>
      <x:c r="N9" s="51" t="str">
        <x:v>evidence/retest_2026-07-24/P0-WS-01-dev.png</x:v>
      </x:c>
      <x:c r="O9" s="51" t="str">
        <x:v>Current build retest 2026-07-24: Workspace name is editable; separate Company/Environment CRUD is not required by confirmed business scope. BA confirmed 2026-07-24: move this item to Future Backlog; not part of current dev fix package.</x:v>
      </x:c>
      <x:c r="P9" s="51" t="str"/>
      <x:c r="Q9" s="51" t="str">
        <x:v>Docs Change Approved / Future Backlog</x:v>
      </x:c>
      <x:c r="R9" s="56" t="str"/>
    </x:row>
    <x:row r="10">
      <x:c r="A10" s="45" t="str">
        <x:v>GAP-P0-PRJ-001</x:v>
      </x:c>
      <x:c r="B10" s="46" t="str">
        <x:v>Phase 0</x:v>
      </x:c>
      <x:c r="C10" s="46" t="str">
        <x:v>Manage Projects</x:v>
      </x:c>
      <x:c r="D10" s="46" t="str">
        <x:v>P2</x:v>
      </x:c>
      <x:c r="E10" s="38" t="str">
        <x:v>Screen and owner labels</x:v>
      </x:c>
      <x:c r="F10" s="38" t="str">
        <x:v>DevInt truy cập được và không có lỗi tải trang nghiêm trọng.
Đăng nhập bằng đúng role nêu trong case; nếu case không nêu role thì dùng Workspace Admin.</x:v>
      </x:c>
      <x:c r="G10" s="38" t="str">
        <x:v>Dùng dữ liệu test riêng trong Project TEST. Nếu chưa có dữ liệu bắt buộc, ghi Blocked và nêu rõ dữ liệu còn thiếu.</x:v>
      </x:c>
      <x:c r="H10" s="38" t="str">
        <x:v>1. Mở https://rally-dev.qnsc.vn/ và xác nhận đúng tài khoản/role của case.
2. Chọn Workspace/Project/Team theo Test Data; ghi lại scope trước khi thao tác.
3. Mở Manage Projects; chụp trạng thái ban đầu nếu case liên quan UI, số liệu hoặc quyền.
4. Thực hiện nghiệp vụ: Tại màn hình Manage Projects, kiểm tra chức năng "Screen and owner labels"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uses Projects and Lead..
8. Kiểm tra hướng sửa đã chốt: Rename the DevInt heading/breadcrumb entry to Manage Projects where it represents the administration screen, and rename Lead to Owner. Keep the underlying route and stable identity unchanged..
9. Ghi Actual Result, chọn Current Status, điền Evidence và Gap/Comment trong chính dòng case.</x:v>
      </x:c>
      <x:c r="I10" s="38" t="str">
        <x:v>The administrative list is named Manage Projects and the responsible person is consistently labeled Owner.</x:v>
      </x:c>
      <x:c r="J10" s="38" t="str">
        <x:v>P0-PRJ-01</x:v>
      </x:c>
      <x:c r="K10" s="38" t="str">
        <x:v>Future Backlog</x:v>
      </x:c>
      <x:c r="L10" s="51" t="str">
        <x:v>Future Backlog</x:v>
      </x:c>
      <x:c r="M10" s="51" t="str"/>
      <x:c r="N10" s="51" t="str">
        <x:v>evidence/retest_2026-07-24/P0-PRJ-01-list.png</x:v>
      </x:c>
      <x:c r="O10" s="51" t="str">
        <x:v>Current build retest 2026-07-24: Projects heading remains as-is per BA acceptance; Owner label is consistent. BA confirmed 2026-07-24: move this item to Future Backlog; not part of current dev fix package.</x:v>
      </x:c>
      <x:c r="P10" s="51" t="str"/>
      <x:c r="Q10" s="51" t="str">
        <x:v>DevInt Accepted / Future Backlog</x:v>
      </x:c>
      <x:c r="R10" s="56" t="str"/>
    </x:row>
    <x:row r="11">
      <x:c r="A11" s="45" t="str">
        <x:v>GAP-P0-PRJ-004</x:v>
      </x:c>
      <x:c r="B11" s="46" t="str">
        <x:v>Phase 0</x:v>
      </x:c>
      <x:c r="C11" s="46" t="str">
        <x:v>Create Project</x:v>
      </x:c>
      <x:c r="D11" s="46" t="str">
        <x:v>P1</x:v>
      </x:c>
      <x:c r="E11" s="38" t="str">
        <x:v>Project Name validation</x:v>
      </x:c>
      <x:c r="F11"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11" s="38" t="str">
        <x:v>Dùng dữ liệu test riêng trong Project TEST. Nếu chưa có dữ liệu bắt buộc, ghi Blocked và nêu rõ dữ liệu còn thiếu.</x:v>
      </x:c>
      <x:c r="H11" s="38" t="str">
        <x:v>1. Mở https://rally-dev.qnsc.vn/ và xác nhận đúng tài khoản/role của case.
2. Chọn Workspace/Project/Team theo Test Data; ghi lại scope trước khi thao tác.
3. Mở Create Project; chụp trạng thái ban đầu nếu case liên quan UI, số liệu hoặc quyền.
4. Thực hiện nghiệp vụ: Tại màn hình Create Project, kiểm tra chức năng "Project Name validation"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enabled Create Project with a one-character name A when the key was valid; no one-character Project was submitted..
8. Kiểm tra hướng sửa đã chốt: Add client-side trim and 2-255 validation with inline feedback; keep Create disabled until valid and retain server-side validation..
9. Ghi Actual Result, chọn Current Status, điền Evidence và Gap/Comment trong chính dòng case.</x:v>
      </x:c>
      <x:c r="I11" s="38" t="str">
        <x:v>Project Name is required, trimmed and 2-255 characters before submission.</x:v>
      </x:c>
      <x:c r="J11" s="38" t="str">
        <x:v>P0-PRJ-02</x:v>
      </x:c>
      <x:c r="K11" s="38" t="str">
        <x:v>Still Open</x:v>
      </x:c>
      <x:c r="L11" s="51" t="str">
        <x:v>Not Run</x:v>
      </x:c>
      <x:c r="M11" s="51" t="str"/>
      <x:c r="N11" s="51" t="str">
        <x:v>evidence/retest_2026-07-24/P0-PRJ-02-create-validation.png</x:v>
      </x:c>
      <x:c r="O11" s="51" t="str">
        <x:v>Current build retest 2026-07-24: Create Project becomes enabled with one-character Project Name A.</x:v>
      </x:c>
      <x:c r="P11" s="51" t="str"/>
      <x:c r="Q11" s="51" t="str">
        <x:v>Fix Direction Approved</x:v>
      </x:c>
      <x:c r="R11" s="56" t="str"/>
    </x:row>
    <x:row r="12">
      <x:c r="A12" s="45" t="str">
        <x:v>GAP-P0-PRJ-005</x:v>
      </x:c>
      <x:c r="B12" s="46" t="str">
        <x:v>Phase 0</x:v>
      </x:c>
      <x:c r="C12" s="46" t="str">
        <x:v>Create Project</x:v>
      </x:c>
      <x:c r="D12" s="46" t="str">
        <x:v>P1</x:v>
      </x:c>
      <x:c r="E12" s="38" t="str">
        <x:v>Project Key rule</x:v>
      </x:c>
      <x:c r="F12"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12" s="38" t="str">
        <x:v>Dùng dữ liệu test riêng trong Project TEST. Nếu chưa có dữ liệu bắt buộc, ghi Blocked và nêu rõ dữ liệu còn thiếu.</x:v>
      </x:c>
      <x:c r="H12" s="38" t="str">
        <x:v>1. Mở https://rally-dev.qnsc.vn/ và xác nhận đúng tài khoản/role của case.
2. Chọn Workspace/Project/Team theo Test Data; ghi lại scope trước khi thao tác.
3. Mở Create Project; chụp trạng thái ban đầu nếu case liên quan UI, số liệu hoặc quyền.
4. Thực hiện nghiệp vụ: Tại màn hình Create Project, kiểm tra chức năng "Project Key rule"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uppercases and strips invalid characters, accepts digits, but truncates at 6 characters and displays helper text 2-6 uppercase letters. AUD719 was accepted and created..
8. Kiểm tra hướng sửa đã chốt: Align DevInt validation and helper copy to 2-10 uppercase alphanumeric characters, preserving immutable-after-create behavior..
9. Ghi Actual Result, chọn Current Status, điền Evidence và Gap/Comment trong chính dòng case.</x:v>
      </x:c>
      <x:c r="I12" s="38" t="str">
        <x:v>Current SRS defines immutable Project Key as 2-10 uppercase A-Z/0-9 characters.</x:v>
      </x:c>
      <x:c r="J12" s="38" t="str">
        <x:v>P0-PRJ-02</x:v>
      </x:c>
      <x:c r="K12" s="38" t="str">
        <x:v>Partial (retest)</x:v>
      </x:c>
      <x:c r="L12" s="51" t="str">
        <x:v>Not Run</x:v>
      </x:c>
      <x:c r="M12" s="51" t="str"/>
      <x:c r="N12" s="51" t="str">
        <x:v>evidence/retest_2026-07-24/P0-PRJ-02-create-validation.png</x:v>
      </x:c>
      <x:c r="O12" s="51" t="str">
        <x:v>Current build retest 2026-07-24: Functional key input accepts 10 uppercase alphanumeric characters, but helper text still incorrectly says 2–6 letters.</x:v>
      </x:c>
      <x:c r="P12" s="51" t="str"/>
      <x:c r="Q12" s="51" t="str">
        <x:v>Fix Direction Approved</x:v>
      </x:c>
      <x:c r="R12" s="56" t="str"/>
    </x:row>
    <x:row r="13">
      <x:c r="A13" s="45" t="str">
        <x:v>GAP-P0-PRJ-008</x:v>
      </x:c>
      <x:c r="B13" s="46" t="str">
        <x:v>Phase 0</x:v>
      </x:c>
      <x:c r="C13" s="46" t="str">
        <x:v>Manage Projects</x:v>
      </x:c>
      <x:c r="D13" s="46" t="str">
        <x:v>P2</x:v>
      </x:c>
      <x:c r="E13" s="38" t="str">
        <x:v>Edit affordance for an archived Project</x:v>
      </x:c>
      <x:c r="F13"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13" s="38" t="str">
        <x:v>Dùng dữ liệu test riêng trong Project TEST. Nếu chưa có dữ liệu bắt buộc, ghi Blocked và nêu rõ dữ liệu còn thiếu.</x:v>
      </x:c>
      <x:c r="H13" s="38" t="str">
        <x:v>1. Mở https://rally-dev.qnsc.vn/ và xác nhận đúng tài khoản/role của case.
2. Chọn Workspace/Project/Team theo Test Data; ghi lại scope trước khi thao tác.
3. Mở Manage Projects; chụp trạng thái ban đầu nếu case liên quan UI, số liệu hoặc quyền.
4. Thực hiện nghiệp vụ: Tại màn hình Manage Projects, kiểm tra chức năng "Edit affordance for an archived Project"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still exposes Edit project and opens a normal Edit Project form for AUD719. Save is correctly rejected by the backend with an archived/read-only message..
8. Kiểm tra hướng sửa đã chốt: Hide Edit for archived rows and expose only Restore. If an archived detail route is opened directly, present a read-only banner and disabled fields while retaining the existing backend guard..
9. Ghi Actual Result, chọn Current Status, điền Evidence và Gap/Comment trong chính dòng case.</x:v>
      </x:c>
      <x:c r="I13" s="38" t="str">
        <x:v>An archived Project is read-only. Its row exposes Restore, not an editable form or Save action.</x:v>
      </x:c>
      <x:c r="J13" s="38" t="str">
        <x:v>P0-PRJ-03</x:v>
      </x:c>
      <x:c r="K13" s="38" t="str">
        <x:v>Future Backlog</x:v>
      </x:c>
      <x:c r="L13" s="51" t="str">
        <x:v>Future Backlog</x:v>
      </x:c>
      <x:c r="M13" s="51" t="str"/>
      <x:c r="N13" s="51" t="str">
        <x:v>evidence/retest_2026-07-24/P0-PRJ-01-list.png</x:v>
      </x:c>
      <x:c r="O13" s="51" t="str">
        <x:v>Current build retest 2026-07-24: Archived Project edit affordance remains accepted as-is; no retest mutation required. BA confirmed 2026-07-24: move this item to Future Backlog; not part of current dev fix package.</x:v>
      </x:c>
      <x:c r="P13" s="51" t="str"/>
      <x:c r="Q13" s="51" t="str">
        <x:v>Accepted As-Is / Future Backlog</x:v>
      </x:c>
      <x:c r="R13" s="56" t="str"/>
    </x:row>
    <x:row r="14">
      <x:c r="A14" s="45" t="str">
        <x:v>GAP-P0-PRJ-009</x:v>
      </x:c>
      <x:c r="B14" s="46" t="str">
        <x:v>Phase 0</x:v>
      </x:c>
      <x:c r="C14" s="46" t="str">
        <x:v>Manage Projects</x:v>
      </x:c>
      <x:c r="D14" s="46" t="str">
        <x:v>P2</x:v>
      </x:c>
      <x:c r="E14" s="38" t="str">
        <x:v>Restore confirmation behavior</x:v>
      </x:c>
      <x:c r="F14" s="38" t="str">
        <x:v>DevInt truy cập được và không có lỗi tải trang nghiêm trọng.
Đăng nhập bằng đúng role nêu trong case; nếu case không nêu role thì dùng Workspace Admin.</x:v>
      </x:c>
      <x:c r="G14" s="38" t="str">
        <x:v>Dùng dữ liệu test riêng trong Project TEST. Nếu chưa có dữ liệu bắt buộc, ghi Blocked và nêu rõ dữ liệu còn thiếu.</x:v>
      </x:c>
      <x:c r="H14" s="38" t="str">
        <x:v>1. Mở https://rally-dev.qnsc.vn/ và xác nhận đúng tài khoản/role của case.
2. Chọn Workspace/Project/Team theo Test Data; ghi lại scope trước khi thao tác.
3. Mở Manage Projects; chụp trạng thái ban đầu nếu case liên quan UI, số liệu hoặc quyền.
4. Thực hiện nghiệp vụ: Tại màn hình Manage Projects, kiểm tra chức năng "Restore confirmation behavior"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restores AUD719 immediately from the row action with no confirmation dialog; counts, Active filter and selector update correctly..
8. Kiểm tra hướng sửa đã chốt: Recommended: follow the mockup and require a simple Restore confirmation dialog. No typed key is needed because Restore is reversible..
9. Ghi Actual Result, chọn Current Status, điền Evidence và Gap/Comment trong chính dòng case.</x:v>
      </x:c>
      <x:c r="I14" s="38" t="str">
        <x:v>Restore behavior follows the BA-approved interaction contract before changing an archived Project back to Active.</x:v>
      </x:c>
      <x:c r="J14" s="38" t="str">
        <x:v>P0-PRJ-03</x:v>
      </x:c>
      <x:c r="K14" s="38" t="str">
        <x:v>Future Backlog</x:v>
      </x:c>
      <x:c r="L14" s="51" t="str">
        <x:v>Future Backlog</x:v>
      </x:c>
      <x:c r="M14" s="51" t="str"/>
      <x:c r="N14" s="51" t="str">
        <x:v>evidence/retest_2026-07-24/P0-PRJ-01-list.png</x:v>
      </x:c>
      <x:c r="O14" s="51" t="str">
        <x:v>Current build retest 2026-07-24: Restore without confirmation remains accepted as-is. BA confirmed 2026-07-24: move this item to Future Backlog; not part of current dev fix package.</x:v>
      </x:c>
      <x:c r="P14" s="51" t="str"/>
      <x:c r="Q14" s="51" t="str">
        <x:v>Accepted As-Is / Future Backlog</x:v>
      </x:c>
      <x:c r="R14" s="56" t="str"/>
    </x:row>
    <x:row r="15">
      <x:c r="A15" s="45" t="str">
        <x:v>GAP-P0-PRJ-010</x:v>
      </x:c>
      <x:c r="B15" s="46" t="str">
        <x:v>Phase 0</x:v>
      </x:c>
      <x:c r="C15" s="46" t="str">
        <x:v>Manage Projects</x:v>
      </x:c>
      <x:c r="D15" s="46" t="str">
        <x:v>P2</x:v>
      </x:c>
      <x:c r="E15" s="38" t="str">
        <x:v>Archive confirmation parity</x:v>
      </x:c>
      <x:c r="F1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15" s="38" t="str">
        <x:v>Dùng dữ liệu test riêng trong Project TEST. Nếu chưa có dữ liệu bắt buộc, ghi Blocked và nêu rõ dữ liệu còn thiếu.</x:v>
      </x:c>
      <x:c r="H15" s="38" t="str">
        <x:v>1. Mở https://rally-dev.qnsc.vn/ và xác nhận đúng tài khoản/role của case.
2. Chọn Workspace/Project/Team theo Test Data; ghi lại scope trước khi thao tác.
3. Mở Manage Projects; chụp trạng thái ban đầu nếu case liên quan UI, số liệu hoặc quyền.
4. Thực hiện nghiệp vụ: Tại màn hình Manage Projects, kiểm tra chức năng "Archive confirmation parity"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requires typing AUD719, lists the read-only/visibility effects, disables Archive until the key matches, and archives successfully..
8. Kiểm tra hướng sửa đã chốt: Keep the stronger DevInt typed-key Archive flow because it matches the SRS. Update the mockup to require the Project key and keep the same impact copy..
9. Ghi Actual Result, chọn Current Status, điền Evidence và Gap/Comment trong chính dòng case.</x:v>
      </x:c>
      <x:c r="I15" s="38" t="str">
        <x:v>Archive warns about impact and requires the Project key/name before the destructive state change.</x:v>
      </x:c>
      <x:c r="J15" s="38" t="str">
        <x:v>P0-PRJ-03</x:v>
      </x:c>
      <x:c r="K15" s="38" t="str">
        <x:v>Future Backlog</x:v>
      </x:c>
      <x:c r="L15" s="51" t="str">
        <x:v>Future Backlog</x:v>
      </x:c>
      <x:c r="M15" s="51" t="str"/>
      <x:c r="N15" s="51" t="str">
        <x:v>evidence/retest_2026-07-24/P0-PRJ-01-list.png</x:v>
      </x:c>
      <x:c r="O15" s="51" t="str">
        <x:v>Current build retest 2026-07-24: Archive confirmation parity was already accepted; no destructive archive rerun needed. BA confirmed 2026-07-24: move this item to Future Backlog; not part of current dev fix package.</x:v>
      </x:c>
      <x:c r="P15" s="51" t="str"/>
      <x:c r="Q15" s="51" t="str">
        <x:v>DevInt Accepted / Future Backlog</x:v>
      </x:c>
      <x:c r="R15" s="56" t="str"/>
    </x:row>
    <x:row r="16">
      <x:c r="A16" s="45" t="str">
        <x:v>GAP-P1-USER-004</x:v>
      </x:c>
      <x:c r="B16" s="46" t="str">
        <x:v>Phase 4</x:v>
      </x:c>
      <x:c r="C16" s="46" t="str">
        <x:v>Roles &amp; Permissions</x:v>
      </x:c>
      <x:c r="D16" s="46" t="str">
        <x:v>P0</x:v>
      </x:c>
      <x:c r="E16" s="38" t="str">
        <x:v>Role catalog and matrix model</x:v>
      </x:c>
      <x:c r="F16" s="38" t="str">
        <x:v>DevInt truy cập được và không có lỗi tải trang nghiêm trọng.
Đăng nhập bằng đúng role nêu trong case; nếu case không nêu role thì dùng Workspace Admin.
Có account và Project assignment tương ứng để kiểm tra quyền.</x:v>
      </x:c>
      <x:c r="G16" s="38" t="str">
        <x:v>Dùng dữ liệu test riêng trong Project TEST. Nếu chưa có dữ liệu bắt buộc, ghi Blocked và nêu rõ dữ liệu còn thiếu.</x:v>
      </x:c>
      <x:c r="H16" s="38" t="str">
        <x:v>1. Mở https://rally-dev.qnsc.vn/ và xác nhận đúng tài khoản/role của case.
2. Chọn Workspace/Project/Team theo Test Data; ghi lại scope trước khi thao tác.
3. Mở Roles &amp; Permissions; chụp trạng thái ban đầu nếu case liên quan UI, số liệu hoặc quyền.
4. Thực hiện nghiệp vụ: Tại màn hình Roles &amp; Permissions, kiểm tra chức năng "Role catalog and matrix model"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shows nine roles including Scrum Master, Product Owner, Developer, QA Engineer, Project Viewer and Workspace Member, plus entity/action pressed toggles..
8. Kiểm tra hướng sửa đã chốt: Replace the legacy/persona role surface with the approved three production roles and screen/action E/R/D/H matrix. Keep Workspace Admin column locked and allow Edit/Save only for PA/PM cells..
9. Ghi Actual Result, chọn Current Status, điền Evidence và Gap/Comment trong chính dòng case.</x:v>
      </x:c>
      <x:c r="I16" s="38" t="str">
        <x:v>Only workspace_admin, project_admin and project_member exist. Matrix is organized by Phase 0–4 screen/action with E/R/D/H states and explicit permission codes.</x:v>
      </x:c>
      <x:c r="J16" s="38" t="str">
        <x:v>P4-RBAC-01</x:v>
      </x:c>
      <x:c r="K16" s="38" t="str">
        <x:v>Still Open</x:v>
      </x:c>
      <x:c r="L16" s="51" t="str">
        <x:v>Blocked</x:v>
      </x:c>
      <x:c r="M16" s="51" t="str">
        <x:v>Chưa test được RBAC vì chưa có đủ account/role và Project assignment để kiểm tra quyền.</x:v>
      </x:c>
      <x:c r="N16" s="51" t="str">
        <x:v>evidence/phase4_2026-07-24/P4-RBAC-dev.png; evidence/phase4_2026-07-24/P4-RBAC-mock.png</x:v>
      </x:c>
      <x:c r="O16" s="51" t="str">
        <x:v>BA confirmed 2026-07-24: DevInt must replace the legacy/persona role surface with the approved three production roles and screen/action E/R/D/H matrix.
RBAC blocked: cần Workspace Admin, Project Admin managed/unmanaged và/hoặc Project Member theo Preconditions.</x:v>
      </x:c>
      <x:c r="P16" s="51" t="str"/>
      <x:c r="Q16" s="51" t="str">
        <x:v>Pending RBAC test accounts</x:v>
      </x:c>
      <x:c r="R16" s="56" t="str"/>
    </x:row>
    <x:row r="17">
      <x:c r="A17" s="45" t="str">
        <x:v>GAP-P1-USER-006</x:v>
      </x:c>
      <x:c r="B17" s="46" t="str">
        <x:v>Phase 1</x:v>
      </x:c>
      <x:c r="C17" s="46" t="str">
        <x:v>User Management</x:v>
      </x:c>
      <x:c r="D17" s="46" t="str">
        <x:v>P1</x:v>
      </x:c>
      <x:c r="E17" s="38" t="str">
        <x:v>Invite User flow</x:v>
      </x:c>
      <x:c r="F17" s="38" t="str">
        <x:v>DevInt truy cập được và không có lỗi tải trang nghiêm trọng.
Đăng nhập bằng đúng role nêu trong case; nếu case không nêu role thì dùng Workspace Admin.
Có account và Project assignment tương ứng để kiểm tra quyền.</x:v>
      </x:c>
      <x:c r="G17" s="38" t="str">
        <x:v>Dùng dữ liệu test riêng trong Project TEST. Nếu chưa có dữ liệu bắt buộc, ghi Blocked và nêu rõ dữ liệu còn thiếu.</x:v>
      </x:c>
      <x:c r="H17" s="38" t="str">
        <x:v>1. Mở https://rally-dev.qnsc.vn/ và xác nhận đúng tài khoản/role của case.
2. Chọn Workspace/Project/Team theo Test Data; ghi lại scope trước khi thao tác.
3. Mở User Management; chụp trạng thái ban đầu nếu case liên quan UI, số liệu hoặc quyền.
4. Thực hiện nghiệp vụ: Tại màn hình User Management, kiểm tra chức năng "Invite User flow"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Current build retest 2026-07-24: DevInt Invite member opens an Invite a new member dialog with Email address, Role, Send invitation and Cancel. Actual Send invitation was not executed to avoid an external invite side effect..
8. Kiểm tra hướng sửa đã chốt: Do not treat Invite UI as a current DevInt failure. BA to document the minimum invite contract; Dev to complete/own the detailed Invite flow design. Retest later for validation, delivery, invited status, resend/expire behavior if in scope..
9. Ghi Actual Result, chọn Current Status, điền Evidence và Gap/Comment trong chính dòng case.</x:v>
      </x:c>
      <x:c r="I17" s="38" t="str">
        <x:v>Workspace Admin can invite a User. Invite UI is allowed to follow Dev design as long as it supports business validation: email, role selection, and later invitation delivery/status behavior. Actual sending/delivery is deferred for later test.</x:v>
      </x:c>
      <x:c r="J17" s="38" t="str">
        <x:v>P1-USER-01</x:v>
      </x:c>
      <x:c r="K17" s="38" t="str">
        <x:v>Deferred (not tested)</x:v>
      </x:c>
      <x:c r="L17" s="51" t="str">
        <x:v>Not Run</x:v>
      </x:c>
      <x:c r="M17" s="51" t="str"/>
      <x:c r="N17" s="51" t="str">
        <x:v>evidence/retest_2026-07-24/P1-USER-01-invite.png</x:v>
      </x:c>
      <x:c r="O17" s="51" t="str">
        <x:v>BA confirmed 2026-07-24: Invite flow is dev-designed and not a strict mockup-match requirement. Current dialog exists, but send/delivery was intentionally not tested.</x:v>
      </x:c>
      <x:c r="P17" s="51" t="str"/>
      <x:c r="Q17" s="51" t="str">
        <x:v>Deferred / Test Later</x:v>
      </x:c>
      <x:c r="R17" s="56" t="str"/>
    </x:row>
    <x:row r="18">
      <x:c r="A18" s="45" t="str">
        <x:v>GAP-P1-BL-001</x:v>
      </x:c>
      <x:c r="B18" s="46" t="str">
        <x:v>Phase 1</x:v>
      </x:c>
      <x:c r="C18" s="46" t="str">
        <x:v>Backlog</x:v>
      </x:c>
      <x:c r="D18" s="46" t="str">
        <x:v>P1</x:v>
      </x:c>
      <x:c r="E18" s="38" t="str">
        <x:v>Audit correction - filter execution</x:v>
      </x:c>
      <x:c r="F18" s="38" t="str">
        <x:v>DevInt truy cập được và không có lỗi tải trang nghiêm trọng.
Đăng nhập bằng đúng role nêu trong case; nếu case không nêu role thì dùng Workspace Admin.</x:v>
      </x:c>
      <x:c r="G18" s="38" t="str">
        <x:v>Project TEST; một User Story và một Defect; mỗi item có Tasks; dữ liệu dùng prefix P56-AUDIT.</x:v>
      </x:c>
      <x:c r="H18" s="38" t="str">
        <x:v>1. Mở https://rally-dev.qnsc.vn/ và xác nhận đúng tài khoản/role của case.
2. Chọn Workspace/Project/Team theo Test Data; ghi lại scope trước khi thao tác.
3. Mở Plan &gt; Backlog; chụp trạng thái ban đầu nếu case liên quan UI, số liệu hoặc quyền.
4. Thực hiện nghiệp vụ: Tại màn hình Backlog, kiểm tra chức năng "Audit correction - filter execution"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Current build retest 2026-07-24: Searching filters rows, but clearing the Backlog search sometimes leaves stale partial text (e.g. long audit title remains partially, or US- remains), keeping rows filtered until stronger repeated actions or page reload. This is now reopened by BA as a current gap..
8. Kiểm tra hướng sửa đã chốt: Dev must fix Backlog search clear behavior so Control+A/Delete, Backspace, clear button if present, blur and normal clearing all reset the value and restore the scoped list without reload. Add regression for long text and ID-prefix searches..
9. Ghi Actual Result, chọn Current Status, điền Evidence và Gap/Comment trong chính dòng case.</x:v>
      </x:c>
      <x:c r="I18" s="38" t="str">
        <x:v>Backlog search/filter clearing must behave like a normal user action: after text is cleared, the full scoped backlog list returns without requiring page reload. Search text must fully clear with standard keyboard interactions and not leave stale partial values.</x:v>
      </x:c>
      <x:c r="J18" s="38" t="str">
        <x:v>P1-BL-01</x:v>
      </x:c>
      <x:c r="K18" s="38" t="str">
        <x:v>Still Open</x:v>
      </x:c>
      <x:c r="L18" s="51" t="str">
        <x:v>Fail</x:v>
      </x:c>
      <x:c r="M18" s="51" t="str">
        <x:v>Backlog search clearing is not reliable: P56-AUDIT Carryover Story remained in the search box/list until reload.</x:v>
      </x:c>
      <x:c r="N18" s="51" t="str">
        <x:v>evidence/retest_2026-07-24/P1-BL-01-list-states.png</x:v>
      </x:c>
      <x:c r="O18" s="51" t="str">
        <x:v>Fix normal clear behavior without reload.</x:v>
      </x:c>
      <x:c r="P18" s="51" t="str">
        <x:v>Codex</x:v>
      </x:c>
      <x:c r="Q18" s="51" t="str">
        <x:v>Fix Direction Approved</x:v>
      </x:c>
      <x:c r="R18" s="56" t="str">
        <x:v>2026-08-05</x:v>
      </x:c>
    </x:row>
    <x:row r="19">
      <x:c r="A19" s="45" t="str">
        <x:v>GAP-P1-BL-002</x:v>
      </x:c>
      <x:c r="B19" s="46" t="str">
        <x:v>Phase 1</x:v>
      </x:c>
      <x:c r="C19" s="46" t="str">
        <x:v>Backlog</x:v>
      </x:c>
      <x:c r="D19" s="46" t="str">
        <x:v>P1</x:v>
      </x:c>
      <x:c r="E19" s="38" t="str">
        <x:v>Priority filter availability</x:v>
      </x:c>
      <x:c r="F19" s="38" t="str">
        <x:v>DevInt truy cập được và không có lỗi tải trang nghiêm trọng.
Đăng nhập bằng đúng role nêu trong case; nếu case không nêu role thì dùng Workspace Admin.</x:v>
      </x:c>
      <x:c r="G19" s="38" t="str">
        <x:v>Project TEST; một User Story và một Defect; mỗi item có Tasks; dữ liệu dùng prefix P56-AUDIT.</x:v>
      </x:c>
      <x:c r="H19" s="38" t="str">
        <x:v>1. Mở https://rally-dev.qnsc.vn/ và xác nhận đúng tài khoản/role của case.
2. Chọn Workspace/Project/Team theo Test Data; ghi lại scope trước khi thao tác.
3. Mở Plan &gt; Backlog; chụp trạng thái ban đầu nếu case liên quan UI, số liệu hoặc quyền.
4. Thực hiện nghiệp vụ: Tại màn hình Backlog, kiểm tra chức năng "Priority filter availability"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displays Priority as a column but its Filters panel has no Priority filter..
8. Kiểm tra hướng sửa đã chốt: Add Priority to DevInt Filters with the approved Defect-only values and clear behavior. Include it in combined filter testing..
9. Ghi Actual Result, chọn Current Status, điền Evidence và Gap/Comment trong chính dòng case.</x:v>
      </x:c>
      <x:c r="I19" s="38" t="str">
        <x:v>Backlog supports Priority filtering for Defects using Low, Normal, High, Urgent and None; Story priority remains dash and is not treated as a Story value.</x:v>
      </x:c>
      <x:c r="J19" s="38" t="str">
        <x:v>P1-BL-01</x:v>
      </x:c>
      <x:c r="K19" s="38" t="str">
        <x:v>Still Open</x:v>
      </x:c>
      <x:c r="L19" s="51" t="str">
        <x:v>Fail</x:v>
      </x:c>
      <x:c r="M19" s="51" t="str">
        <x:v>Priority filter offers values, but selecting None retained both the Defect and Story. Story must not be treated as Priority None.</x:v>
      </x:c>
      <x:c r="N19" s="51" t="str">
        <x:v>evidence/retest_2026-07-24/P1-BL-01-list-states.png</x:v>
      </x:c>
      <x:c r="O19" s="51" t="str">
        <x:v>Restrict Priority filtering to Defects; Stories remain dash.</x:v>
      </x:c>
      <x:c r="P19" s="51" t="str">
        <x:v>Codex</x:v>
      </x:c>
      <x:c r="Q19" s="51" t="str">
        <x:v>Fix Direction Approved</x:v>
      </x:c>
      <x:c r="R19" s="56" t="str">
        <x:v>2026-08-05</x:v>
      </x:c>
    </x:row>
    <x:row r="20">
      <x:c r="A20" s="45" t="str">
        <x:v>GAP-P1-BL-004</x:v>
      </x:c>
      <x:c r="B20" s="46" t="str">
        <x:v>Phase 1</x:v>
      </x:c>
      <x:c r="C20" s="46" t="str">
        <x:v>Backlog</x:v>
      </x:c>
      <x:c r="D20" s="46" t="str">
        <x:v>P1</x:v>
      </x:c>
      <x:c r="E20" s="38" t="str">
        <x:v>Column sort controls</x:v>
      </x:c>
      <x:c r="F20" s="38" t="str">
        <x:v>DevInt truy cập được và không có lỗi tải trang nghiêm trọng.
Đăng nhập bằng đúng role nêu trong case; nếu case không nêu role thì dùng Workspace Admin.</x:v>
      </x:c>
      <x:c r="G20" s="38" t="str">
        <x:v>Project TEST; một User Story và một Defect; mỗi item có Tasks; dữ liệu dùng prefix P56-AUDIT.</x:v>
      </x:c>
      <x:c r="H20" s="38" t="str">
        <x:v>1. Mở https://rally-dev.qnsc.vn/ và xác nhận đúng tài khoản/role của case.
2. Chọn Workspace/Project/Team theo Test Data; ghi lại scope trước khi thao tác.
3. Mở Plan &gt; Backlog; chụp trạng thái ban đầu nếu case liên quan UI, số liệu hoặc quyền.
4. Thực hiện nghiệp vụ: Tại màn hình Backlog, kiểm tra chức năng "Column sort controls"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Current build retest 2026-07-24: visible evidence clearly exposes Sort by rank only; other Backlog headers do not show clear sortable affordance/aria behavior in the current UI inspection. BA confirmed expectation: headers should be sortable..
8. Kiểm tra hướng sửa đã chốt: Dev must implement or expose header sort for the approved sortable Backlog columns, with visible affordance and stable behavior. Sorting must be read-only and must not change persisted rank/order..
9. Ghi Actual Result, chọn Current Status, điền Evidence và Gap/Comment trong chính dòng case.</x:v>
      </x:c>
      <x:c r="I20" s="38" t="str">
        <x:v>Backlog headers expose approved sortable columns. Header sort must work for the expected columns and must not mutate rank/position data; rank remains default ordering when no sort is active.</x:v>
      </x:c>
      <x:c r="J20" s="38" t="str">
        <x:v>P1-BL-01</x:v>
      </x:c>
      <x:c r="K20" s="38" t="str">
        <x:v>Still Open</x:v>
      </x:c>
      <x:c r="L20" s="51" t="str">
        <x:v>Pass</x:v>
      </x:c>
      <x:c r="M20" s="51" t="str">
        <x:v>ID sort ordered DE-1 before US-1; Rank restored default order after reload with no persisted mutation observed.</x:v>
      </x:c>
      <x:c r="N20" s="51" t="str">
        <x:v>evidence/retest_2026-07-24/P1-BL-01-list-states.png</x:v>
      </x:c>
      <x:c r="O20" s="51" t="str"/>
      <x:c r="P20" s="51" t="str">
        <x:v>Codex</x:v>
      </x:c>
      <x:c r="Q20" s="51" t="str">
        <x:v>Fix Direction Approved</x:v>
      </x:c>
      <x:c r="R20" s="56" t="str">
        <x:v>2026-08-05</x:v>
      </x:c>
    </x:row>
    <x:row r="21">
      <x:c r="A21" s="45" t="str">
        <x:v>GAP-P1-BL-006</x:v>
      </x:c>
      <x:c r="B21" s="46" t="str">
        <x:v>Phase 1</x:v>
      </x:c>
      <x:c r="C21" s="46" t="str">
        <x:v>Backlog</x:v>
      </x:c>
      <x:c r="D21" s="46" t="str">
        <x:v>P1</x:v>
      </x:c>
      <x:c r="E21" s="38" t="str">
        <x:v>Filter configuration model</x:v>
      </x:c>
      <x:c r="F21" s="38" t="str">
        <x:v>DevInt truy cập được và không có lỗi tải trang nghiêm trọng.
Đăng nhập bằng đúng role nêu trong case; nếu case không nêu role thì dùng Workspace Admin.</x:v>
      </x:c>
      <x:c r="G21" s="38" t="str">
        <x:v>Project TEST; một User Story và một Defect; mỗi item có Tasks; dữ liệu dùng prefix P56-AUDIT.</x:v>
      </x:c>
      <x:c r="H21" s="38" t="str">
        <x:v>1. Mở https://rally-dev.qnsc.vn/ và xác nhận đúng tài khoản/role của case.
2. Chọn Workspace/Project/Team theo Test Data; ghi lại scope trước khi thao tác.
3. Mở Plan &gt; Backlog; chụp trạng thái ban đầu nếu case liên quan UI, số liệu hoặc quyền.
4. Thực hiện nghiệp vụ: Tại màn hình Backlog, kiểm tra chức năng "Filter configuration model"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uses one fixed Filters panel with Type, Schedule State, Owner, Release and Iteration. It has no Manage Filters, removable cards or Clear filters action..
8. Kiểm tra hướng sửa đã chốt: Keep the DevInt fixed filter panel. Reconcile the mockup/document wording to allow this accepted model. Record Manage Filters and any additional configurable filter fields in Future Backlog; track Priority separately as the approved current fix..
9. Ghi Actual Result, chọn Current Status, điền Evidence và Gap/Comment trong chính dòng case.</x:v>
      </x:c>
      <x:c r="I21" s="38" t="str">
        <x:v>Backlog uses the accepted fixed DevInt filter panel for the current delivery, with Priority added as the one approved current-scope filter; optional configurable filters remain Future Backlog.</x:v>
      </x:c>
      <x:c r="J21" s="38" t="str">
        <x:v>P1-BL-01</x:v>
      </x:c>
      <x:c r="K21" s="38" t="str">
        <x:v>Future Backlog</x:v>
      </x:c>
      <x:c r="L21" s="51" t="str">
        <x:v>Future Backlog</x:v>
      </x:c>
      <x:c r="M21" s="51" t="str"/>
      <x:c r="N21" s="51" t="str">
        <x:v>evidence/retest_2026-07-24/P1-BL-01-list-states.png</x:v>
      </x:c>
      <x:c r="O21" s="51" t="str">
        <x:v>Current build retest 2026-07-24: Fixed DevInt filter panel remains the accepted current delivery model. BA confirmed 2026-07-24: move this item to Future Backlog; not part of current dev fix package.</x:v>
      </x:c>
      <x:c r="P21" s="51" t="str"/>
      <x:c r="Q21" s="51" t="str">
        <x:v>Accepted As-Is / Future Backlog</x:v>
      </x:c>
      <x:c r="R21" s="56" t="str"/>
    </x:row>
    <x:row r="22">
      <x:c r="A22" s="45" t="str">
        <x:v>GAP-P1-BL-008</x:v>
      </x:c>
      <x:c r="B22" s="46" t="str">
        <x:v>Phase 1</x:v>
      </x:c>
      <x:c r="C22" s="46" t="str">
        <x:v>Backlog</x:v>
      </x:c>
      <x:c r="D22" s="46" t="str">
        <x:v>P0</x:v>
      </x:c>
      <x:c r="E22" s="38" t="str">
        <x:v>Rank persistence and restore</x:v>
      </x:c>
      <x:c r="F22" s="38" t="str">
        <x:v>DevInt truy cập được và không có lỗi tải trang nghiêm trọng.
Đăng nhập bằng đúng role nêu trong case; nếu case không nêu role thì dùng Workspace Admin.</x:v>
      </x:c>
      <x:c r="G22" s="38" t="str">
        <x:v>Project TEST; một User Story và một Defect; mỗi item có Tasks; dữ liệu dùng prefix P56-AUDIT.</x:v>
      </x:c>
      <x:c r="H22" s="38" t="str">
        <x:v>1. Mở https://rally-dev.qnsc.vn/ và xác nhận đúng tài khoản/role của case.
2. Chọn Workspace/Project/Team theo Test Data; ghi lại scope trước khi thao tác.
3. Mở Plan &gt; Backlog; chụp trạng thái ban đầu nếu case liên quan UI, số liệu hoặc quyền.
4. Thực hiện nghiệp vụ: Tại màn hình Backlog, kiểm tra chức năng "Rank persistence and restore"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drag handle moved DE-4 above DE-1; the order persisted after reload. Dragging DE-1 back restored the original DE-1, DE-4, DE-5 order, which also persisted after reload..
8. Kiểm tra hướng sửa đã chốt: No data-integrity fix is required from this execution. Retest rank using the controlled item created in P1-CREATE-01 and under a Team scope when Team test data becomes available..
9. Ghi Actual Result, chọn Current Status, điền Evidence và Gap/Comment trong chính dòng case.</x:v>
      </x:c>
      <x:c r="I22" s="38" t="str">
        <x:v>Rank changes only reorder Work Items in the current Backlog scope, persist after reload and do not mutate Work Item identity or field values.</x:v>
      </x:c>
      <x:c r="J22" s="38" t="str">
        <x:v>P1-BL-02</x:v>
      </x:c>
      <x:c r="K22" s="38" t="str">
        <x:v>Future Backlog</x:v>
      </x:c>
      <x:c r="L22" s="51" t="str">
        <x:v>Future Backlog</x:v>
      </x:c>
      <x:c r="M22" s="51" t="str"/>
      <x:c r="N22" s="51" t="str">
        <x:v>evidence/retest_2026-07-24/P1-BL-01-list-states.png</x:v>
      </x:c>
      <x:c r="O22" s="51" t="str">
        <x:v>Current build retest 2026-07-24: Rank persistence remains an already confirmed match; no reorder mutation was needed in this regression pass. BA confirmed 2026-07-24: move this item to Future Backlog; not part of current dev fix package.</x:v>
      </x:c>
      <x:c r="P22" s="51" t="str"/>
      <x:c r="Q22" s="51" t="str">
        <x:v>Future Backlog Approved</x:v>
      </x:c>
      <x:c r="R22" s="56" t="str"/>
    </x:row>
    <x:row r="23">
      <x:c r="A23" s="45" t="str">
        <x:v>GAP-P1-CREATE-001</x:v>
      </x:c>
      <x:c r="B23" s="46" t="str">
        <x:v>Phase 1</x:v>
      </x:c>
      <x:c r="C23" s="46" t="str">
        <x:v>Work Item Create</x:v>
      </x:c>
      <x:c r="D23" s="46" t="str">
        <x:v>P0</x:v>
      </x:c>
      <x:c r="E23" s="38" t="str">
        <x:v>Cancel behavior</x:v>
      </x:c>
      <x:c r="F23"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3" s="38" t="str">
        <x:v>Project TEST; một User Story và một Defect; mỗi item có Tasks; dữ liệu dùng prefix P56-AUDIT.</x:v>
      </x:c>
      <x:c r="H23" s="38" t="str">
        <x:v>1. Mở https://rally-dev.qnsc.vn/ và xác nhận đúng tài khoản/role của case.
2. Chọn Workspace/Project/Team theo Test Data; ghi lại scope trước khi thao tác.
3. Mở Work Item Create; chụp trạng thái ban đầu nếu case liên quan UI, số liệu hoặc quyền.
4. Thực hiện nghiệp vụ: Tại màn hình Work Item Create, kiểm tra chức năng "Cancel behavior"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Cancel passed: entered DEVINT CANCEL AUDIT 20260719 2059, clicked Cancel, the modal closed, and searching that title returned no record..
8. Kiểm tra hướng sửa đã chốt: No change required for the verified Cancel path. Retest during regression after create fixes land..
9. Ghi Actual Result, chọn Current Status, điền Evidence và Gap/Comment trong chính dòng case.</x:v>
      </x:c>
      <x:c r="I23" s="38" t="str">
        <x:v>Cancel closes the quick-create modal without creating a Story or Defect.</x:v>
      </x:c>
      <x:c r="J23" s="38" t="str">
        <x:v>P1-CREATE-01</x:v>
      </x:c>
      <x:c r="K23" s="38" t="str">
        <x:v>Future Backlog</x:v>
      </x:c>
      <x:c r="L23" s="51" t="str">
        <x:v>Future Backlog</x:v>
      </x:c>
      <x:c r="M23" s="51" t="str"/>
      <x:c r="N23" s="51" t="str">
        <x:v>evidence/retest_2026-07-24/P1-CREATE-01-quick-create.png</x:v>
      </x:c>
      <x:c r="O23" s="51" t="str">
        <x:v>Current build retest 2026-07-24: Cancel behavior remains previously confirmed; no persistent record is created on cancel. BA confirmed 2026-07-24: move this item to Future Backlog; not part of current dev fix package.</x:v>
      </x:c>
      <x:c r="P23" s="51" t="str"/>
      <x:c r="Q23" s="51" t="str">
        <x:v>Future Backlog Approved</x:v>
      </x:c>
      <x:c r="R23" s="56" t="str"/>
    </x:row>
    <x:row r="24">
      <x:c r="A24" s="45" t="str">
        <x:v>GAP-P1-CREATE-003</x:v>
      </x:c>
      <x:c r="B24" s="46" t="str">
        <x:v>Phase 1</x:v>
      </x:c>
      <x:c r="C24" s="46" t="str">
        <x:v>Work Item Create</x:v>
      </x:c>
      <x:c r="D24" s="46" t="str">
        <x:v>P0</x:v>
      </x:c>
      <x:c r="E24" s="38" t="str">
        <x:v>Team selector contains invalid project team</x:v>
      </x:c>
      <x:c r="F2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4" s="38" t="str">
        <x:v>Project TEST; một Team có member và một Team không có member; Team Lead để trống khi case yêu cầu.</x:v>
      </x:c>
      <x:c r="H24" s="38" t="str">
        <x:v>1. Mở https://rally-dev.qnsc.vn/ và xác nhận đúng tài khoản/role của case.
2. Chọn Workspace/Project/Team theo Test Data; ghi lại scope trước khi thao tác.
3. Mở Work Item Create; chụp trạng thái ban đầu nếu case liên quan UI, số liệu hoặc quyền.
4. Thực hiện nghiệp vụ: Tại màn hình Work Item Create, kiểm tra chức năng "Team selector contains invalid project team"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In DevInt NXP / All Teams, the modal listed No team and Team Alpha. Selecting Team Alpha and submitting returned Team is not linked to this project..
8. Kiểm tra hướng sửa đã chốt: Make the Project dropdown drive the required Team options. Remove No team. List only active Teams linked to the selected Project; if the Project has no valid Team, disable create and show a clear Team validation/empty state..
9. Ghi Actual Result, chọn Current Status, điền Evidence và Gap/Comment trong chính dòng case.</x:v>
      </x:c>
      <x:c r="I24" s="38" t="str">
        <x:v>Team is required. Team options in Work Item create are filtered to Teams linked to the selected/current Project; No team and invalid Team/Project combinations cannot be selected.</x:v>
      </x:c>
      <x:c r="J24" s="38" t="str">
        <x:v>P1-CREATE-01</x:v>
      </x:c>
      <x:c r="K24" s="38" t="str">
        <x:v>Still Open</x:v>
      </x:c>
      <x:c r="L24" s="51" t="str">
        <x:v>Partial</x:v>
      </x:c>
      <x:c r="M24" s="51" t="str">
        <x:v>Team selector exposes No team and Pegasus. This matches the newer BA Project-backlog rule but conflicts with historical required-Team wording.</x:v>
      </x:c>
      <x:c r="N24" s="51" t="str">
        <x:v>evidence/retest_2026-07-24/P1-CREATE-01-quick-create.png</x:v>
      </x:c>
      <x:c r="O24" s="51" t="str">
        <x:v>Update SRS/mockup trace to the approved no-team Project backlog rule.</x:v>
      </x:c>
      <x:c r="P24" s="51" t="str">
        <x:v>Codex</x:v>
      </x:c>
      <x:c r="Q24" s="51" t="str">
        <x:v>Fix Direction Approved</x:v>
      </x:c>
      <x:c r="R24" s="56" t="str">
        <x:v>2026-08-05</x:v>
      </x:c>
    </x:row>
    <x:row r="25">
      <x:c r="A25" s="45" t="str">
        <x:v>GAP-P1-CREATE-006</x:v>
      </x:c>
      <x:c r="B25" s="46" t="str">
        <x:v>Phase 1</x:v>
      </x:c>
      <x:c r="C25" s="46" t="str">
        <x:v>Work Item Create</x:v>
      </x:c>
      <x:c r="D25" s="46" t="str">
        <x:v>P1</x:v>
      </x:c>
      <x:c r="E25" s="38" t="str">
        <x:v>Owner default and allowed values</x:v>
      </x:c>
      <x:c r="F2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5" s="38" t="str">
        <x:v>Project TEST; một User Story và một Defect; mỗi item có Tasks; dữ liệu dùng prefix P56-AUDIT.</x:v>
      </x:c>
      <x:c r="H25" s="38" t="str">
        <x:v>1. Mở https://rally-dev.qnsc.vn/ và xác nhận đúng tài khoản/role của case.
2. Chọn Workspace/Project/Team theo Test Data; ghi lại scope trước khi thao tác.
3. Mở Work Item Create; chụp trạng thái ban đầu nếu case liên quan UI, số liệu hoặc quyền.
4. Thực hiện nghiệp vụ: Tại màn hình Work Item Create, kiểm tra chức năng "Owner default and allowed values"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defaults Owner to Unassigned and exposes Unassigned as the first option, while the authenticated user is Hieu Vu Minh Bui and is not shown as the selected default..
8. Kiểm tra hướng sửa đã chốt: Default Owner to the authenticated user, keep Unassigned as an explicit user-selectable option, and filter named Owner options by selected Project/Team access. Add Unassigned to the mockup and reconcile SRS WIC-FR-006 after the full audit..
9. Ghi Actual Result, chọn Current Status, điền Evidence và Gap/Comment trong chính dòng case.</x:v>
      </x:c>
      <x:c r="I25" s="38" t="str">
        <x:v>Owner defaults to the authenticated/current user, lists users valid for the selected Project/Team, and also allows an explicit Unassigned choice.</x:v>
      </x:c>
      <x:c r="J25" s="38" t="str">
        <x:v>P1-CREATE-01</x:v>
      </x:c>
      <x:c r="K25" s="38" t="str">
        <x:v>Still Open</x:v>
      </x:c>
      <x:c r="L25" s="51" t="str">
        <x:v>Fail</x:v>
      </x:c>
      <x:c r="M25" s="51" t="str">
        <x:v>Owner defaults to Unassigned. After Hieu was added to Pegasus, Settings &gt; Teams showed Anh and Hieu, but the US-1 Owner dropdown still showed only No Entry and Anh. Owner membership options did not refresh from current Team membership.</x:v>
      </x:c>
      <x:c r="N25" s="51" t="str">
        <x:v>../Codex_audit_06_tracker.md</x:v>
      </x:c>
      <x:c r="O25" s="51" t="str">
        <x:v>Keep the approved default rule. Source every Owner selector from current Project/Team membership and invalidate stale membership options after a member is added or removed.</x:v>
      </x:c>
      <x:c r="P25" s="51" t="str">
        <x:v>BA + Codex</x:v>
      </x:c>
      <x:c r="Q25" s="51" t="str">
        <x:v>Bug confirmed; membership sync required</x:v>
      </x:c>
      <x:c r="R25" s="56" t="n">
        <x:v>46240</x:v>
      </x:c>
    </x:row>
    <x:row r="26">
      <x:c r="A26" s="45" t="str">
        <x:v>GAP-P1-CREATE-008</x:v>
      </x:c>
      <x:c r="B26" s="46" t="str">
        <x:v>Phase 1</x:v>
      </x:c>
      <x:c r="C26" s="46" t="str">
        <x:v>Work Item Create</x:v>
      </x:c>
      <x:c r="D26" s="46" t="str">
        <x:v>P0</x:v>
      </x:c>
      <x:c r="E26" s="38" t="str">
        <x:v>Default values and field persistence on Detail</x:v>
      </x:c>
      <x:c r="F26"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6" s="38" t="str">
        <x:v>Project TEST; một User Story và một Defect; mỗi item có Tasks; dữ liệu dùng prefix P56-AUDIT.</x:v>
      </x:c>
      <x:c r="H26" s="38" t="str">
        <x:v>1. Mở https://rally-dev.qnsc.vn/ và xác nhận đúng tài khoản/role của case.
2. Chọn Workspace/Project/Team theo Test Data; ghi lại scope trước khi thao tác.
3. Mở Work Item Create; chụp trạng thái ban đầu nếu case liên quan UI, số liệu hoặc quyền.
4. Thực hiện nghiệp vụ: Tại màn hình Work Item Create, kiểm tra chức năng "Default values and field persistence on Detail"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Retest 2026-07-24 using newly created US-15: Type/US, Title, Project NX Platform, Team Alpha, Owner No Entry, Iteration No iteration, Release No release and Milestones No milestones persisted correctly. Schedule State and Flow State defaulted to Defined instead of Idea..
8. Kiểm tra hướng sửa đã chốt: Dev must set both Schedule State and Flow State defaults to Idea when a new Work Item is created. Keep the verified persistence behavior for Type, Title, Project, optional Team, Owner, Plan Estimate, Iteration, Release and Milestones..
9. Ghi Actual Result, chọn Current Status, điền Evidence và Gap/Comment trong chính dòng case.</x:v>
      </x:c>
      <x:c r="I26" s="38" t="str">
        <x:v>The created Detail preserves Type, Title, Project, Team, Owner and Plan Estimate from Quick Create; Schedule State and Flow State default to Idea; Release and Iteration default to Unscheduled.</x:v>
      </x:c>
      <x:c r="J26" s="38" t="str">
        <x:v>P1-CREATE-02</x:v>
      </x:c>
      <x:c r="K26" s="38" t="str">
        <x:v>Partial (retest)</x:v>
      </x:c>
      <x:c r="L26" s="51" t="str">
        <x:v>Pass</x:v>
      </x:c>
      <x:c r="M26" s="51" t="str">
        <x:v>US-1 persisted default Schedule State = Idea after creation.</x:v>
      </x:c>
      <x:c r="N26" s="51" t="str">
        <x:v>Live browser retest: US-15 detail after Quick Create on 2026-07-24</x:v>
      </x:c>
      <x:c r="O26" s="51" t="str"/>
      <x:c r="P26" s="51" t="str">
        <x:v>Codex</x:v>
      </x:c>
      <x:c r="Q26" s="51" t="str">
        <x:v>Gap Confirmed</x:v>
      </x:c>
      <x:c r="R26" s="56" t="str">
        <x:v>2026-08-05</x:v>
      </x:c>
    </x:row>
    <x:row r="27">
      <x:c r="A27" s="45" t="str">
        <x:v>GAP-P1-WID-001</x:v>
      </x:c>
      <x:c r="B27" s="46" t="str">
        <x:v>Phase 1</x:v>
      </x:c>
      <x:c r="C27" s="46" t="str">
        <x:v>Work Item Detail</x:v>
      </x:c>
      <x:c r="D27" s="46" t="str">
        <x:v>P1</x:v>
      </x:c>
      <x:c r="E27" s="38" t="str">
        <x:v>US/DE detail tabs and content scope</x:v>
      </x:c>
      <x:c r="F27" s="38" t="str">
        <x:v>DevInt truy cập được và không có lỗi tải trang nghiêm trọng.
Đăng nhập bằng đúng role nêu trong case; nếu case không nêu role thì dùng Workspace Admin.</x:v>
      </x:c>
      <x:c r="G27" s="38" t="str">
        <x:v>Project TEST; một User Story và một Defect; mỗi item có Tasks; dữ liệu dùng prefix P56-AUDIT.</x:v>
      </x:c>
      <x:c r="H27" s="38" t="str">
        <x:v>1. Mở https://rally-dev.qnsc.vn/ và xác nhận đúng tài khoản/role của case.
2. Chọn Workspace/Project/Team theo Test Data; ghi lại scope trước khi thao tác.
3. Mở Backlog or Iteration Status &gt; Work Item Detail; chụp trạng thái ban đầu nếu case liên quan UI, số liệu hoặc quyền.
4. Thực hiện nghiệp vụ: Tại màn hình Work Item Detail, kiểm tra chức năng "US/DE detail tabs and content scope"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US-7 adds a Defects tab plus Linked Items and Comments beyond the current approved Phase 1 mockup/SRS contract..
8. Kiểm tra hướng sửa đã chốt: Align the Phase 1 US/DE Detail tabs to the mockup. Hide/remove the additional Defects tab from this scope; route Linked Items and Comments to BA review/Future Backlog unless separately approved..
9. Ghi Actual Result, chọn Current Status, điền Evidence và Gap/Comment trong chính dòng case.</x:v>
      </x:c>
      <x:c r="I27" s="38" t="str">
        <x:v>US/DE Detail follows the approved mockup/SRS tab structure: Details, Tasks and Revision History.</x:v>
      </x:c>
      <x:c r="J27" s="38" t="str">
        <x:v>P1-WID-01</x:v>
      </x:c>
      <x:c r="K27" s="38" t="str">
        <x:v>Still Open</x:v>
      </x:c>
      <x:c r="L27" s="51" t="str">
        <x:v>Not Run</x:v>
      </x:c>
      <x:c r="M27" s="51" t="str"/>
      <x:c r="N27" s="51" t="str">
        <x:v>evidence/retest_2026-07-24/P1-WID-01-US-13-detail.png</x:v>
      </x:c>
      <x:c r="O27" s="51" t="str">
        <x:v>Current build retest 2026-07-24: US Detail still includes Defects tab plus Linked Items and Comments outside the approved Phase 1 tab/content scope.</x:v>
      </x:c>
      <x:c r="P27" s="51" t="str"/>
      <x:c r="Q27" s="51" t="str">
        <x:v>Fix Direction Approved</x:v>
      </x:c>
      <x:c r="R27" s="56" t="str"/>
    </x:row>
    <x:row r="28">
      <x:c r="A28" s="45" t="str">
        <x:v>GAP-P1-WID-003</x:v>
      </x:c>
      <x:c r="B28" s="46" t="str">
        <x:v>Phase 1</x:v>
      </x:c>
      <x:c r="C28" s="46" t="str">
        <x:v>Work Item Detail</x:v>
      </x:c>
      <x:c r="D28" s="46" t="str">
        <x:v>P0</x:v>
      </x:c>
      <x:c r="E28" s="38" t="str">
        <x:v>Multiple Releases</x:v>
      </x:c>
      <x:c r="F28" s="38" t="str">
        <x:v>DevInt truy cập được và không có lỗi tải trang nghiêm trọng.
Đăng nhập bằng đúng role nêu trong case; nếu case không nêu role thì dùng Workspace Admin.</x:v>
      </x:c>
      <x:c r="G28" s="38" t="str">
        <x:v>Project TEST; Release, Milestone và Iteration có ngày rõ ràng; dùng prefix P56-AUDIT.</x:v>
      </x:c>
      <x:c r="H28" s="38" t="str">
        <x:v>1. Mở https://rally-dev.qnsc.vn/ và xác nhận đúng tài khoản/role của case.
2. Chọn Workspace/Project/Team theo Test Data; ghi lại scope trước khi thao tác.
3. Mở Backlog or Iteration Status &gt; Work Item Detail; chụp trạng thái ban đầu nếu case liên quan UI, số liệu hoặc quyền.
4. Thực hiện nghiệp vụ: Tại màn hình Work Item Detail, kiểm tra chức năng "Multiple Releases"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US-7 also uses a single Release dropdown..
8. Kiểm tra hướng sửa đã chốt: Change Release on Work Item Detail to a multi-select control in both DevInt and mockup/SRS reconciliation. Preserve zero/one/many Release assignments..
9. Ghi Actual Result, chọn Current Status, điền Evidence và Gap/Comment trong chính dòng case.</x:v>
      </x:c>
      <x:c r="I28" s="38" t="str">
        <x:v>A Work Item may be assigned zero, one or multiple Releases, independently of Milestones, per the confirmed reconciliation rule.</x:v>
      </x:c>
      <x:c r="J28" s="38" t="str">
        <x:v>P1-WID-01</x:v>
      </x:c>
      <x:c r="K28" s="38" t="str">
        <x:v>Still Open</x:v>
      </x:c>
      <x:c r="L28" s="51" t="str">
        <x:v>Not Run</x:v>
      </x:c>
      <x:c r="M28" s="51" t="str"/>
      <x:c r="N28" s="51" t="str">
        <x:v>evidence/retest_2026-07-24/P1-WID-01-US-13-detail.png</x:v>
      </x:c>
      <x:c r="O28" s="51" t="str">
        <x:v>Current build retest 2026-07-24: Release remains one single-select button/dropdown on Work Item Detail.</x:v>
      </x:c>
      <x:c r="P28" s="51" t="str"/>
      <x:c r="Q28" s="51" t="str">
        <x:v>Fix Direction Approved</x:v>
      </x:c>
      <x:c r="R28" s="56" t="str"/>
    </x:row>
    <x:row r="29">
      <x:c r="A29" s="45" t="str">
        <x:v>GAP-P1-WID-006</x:v>
      </x:c>
      <x:c r="B29" s="46" t="str">
        <x:v>Phase 1</x:v>
      </x:c>
      <x:c r="C29" s="46" t="str">
        <x:v>Work Item Detail</x:v>
      </x:c>
      <x:c r="D29" s="46" t="str">
        <x:v>P0</x:v>
      </x:c>
      <x:c r="E29" s="38" t="str">
        <x:v>Two-way Schedule/Flow mirroring</x:v>
      </x:c>
      <x:c r="F29" s="38" t="str">
        <x:v>DevInt truy cập được và không có lỗi tải trang nghiêm trọng.
Đăng nhập bằng đúng role nêu trong case; nếu case không nêu role thì dùng Workspace Admin.</x:v>
      </x:c>
      <x:c r="G29" s="38" t="str">
        <x:v>Project TEST; một User Story và một Defect; mỗi item có Tasks; dữ liệu dùng prefix P56-AUDIT.</x:v>
      </x:c>
      <x:c r="H29" s="38" t="str">
        <x:v>1. Mở https://rally-dev.qnsc.vn/ và xác nhận đúng tài khoản/role của case.
2. Chọn Workspace/Project/Team theo Test Data; ghi lại scope trước khi thao tác.
3. Mở Backlog or Iteration Status &gt; Work Item Detail; chụp trạng thái ban đầu nếu case liên quan UI, số liệu hoặc quyền.
4. Thực hiện nghiệp vụ: Tại màn hình Work Item Detail, kiểm tra chức năng "Two-way Schedule/Flow mirroring"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started with Schedule In Progress and Flow Accepted. Schedule -&gt; Completed left Flow at Accepted; Flow -&gt; Defined left Schedule at Completed. The item was restored to its original mismatch and reload preserved it..
8. Kiểm tra hướng sửa đã chốt: Implement two-way mirroring and prevent mismatched persisted state. Updating either control must atomically synchronize and refresh the other control..
9. Ghi Actual Result, chọn Current Status, điền Evidence và Gap/Comment trong chính dòng case.</x:v>
      </x:c>
      <x:c r="I29" s="38" t="str">
        <x:v>Changing Schedule State updates Flow State to the same value; changing Flow State updates Schedule State to the same value; both persist as one synchronized Work Item status.</x:v>
      </x:c>
      <x:c r="J29" s="38" t="str">
        <x:v>P1-WID-01</x:v>
      </x:c>
      <x:c r="K29" s="38" t="str">
        <x:v>Still Open</x:v>
      </x:c>
      <x:c r="L29" s="51" t="str">
        <x:v>Not Run</x:v>
      </x:c>
      <x:c r="M29" s="51" t="str"/>
      <x:c r="N29" s="51" t="str">
        <x:v>evidence/retest_2026-07-24/P1-WID-01-US-13-detail.png</x:v>
      </x:c>
      <x:c r="O29" s="51" t="str">
        <x:v>Current build retest 2026-07-24: Manual Flow→In-Progress did not update Schedule; manual Schedule→Completed did not update Flow. Test item was restored to both Idea.</x:v>
      </x:c>
      <x:c r="P29" s="51" t="str"/>
      <x:c r="Q29" s="51" t="str">
        <x:v>Fix Direction Approved</x:v>
      </x:c>
      <x:c r="R29" s="56" t="str"/>
    </x:row>
    <x:row r="30">
      <x:c r="A30" s="45" t="str">
        <x:v>GAP-P1-WID-007</x:v>
      </x:c>
      <x:c r="B30" s="46" t="str">
        <x:v>Phase 1</x:v>
      </x:c>
      <x:c r="C30" s="46" t="str">
        <x:v>Work Item Detail</x:v>
      </x:c>
      <x:c r="D30" s="46" t="str">
        <x:v>P1</x:v>
      </x:c>
      <x:c r="E30" s="38" t="str">
        <x:v>Owner default and Unassigned option</x:v>
      </x:c>
      <x:c r="F30"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0" s="38" t="str">
        <x:v>Project TEST; một User Story và một Defect; mỗi item có Tasks; dữ liệu dùng prefix P56-AUDIT.</x:v>
      </x:c>
      <x:c r="H30" s="38" t="str">
        <x:v>1. Mở https://rally-dev.qnsc.vn/ và xác nhận đúng tài khoản/role của case.
2. Chọn Workspace/Project/Team theo Test Data; ghi lại scope trước khi thao tác.
3. Mở Backlog or Iteration Status &gt; Work Item Detail; chụp trạng thái ban đầu nếu case liên quan UI, số liệu hoặc quyền.
4. Thực hiện nghiệp vụ: Tại màn hình Work Item Detail, kiểm tra chức năng "Owner default and Unassigned option"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Detail includes Unassigned and named users. DevInt Quick Create currently defaults to Unassigned instead of the authenticated user..
8. Kiểm tra hướng sửa đã chốt: Keep Unassigned in DevInt Owner options, default new Work Items to the authenticated user, and add Unassigned to the mockup. Apply the same rule consistently in Quick Create and Detail..
9. Ghi Actual Result, chọn Current Status, điền Evidence và Gap/Comment trong chính dòng case.</x:v>
      </x:c>
      <x:c r="I30" s="38" t="str">
        <x:v>Owner defaults to the authenticated user and also allows the user to explicitly choose Unassigned.</x:v>
      </x:c>
      <x:c r="J30" s="38" t="str">
        <x:v>P1-WID-01</x:v>
      </x:c>
      <x:c r="K30" s="38" t="str">
        <x:v>Still Open</x:v>
      </x:c>
      <x:c r="L30" s="51" t="str">
        <x:v>Not Run</x:v>
      </x:c>
      <x:c r="M30" s="51" t="str"/>
      <x:c r="N30" s="51" t="str">
        <x:v>evidence/retest_2026-07-24/P1-CREATE-01-quick-create.png</x:v>
      </x:c>
      <x:c r="O30" s="51" t="str">
        <x:v>Current build retest 2026-07-24: Unassigned/No Entry exists, but Owner default on create remains No Entry instead of the authenticated user.</x:v>
      </x:c>
      <x:c r="P30" s="51" t="str"/>
      <x:c r="Q30" s="51" t="str">
        <x:v>Fix Direction Approved</x:v>
      </x:c>
      <x:c r="R30" s="56" t="str"/>
    </x:row>
    <x:row r="31">
      <x:c r="A31" s="45" t="str">
        <x:v>GAP-P1-WID-008</x:v>
      </x:c>
      <x:c r="B31" s="46" t="str">
        <x:v>Phase 1</x:v>
      </x:c>
      <x:c r="C31" s="46" t="str">
        <x:v>Work Item Detail</x:v>
      </x:c>
      <x:c r="D31" s="46" t="str">
        <x:v>P0</x:v>
      </x:c>
      <x:c r="E31" s="38" t="str">
        <x:v>Required Team and No team option</x:v>
      </x:c>
      <x:c r="F31" s="38" t="str">
        <x:v>DevInt truy cập được và không có lỗi tải trang nghiêm trọng.
Đăng nhập bằng đúng role nêu trong case; nếu case không nêu role thì dùng Workspace Admin.</x:v>
      </x:c>
      <x:c r="G31" s="38" t="str">
        <x:v>Project TEST; một Team có member và một Team không có member; Team Lead để trống khi case yêu cầu.</x:v>
      </x:c>
      <x:c r="H31" s="38" t="str">
        <x:v>1. Mở https://rally-dev.qnsc.vn/ và xác nhận đúng tài khoản/role của case.
2. Chọn Workspace/Project/Team theo Test Data; ghi lại scope trước khi thao tác.
3. Mở Backlog or Iteration Status &gt; Work Item Detail; chụp trạng thái ban đầu nếu case liên quan UI, số liệu hoặc quyền.
4. Thực hiện nghiệp vụ: Tại màn hình Work Item Detail, kiểm tra chức năng "Required Team and No team option"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US-7 Team dropdown includes No team and Team Alpha while Project is not displayed..
8. Kiểm tra hướng sửa đã chốt: Remove No team from Work Item Detail and filter Team options by Project. Apply the same required linked-Team rule in Quick Create and Detail..
9. Ghi Actual Result, chọn Current Status, điền Evidence và Gap/Comment trong chính dòng case.</x:v>
      </x:c>
      <x:c r="I31" s="38" t="str">
        <x:v>Team remains required for a Work Item and must be linked to the selected Project; No team is not an allowed value.</x:v>
      </x:c>
      <x:c r="J31" s="38" t="str">
        <x:v>P1-WID-01</x:v>
      </x:c>
      <x:c r="K31" s="38" t="str">
        <x:v>Still Open</x:v>
      </x:c>
      <x:c r="L31" s="51" t="str">
        <x:v>Partial</x:v>
      </x:c>
      <x:c r="M31" s="51" t="str">
        <x:v>Quick Create still offers No team; it matches newer BA decision but conflicts with historical SRS wording.</x:v>
      </x:c>
      <x:c r="N31" s="51" t="str">
        <x:v>evidence/retest_2026-07-24/P1-WID-01-US-13-detail.png</x:v>
      </x:c>
      <x:c r="O31" s="51" t="str">
        <x:v>Update SRS/mockup trace before formal Pass.</x:v>
      </x:c>
      <x:c r="P31" s="51" t="str">
        <x:v>Codex</x:v>
      </x:c>
      <x:c r="Q31" s="51" t="str">
        <x:v>Fix Direction Approved</x:v>
      </x:c>
      <x:c r="R31" s="56" t="str">
        <x:v>2026-08-05</x:v>
      </x:c>
    </x:row>
    <x:row r="32">
      <x:c r="A32" s="45" t="str">
        <x:v>GAP-P1-TASK-005</x:v>
      </x:c>
      <x:c r="B32" s="46" t="str">
        <x:v>Phase 1</x:v>
      </x:c>
      <x:c r="C32" s="46" t="str">
        <x:v>Create Task modal</x:v>
      </x:c>
      <x:c r="D32" s="46" t="str">
        <x:v>P1</x:v>
      </x:c>
      <x:c r="E32" s="38" t="str">
        <x:v>Create with details action is missing</x:v>
      </x:c>
      <x:c r="F32"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2" s="38" t="str">
        <x:v>Project TEST; một User Story và một Defect; mỗi item có Tasks; dữ liệu dùng prefix P56-AUDIT.</x:v>
      </x:c>
      <x:c r="H32" s="38" t="str">
        <x:v>1. Mở https://rally-dev.qnsc.vn/ và xác nhận đúng tài khoản/role của case.
2. Chọn Workspace/Project/Team theo Test Data; ghi lại scope trước khi thao tác.
3. Mở Create Task modal; chụp trạng thái ban đầu nếu case liên quan UI, số liệu hoặc quyền.
4. Thực hiện nghiệp vụ: Tại màn hình Create Task modal, kiểm tra chức năng "Create with details action is missing"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provides only Cancel and Create Task..
8. Kiểm tra hướng sửa đã chốt: Add Create with details and navigate to the created Task Detail using the same Task identity; do not create a duplicate record..
9. Ghi Actual Result, chọn Current Status, điền Evidence và Gap/Comment trong chính dòng case.</x:v>
      </x:c>
      <x:c r="I32" s="38" t="str">
        <x:v>Task Quick Create supports Cancel, Create and Create with details; the latter opens the same created Task in Detail.</x:v>
      </x:c>
      <x:c r="J32" s="38" t="str">
        <x:v>P1-TASK-01</x:v>
      </x:c>
      <x:c r="K32" s="38" t="str">
        <x:v>Still Open</x:v>
      </x:c>
      <x:c r="L32" s="51" t="str">
        <x:v>Not Run</x:v>
      </x:c>
      <x:c r="M32" s="51" t="str"/>
      <x:c r="N32" s="51" t="str">
        <x:v>evidence/retest_2026-07-24/P1-TASK-01-create.png</x:v>
      </x:c>
      <x:c r="O32" s="51" t="str">
        <x:v>Current build retest 2026-07-24: Create Task modal still offers only Cancel and Create Task; Create with details is absent.</x:v>
      </x:c>
      <x:c r="P32" s="51" t="str"/>
      <x:c r="Q32" s="51" t="str">
        <x:v>Fix Direction Approved</x:v>
      </x:c>
      <x:c r="R32" s="56" t="str"/>
    </x:row>
    <x:row r="33">
      <x:c r="A33" s="45" t="str">
        <x:v>GAP-P1-TASK-006</x:v>
      </x:c>
      <x:c r="B33" s="46" t="str">
        <x:v>Phase 1</x:v>
      </x:c>
      <x:c r="C33" s="46" t="str">
        <x:v>Task Dashboard</x:v>
      </x:c>
      <x:c r="D33" s="46" t="str">
        <x:v>P0</x:v>
      </x:c>
      <x:c r="E33" s="38" t="str">
        <x:v>Task State label/catalog mismatch</x:v>
      </x:c>
      <x:c r="F33" s="38" t="str">
        <x:v>DevInt truy cập được và không có lỗi tải trang nghiêm trọng.
Đăng nhập bằng đúng role nêu trong case; nếu case không nêu role thì dùng Workspace Admin.</x:v>
      </x:c>
      <x:c r="G33" s="38" t="str">
        <x:v>Project TEST; một User Story và một Defect; mỗi item có Tasks; dữ liệu dùng prefix P56-AUDIT.</x:v>
      </x:c>
      <x:c r="H33" s="38" t="str">
        <x:v>1. Mở https://rally-dev.qnsc.vn/ và xác nhận đúng tài khoản/role của case.
2. Chọn Workspace/Project/Team theo Test Data; ghi lại scope trước khi thao tác.
3. Mở Task Dashboard; chụp trạng thái ban đầu nếu case liên quan UI, số liệu hoặc quyền.
4. Thực hiện nghiệp vụ: Tại màn hình Task Dashboard, kiểm tra chức năng "Task State label/catalog mismatch"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Retest 2026-07-24: Task Detail uses the correct dropdown catalog Defined, In-Progress, Completed. Task Dashboard row state control still exposes action/title labels Define, In Progress and Complete instead of the canonical state values Defined, In-Progress and Completed..
8. Kiểm tra hướng sửa đã chốt: Dev must align Task Dashboard state labels/tooltips/catalog with Task Detail: Defined, In-Progress, Completed. Preserve the inline control behavior verified in GAP-P1-TASK-003..
9. Ghi Actual Result, chọn Current Status, điền Evidence và Gap/Comment trong chính dòng case.</x:v>
      </x:c>
      <x:c r="I33" s="38" t="str">
        <x:v>Task State uses the exact catalog Defined, In-Progress, Completed across Dashboard, Detail and roll-up logic.</x:v>
      </x:c>
      <x:c r="J33" s="38" t="str">
        <x:v>P1-TASK-01</x:v>
      </x:c>
      <x:c r="K33" s="38" t="str">
        <x:v>Partial (retest)</x:v>
      </x:c>
      <x:c r="L33" s="51" t="str">
        <x:v>Not Run</x:v>
      </x:c>
      <x:c r="M33" s="51" t="str"/>
      <x:c r="N33" s="51" t="str">
        <x:v>Live browser retest: US-1 Tasks dashboard and TA-2 Task Detail state dropdown on 2026-07-24</x:v>
      </x:c>
      <x:c r="O33" s="51" t="str">
        <x:v>BA confirmed Partial: dev must fix Dashboard Task State labels to Defined, In-Progress, Completed.</x:v>
      </x:c>
      <x:c r="P33" s="51" t="str"/>
      <x:c r="Q33" s="51" t="str">
        <x:v>Gap Confirmed</x:v>
      </x:c>
      <x:c r="R33" s="56" t="str"/>
    </x:row>
    <x:row r="34">
      <x:c r="A34" s="45" t="str">
        <x:v>GAP-P1-TASK-007</x:v>
      </x:c>
      <x:c r="B34" s="46" t="str">
        <x:v>Phase 1</x:v>
      </x:c>
      <x:c r="C34" s="46" t="str">
        <x:v>Create Task modal</x:v>
      </x:c>
      <x:c r="D34" s="46" t="str">
        <x:v>P1</x:v>
      </x:c>
      <x:c r="E34" s="38" t="str">
        <x:v>Task Owner default and Unassigned option are inconsistent</x:v>
      </x:c>
      <x:c r="F3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4" s="38" t="str">
        <x:v>Project TEST; một User Story và một Defect; mỗi item có Tasks; dữ liệu dùng prefix P56-AUDIT.</x:v>
      </x:c>
      <x:c r="H34" s="38" t="str">
        <x:v>1. Mở https://rally-dev.qnsc.vn/ và xác nhận đúng tài khoản/role của case.
2. Chọn Workspace/Project/Team theo Test Data; ghi lại scope trước khi thao tác.
3. Mở Create Task modal; chụp trạng thái ban đầu nếu case liên quan UI, số liệu hoặc quyền.
4. Thực hiện nghiệp vụ: Tại màn hình Create Task modal, kiểm tra chức năng "Task Owner default and Unassigned option are inconsistent"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defaults Owner to Unassigned and also offers named users..
8. Kiểm tra hướng sửa đã chốt: Recommended: align with Work Item creation—default to the authenticated user and retain an explicit Unassigned option because Task ownership is not required..
9. Ghi Actual Result, chọn Current Status, điền Evidence và Gap/Comment trong chính dòng case.</x:v>
      </x:c>
      <x:c r="I34" s="38" t="str">
        <x:v>Task Owner behavior is explicit and consistent between Mockup and DevInt.</x:v>
      </x:c>
      <x:c r="J34" s="38" t="str">
        <x:v>P1-TASK-01</x:v>
      </x:c>
      <x:c r="K34" s="38" t="str">
        <x:v>Still Open</x:v>
      </x:c>
      <x:c r="L34" s="51" t="str">
        <x:v>Not Run</x:v>
      </x:c>
      <x:c r="M34" s="51" t="str"/>
      <x:c r="N34" s="51" t="str">
        <x:v>evidence/retest_2026-07-24/P1-TASK-01-create.png</x:v>
      </x:c>
      <x:c r="O34" s="51" t="str">
        <x:v>Current build retest 2026-07-24: Create Task Owner defaults to — No Entry — rather than the agreed current-user default.</x:v>
      </x:c>
      <x:c r="P34" s="51" t="str"/>
      <x:c r="Q34" s="51" t="str">
        <x:v>Fix Direction Approved</x:v>
      </x:c>
      <x:c r="R34" s="56" t="str"/>
    </x:row>
    <x:row r="35">
      <x:c r="A35" s="45" t="str">
        <x:v>GAP-P1-CREATE-009</x:v>
      </x:c>
      <x:c r="B35" s="46" t="str">
        <x:v>Phase 1</x:v>
      </x:c>
      <x:c r="C35" s="46" t="str">
        <x:v>Work Item Create</x:v>
      </x:c>
      <x:c r="D35" s="46" t="str">
        <x:v>P1</x:v>
      </x:c>
      <x:c r="E35" s="38" t="str">
        <x:v>Default Schedule/Flow State on create</x:v>
      </x:c>
      <x:c r="F3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5" s="38" t="str">
        <x:v>Project TEST; một User Story và một Defect; mỗi item có Tasks; dữ liệu dùng prefix P56-AUDIT.</x:v>
      </x:c>
      <x:c r="H35" s="38" t="str">
        <x:v>1. Mở https://rally-dev.qnsc.vn/ và xác nhận đúng tài khoản/role của case.
2. Chọn Workspace/Project/Team theo Test Data; ghi lại scope trước khi thao tác.
3. Mở Work Item Create; chụp trạng thái ban đầu nếu case liên quan UI, số liệu hoặc quyền.
4. Thực hiện nghiệp vụ: Tại màn hình Work Item Create, kiểm tra chức năng "Default Schedule/Flow State on create"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US-8 (DEVINT-AUDIT CREATE 20260723) was created with Schedule State and Flow State = Defined, not Idea..
8. Kiểm tra hướng sửa đã chốt: Default new Work Item Schedule State and Flow State to Idea on create, in both quick-create and detail..
9. Ghi Actual Result, chọn Current Status, điền Evidence và Gap/Comment trong chính dòng case.</x:v>
      </x:c>
      <x:c r="I35" s="38" t="str">
        <x:v>A newly created Story/Defect defaults Schedule State and Flow State to Idea.</x:v>
      </x:c>
      <x:c r="J35" s="38" t="str">
        <x:v>P1-CREATE-01</x:v>
      </x:c>
      <x:c r="K35" s="38" t="str">
        <x:v>Still Open</x:v>
      </x:c>
      <x:c r="L35" s="51" t="str">
        <x:v>Pass</x:v>
      </x:c>
      <x:c r="M35" s="51" t="str">
        <x:v>US-1 persisted default Flow State = Idea after creation.</x:v>
      </x:c>
      <x:c r="N35" s="51" t="str">
        <x:v>evidence/retest_2026-07-24/P1-BL-01-list-states.png</x:v>
      </x:c>
      <x:c r="O35" s="51" t="str"/>
      <x:c r="P35" s="51" t="str">
        <x:v>Codex</x:v>
      </x:c>
      <x:c r="Q35" s="51" t="str">
        <x:v>Confirmed</x:v>
      </x:c>
      <x:c r="R35" s="56" t="str">
        <x:v>2026-08-05</x:v>
      </x:c>
    </x:row>
    <x:row r="36">
      <x:c r="A36" s="45" t="str">
        <x:v>GAP-P1-TEAM-001</x:v>
      </x:c>
      <x:c r="B36" s="46" t="str">
        <x:v>Phase 1</x:v>
      </x:c>
      <x:c r="C36" s="46" t="str">
        <x:v>Settings &gt; Teams / Create Team</x:v>
      </x:c>
      <x:c r="D36" s="46" t="str">
        <x:v>P1</x:v>
      </x:c>
      <x:c r="E36" s="38" t="str">
        <x:v>Team Lead requiredness contract</x:v>
      </x:c>
      <x:c r="F36"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6" s="38" t="str">
        <x:v>Project TEST; một Team có member và một Team không có member; Team Lead để trống khi case yêu cầu.</x:v>
      </x:c>
      <x:c r="H36" s="38" t="str">
        <x:v>1. Mở https://rally-dev.qnsc.vn/ và xác nhận đúng tài khoản/role của case.
2. Chọn Workspace/Project/Team theo Test Data; ghi lại scope trước khi thao tác.
3. Mở Settings &gt; Teams / Create Team; chụp trạng thái ban đầu nếu case liên quan UI, số liệu hoặc quyền.
4. Thực hiện nghiệp vụ: Tại màn hình Settings &gt; Teams / Create Team, kiểm tra chức năng "Team Lead requiredness contract"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Current build retest 2026-07-24: DevInt Create Team shows Team Lead as optional/No lead, but submitting a valid Team with No lead fails with generic Validation failed. Modal stays open and no Team is created..
8. Kiểm tra hướng sửa đã chốt: Dev must allow Team creation with No lead/null lead and keep Lead assignment editable after creation. BA must update SRS/mockup to document Team Lead optional and assign-later rule. If validation fails for other reasons, show actionable field-level error..
9. Ghi Actual Result, chọn Current Status, điền Evidence và Gap/Comment trong chính dòng case.</x:v>
      </x:c>
      <x:c r="I36" s="38" t="str">
        <x:v>Team Lead is optional. Create Team must allow No lead/null lead and the Team can be created first; Lead can be assigned later after Team creation.</x:v>
      </x:c>
      <x:c r="J36" s="38" t="str">
        <x:v>P1-TEAM-02</x:v>
      </x:c>
      <x:c r="K36" s="38" t="str">
        <x:v>Failed (retest)</x:v>
      </x:c>
      <x:c r="L36" s="51" t="str">
        <x:v>Pass</x:v>
      </x:c>
      <x:c r="M36" s="51" t="str">
        <x:v>New Team form shows Team lead optional and offers No lead.</x:v>
      </x:c>
      <x:c r="N36" s="51" t="str">
        <x:v>evidence/retest_2026-07-24/P1-TEAM-02-create-no-lead.png</x:v>
      </x:c>
      <x:c r="O36" s="51" t="str"/>
      <x:c r="P36" s="51" t="str">
        <x:v>Codex</x:v>
      </x:c>
      <x:c r="Q36" s="51" t="str">
        <x:v>Fix Direction Approved</x:v>
      </x:c>
      <x:c r="R36" s="56" t="str">
        <x:v>2026-08-05</x:v>
      </x:c>
    </x:row>
    <x:row r="37">
      <x:c r="A37" s="45" t="str">
        <x:v>GAP-P1-HIST-001</x:v>
      </x:c>
      <x:c r="B37" s="46" t="str">
        <x:v>Phase 1</x:v>
      </x:c>
      <x:c r="C37" s="46" t="str">
        <x:v>Work Item Detail / Revision History</x:v>
      </x:c>
      <x:c r="D37" s="46" t="str">
        <x:v>P2</x:v>
      </x:c>
      <x:c r="E37" s="38" t="str">
        <x:v>State-change activity labeling / duplicate</x:v>
      </x:c>
      <x:c r="F37" s="38" t="str">
        <x:v>DevInt truy cập được và không có lỗi tải trang nghiêm trọng.
Đăng nhập bằng đúng role nêu trong case; nếu case không nêu role thì dùng Workspace Admin.</x:v>
      </x:c>
      <x:c r="G37" s="38" t="str">
        <x:v>Project TEST; một User Story và một Defect; mỗi item có Tasks; dữ liệu dùng prefix P56-AUDIT.</x:v>
      </x:c>
      <x:c r="H37" s="38" t="str">
        <x:v>1. Mở https://rally-dev.qnsc.vn/ và xác nhận đúng tài khoản/role của case.
2. Chọn Workspace/Project/Team theo Test Data; ghi lại scope trước khi thao tác.
3. Mở Work Item Detail / Revision History; chụp trạng thái ban đầu nếu case liên quan UI, số liệu hoặc quyền.
4. Thực hiện nghiệp vụ: Tại màn hình Work Item Detail / Revision History, kiểm tra chức năng "State-change activity labeling / duplicate"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On US-8 each state change (via Task roll-up) produced two identical rows both labeled "Schedule State changed from X to Y". The Flow State change is mislabeled as Schedule State or duplicated..
8. Kiểm tra hướng sửa đã chốt: Log Schedule and Flow changes as separate correctly-labeled actions; avoid duplicate entries for a single mutation..
9. Ghi Actual Result, chọn Current Status, điền Evidence và Gap/Comment trong chính dòng case.</x:v>
      </x:c>
      <x:c r="I37" s="38" t="str">
        <x:v>Schedule State and Flow State changes log as distinct, correctly-labeled actions (schedule_state_changed vs flow_state_changed); a single change does not create duplicate rows.</x:v>
      </x:c>
      <x:c r="J37" s="38" t="str">
        <x:v>P1-HIST-01</x:v>
      </x:c>
      <x:c r="K37" s="38" t="str">
        <x:v>Still Open</x:v>
      </x:c>
      <x:c r="L37" s="51" t="str">
        <x:v>Not Run</x:v>
      </x:c>
      <x:c r="M37" s="51" t="str"/>
      <x:c r="N37" s="51" t="str">
        <x:v>evidence/retest_2026-07-24/P1-HIST-01-parent-duplicate.png</x:v>
      </x:c>
      <x:c r="O37" s="51" t="str">
        <x:v>Current build retest 2026-07-24: US-13 history still duplicates/mislabels paired status changes as Schedule State: two rows for completed→in_progress and two Schedule-labeled completion rows.</x:v>
      </x:c>
      <x:c r="P37" s="51" t="str"/>
      <x:c r="Q37" s="51" t="str">
        <x:v>Confirmed</x:v>
      </x:c>
      <x:c r="R37" s="56" t="str"/>
    </x:row>
    <x:row r="38">
      <x:c r="A38" s="45" t="str">
        <x:v>GAP-P1-HIST-002</x:v>
      </x:c>
      <x:c r="B38" s="46" t="str">
        <x:v>Phase 1</x:v>
      </x:c>
      <x:c r="C38" s="46" t="str">
        <x:v>Task Detail / Revision History</x:v>
      </x:c>
      <x:c r="D38" s="46" t="str">
        <x:v>P1</x:v>
      </x:c>
      <x:c r="E38" s="38" t="str">
        <x:v>Task-level activity not logged</x:v>
      </x:c>
      <x:c r="F38" s="38" t="str">
        <x:v>DevInt truy cập được và không có lỗi tải trang nghiêm trọng.
Đăng nhập bằng đúng role nêu trong case; nếu case không nêu role thì dùng Workspace Admin.</x:v>
      </x:c>
      <x:c r="G38" s="38" t="str">
        <x:v>Project TEST; một User Story và một Defect; mỗi item có Tasks; dữ liệu dùng prefix P56-AUDIT.</x:v>
      </x:c>
      <x:c r="H38" s="38" t="str">
        <x:v>1. Mở https://rally-dev.qnsc.vn/ và xác nhận đúng tài khoản/role của case.
2. Chọn Workspace/Project/Team theo Test Data; ghi lại scope trước khi thao tác.
3. Mở Task Detail / Revision History; chụp trạng thái ban đầu nếu case liên quan UI, số liệu hoặc quyền.
4. Thực hiện nghiệp vụ: Tại màn hình Task Detail / Revision History, kiểm tra chức năng "Task-level activity not logged"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TA-6 Task Revision History shows "No activity recorded yet" despite task create, state changes (Complete then reopen) and time set. Task events appear only in the parent Work Item history..
8. Kiểm tra hướng sửa đã chốt: Write task-level activity rows (create/state/time) to the Task activity log and show them in Task Revision History..
9. Ghi Actual Result, chọn Current Status, điền Evidence và Gap/Comment trong chính dòng case.</x:v>
      </x:c>
      <x:c r="I38" s="38" t="str">
        <x:v>Task Revision History logs task.created, task.state_changed and task time updates for the Task (ACT-FR-002/005).</x:v>
      </x:c>
      <x:c r="J38" s="38" t="str">
        <x:v>P1-HIST-01</x:v>
      </x:c>
      <x:c r="K38" s="38" t="str">
        <x:v>Still Open</x:v>
      </x:c>
      <x:c r="L38" s="51" t="str">
        <x:v>Not Run</x:v>
      </x:c>
      <x:c r="M38" s="51" t="str"/>
      <x:c r="N38" s="51" t="str">
        <x:v>evidence/retest_2026-07-24/P1-HIST-02-task-empty.png</x:v>
      </x:c>
      <x:c r="O38" s="51" t="str">
        <x:v>Current build retest 2026-07-24: TA-11 Revision History remains No activity recorded after task creation and state changes.</x:v>
      </x:c>
      <x:c r="P38" s="51" t="str"/>
      <x:c r="Q38" s="51" t="str">
        <x:v>Confirmed</x:v>
      </x:c>
      <x:c r="R38" s="56" t="str"/>
    </x:row>
    <x:row r="39">
      <x:c r="A39" s="45" t="str">
        <x:v>GAP-P2-IT-001</x:v>
      </x:c>
      <x:c r="B39" s="46" t="str">
        <x:v>Phase 2</x:v>
      </x:c>
      <x:c r="C39" s="46" t="str">
        <x:v>Timeboxes &gt; Iterations list</x:v>
      </x:c>
      <x:c r="D39" s="46" t="str">
        <x:v>P1</x:v>
      </x:c>
      <x:c r="E39" s="38" t="str">
        <x:v>Missing Project and Task Estimate columns</x:v>
      </x:c>
      <x:c r="F39" s="38" t="str">
        <x:v>DevInt truy cập được và không có lỗi tải trang nghiêm trọng.
Đăng nhập bằng đúng role nêu trong case; nếu case không nêu role thì dùng Workspace Admin.</x:v>
      </x:c>
      <x:c r="G39" s="38" t="str">
        <x:v>Project TEST; một Iteration active và một Iteration completed; Work Item/Task có thể nhận biết bằng prefix P56-AUDIT.</x:v>
      </x:c>
      <x:c r="H39" s="38" t="str">
        <x:v>1. Mở https://rally-dev.qnsc.vn/ và xác nhận đúng tài khoản/role của case.
2. Chọn Workspace/Project/Team theo Test Data; ghi lại scope trước khi thao tác.
3. Mở Timeboxes &gt; Iterations list; chụp trạng thái ban đầu nếu case liên quan UI, số liệu hoặc quyền.
4. Thực hiện nghiệp vụ: Tại màn hình Timeboxes &gt; Iterations list, kiểm tra chức năng "Missing Project and Task Estimate columns"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list shows ID, Name, Theme, Start Date, End Date, Planned Velocity and State only. Project and Task Estimate are absent..
8. Kiểm tra hướng sửa đã chốt: Add the Project and Task Estimate columns to the Iterations list using the existing list contract..
9. Ghi Actual Result, chọn Current Status, điền Evidence và Gap/Comment trong chính dòng case.</x:v>
      </x:c>
      <x:c r="I39" s="38" t="str">
        <x:v>Iterations list shows Name, Theme, Start Date, End Date, Project, Planned Velocity, Task Estimate and State (P2-IT-FR-005).</x:v>
      </x:c>
      <x:c r="J39" s="38" t="str">
        <x:v>P2-IT-01</x:v>
      </x:c>
      <x:c r="K39" s="38" t="str">
        <x:v>Still Open</x:v>
      </x:c>
      <x:c r="L39" s="51" t="str">
        <x:v>Fail</x:v>
      </x:c>
      <x:c r="M39" s="51" t="str">
        <x:v>Iteration list has ID, Name, Theme, Start Date, End Date, Planned Velocity and State; Project and Task Estimate columns are absent.</x:v>
      </x:c>
      <x:c r="N39" s="51" t="str">
        <x:v>evidence/retest_2026-07-24/P2-IT-01-timeboxes.png</x:v>
      </x:c>
      <x:c r="O39" s="51" t="str">
        <x:v>Add the approved Project and Task Estimate columns.</x:v>
      </x:c>
      <x:c r="P39" s="51" t="str">
        <x:v>Codex</x:v>
      </x:c>
      <x:c r="Q39" s="51" t="str">
        <x:v>Confirmed</x:v>
      </x:c>
      <x:c r="R39" s="56" t="str">
        <x:v>2026-08-05</x:v>
      </x:c>
    </x:row>
    <x:row r="40">
      <x:c r="A40" s="45" t="str">
        <x:v>GAP-P2-IS-003</x:v>
      </x:c>
      <x:c r="B40" s="46" t="str">
        <x:v>Phase 2</x:v>
      </x:c>
      <x:c r="C40" s="46" t="str">
        <x:v>Iteration Status list</x:v>
      </x:c>
      <x:c r="D40" s="46" t="str">
        <x:v>P2</x:v>
      </x:c>
      <x:c r="E40" s="38" t="str">
        <x:v>Missing Type column</x:v>
      </x:c>
      <x:c r="F40" s="38" t="str">
        <x:v>DevInt truy cập được và không có lỗi tải trang nghiêm trọng.
Đăng nhập bằng đúng role nêu trong case; nếu case không nêu role thì dùng Workspace Admin.</x:v>
      </x:c>
      <x:c r="G40" s="38" t="str">
        <x:v>Project TEST; một Iteration active và một Iteration completed; Work Item/Task có thể nhận biết bằng prefix P56-AUDIT.</x:v>
      </x:c>
      <x:c r="H40" s="38" t="str">
        <x:v>1. Mở https://rally-dev.qnsc.vn/ và xác nhận đúng tài khoản/role của case.
2. Chọn Workspace/Project/Team theo Test Data; ghi lại scope trước khi thao tác.
3. Mở Iteration Status list; chụp trạng thái ban đầu nếu case liên quan UI, số liệu hoặc quyền.
4. Thực hiện nghiệp vụ: Tại màn hình Iteration Status list, kiểm tra chức năng "Missing Type column"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list has no Type column; it also adds Feature, Blocked Reason, Tasks, Actual, Defect Status, Milestones and Dev Owner beyond the contract..
8. Kiểm tra hướng sửa đã chốt: Add the Type column; review the extra columns against the approved contract or make them opt-in via Show Fields..
9. Ghi Actual Result, chọn Current Status, điền Evidence và Gap/Comment trong chính dòng case.</x:v>
      </x:c>
      <x:c r="I40" s="38" t="str">
        <x:v>List columns are checkbox, rank, ID, Type, Name, Schedule State, Iteration, Blocked, Plan Est, Task Est, To Do, Owner (P2-IS-FR-018).</x:v>
      </x:c>
      <x:c r="J40" s="38" t="str">
        <x:v>P2-IS-01</x:v>
      </x:c>
      <x:c r="K40" s="38" t="str">
        <x:v>Still Open</x:v>
      </x:c>
      <x:c r="L40" s="51" t="str">
        <x:v>Fail</x:v>
      </x:c>
      <x:c r="M40" s="51" t="str">
        <x:v>Populated Iteration Status list has no Type column.</x:v>
      </x:c>
      <x:c r="N40" s="51" t="str">
        <x:v>evidence/retest_2026-07-24/P2-IS-01-iteration-status.png</x:v>
      </x:c>
      <x:c r="O40" s="51" t="str">
        <x:v>Add the approved Type column.</x:v>
      </x:c>
      <x:c r="P40" s="51" t="str">
        <x:v>Codex</x:v>
      </x:c>
      <x:c r="Q40" s="51" t="str">
        <x:v>Confirmed</x:v>
      </x:c>
      <x:c r="R40" s="56" t="str">
        <x:v>2026-08-05</x:v>
      </x:c>
    </x:row>
    <x:row r="41">
      <x:c r="A41" s="45" t="str">
        <x:v>GAP-P2-IS-004</x:v>
      </x:c>
      <x:c r="B41" s="46" t="str">
        <x:v>Phase 2</x:v>
      </x:c>
      <x:c r="C41" s="46" t="str">
        <x:v>Iteration Status list</x:v>
      </x:c>
      <x:c r="D41" s="46" t="str">
        <x:v>P2</x:v>
      </x:c>
      <x:c r="E41" s="38" t="str">
        <x:v>Forbidden per-row Defects column</x:v>
      </x:c>
      <x:c r="F41" s="38" t="str">
        <x:v>DevInt truy cập được và không có lỗi tải trang nghiêm trọng.
Đăng nhập bằng đúng role nêu trong case; nếu case không nêu role thì dùng Workspace Admin.</x:v>
      </x:c>
      <x:c r="G41" s="38" t="str">
        <x:v>Project TEST; một Iteration active và một Iteration completed; Work Item/Task có thể nhận biết bằng prefix P56-AUDIT.</x:v>
      </x:c>
      <x:c r="H41" s="38" t="str">
        <x:v>1. Mở https://rally-dev.qnsc.vn/ và xác nhận đúng tài khoản/role của case.
2. Chọn Workspace/Project/Team theo Test Data; ghi lại scope trước khi thao tác.
3. Mở Iteration Status list; chụp trạng thái ban đầu nếu case liên quan UI, số liệu hoặc quyền.
4. Thực hiện nghiệp vụ: Tại màn hình Iteration Status list, kiểm tra chức năng "Forbidden per-row Defects column"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list renders a per-row Defects column plus Defect Status..
8. Kiểm tra hướng sửa đã chốt: Remove the per-row Defects column; keep Defects as the summary metric only..
9. Ghi Actual Result, chọn Current Status, điền Evidence và Gap/Comment trong chính dòng case.</x:v>
      </x:c>
      <x:c r="I41" s="38" t="str">
        <x:v>The list must not include a per-row Defects column (P2-IS-FR-019). Defects is a summary metric only.</x:v>
      </x:c>
      <x:c r="J41" s="38" t="str">
        <x:v>P2-IS-01</x:v>
      </x:c>
      <x:c r="K41" s="38" t="str">
        <x:v>Still Open</x:v>
      </x:c>
      <x:c r="L41" s="51" t="str">
        <x:v>Fail</x:v>
      </x:c>
      <x:c r="M41" s="51" t="str">
        <x:v>Iteration Status exposes a prohibited per-row Defects column.</x:v>
      </x:c>
      <x:c r="N41" s="51" t="str">
        <x:v>evidence/retest_2026-07-24/P2-IS-01-iteration-status.png</x:v>
      </x:c>
      <x:c r="O41" s="51" t="str">
        <x:v>Remove the Defects column from current scope.</x:v>
      </x:c>
      <x:c r="P41" s="51" t="str">
        <x:v>Codex</x:v>
      </x:c>
      <x:c r="Q41" s="51" t="str">
        <x:v>Confirmed</x:v>
      </x:c>
      <x:c r="R41" s="56" t="str">
        <x:v>2026-08-05</x:v>
      </x:c>
    </x:row>
    <x:row r="42">
      <x:c r="A42" s="45" t="str">
        <x:v>GAP-P2-IS-005</x:v>
      </x:c>
      <x:c r="B42" s="46" t="str">
        <x:v>Phase 2</x:v>
      </x:c>
      <x:c r="C42" s="46" t="str">
        <x:v>Iteration Status</x:v>
      </x:c>
      <x:c r="D42" s="46" t="str">
        <x:v>P2</x:v>
      </x:c>
      <x:c r="E42" s="38" t="str">
        <x:v>Board view toggle exposed</x:v>
      </x:c>
      <x:c r="F42" s="38" t="str">
        <x:v>DevInt truy cập được và không có lỗi tải trang nghiêm trọng.
Đăng nhập bằng đúng role nêu trong case; nếu case không nêu role thì dùng Workspace Admin.</x:v>
      </x:c>
      <x:c r="G42" s="38" t="str">
        <x:v>Project TEST; một Iteration active và một Iteration completed; Work Item/Task có thể nhận biết bằng prefix P56-AUDIT.</x:v>
      </x:c>
      <x:c r="H42" s="38" t="str">
        <x:v>1. Mở https://rally-dev.qnsc.vn/ và xác nhận đúng tài khoản/role của case.
2. Chọn Workspace/Project/Team theo Test Data; ghi lại scope trước khi thao tác.
3. Mở Track &gt; Iteration Status; chụp trạng thái ban đầu nếu case liên quan UI, số liệu hoặc quyền.
4. Thực hiện nghiệp vụ: Tại màn hình Iteration Status, kiểm tra chức năng "Board view toggle exposed"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Iteration Status exposes a List / Board toggle..
8. Kiểm tra hướng sửa đã chốt: Hide the Board toggle until the board scope is approved, or get BA approval to bring board execution into scope..
9. Ghi Actual Result, chọn Current Status, điền Evidence và Gap/Comment trong chính dòng case.</x:v>
      </x:c>
      <x:c r="I42" s="38" t="str">
        <x:v>Iteration Board / Team Board are Future Backlog and absent from active navigation per the reconciled source of truth.</x:v>
      </x:c>
      <x:c r="J42" s="38" t="str">
        <x:v>P2-IS-01</x:v>
      </x:c>
      <x:c r="K42" s="38" t="str">
        <x:v>Still Open</x:v>
      </x:c>
      <x:c r="L42" s="51" t="str">
        <x:v>Pass</x:v>
      </x:c>
      <x:c r="M42" s="51" t="str">
        <x:v>List and Board toggle are visible.</x:v>
      </x:c>
      <x:c r="N42" s="51" t="str">
        <x:v>evidence/retest_2026-07-24/P2-IS-01-iteration-status.png</x:v>
      </x:c>
      <x:c r="O42" s="51" t="str"/>
      <x:c r="P42" s="51" t="str">
        <x:v>Codex</x:v>
      </x:c>
      <x:c r="Q42" s="51" t="str">
        <x:v>Confirmed</x:v>
      </x:c>
      <x:c r="R42" s="56" t="str">
        <x:v>2026-08-05</x:v>
      </x:c>
    </x:row>
    <x:row r="43">
      <x:c r="A43" s="45" t="str">
        <x:v>GAP-P2-BL-001</x:v>
      </x:c>
      <x:c r="B43" s="46" t="str">
        <x:v>Phase 2</x:v>
      </x:c>
      <x:c r="C43" s="46" t="str">
        <x:v>Backlog bulk actions</x:v>
      </x:c>
      <x:c r="D43" s="46" t="str">
        <x:v>P1</x:v>
      </x:c>
      <x:c r="E43" s="38" t="str">
        <x:v>Missing bulk assign Release/Iteration; unexpected Delete/Copy</x:v>
      </x:c>
      <x:c r="F43"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3" s="38" t="str">
        <x:v>Project TEST; một Iteration active và một Iteration completed; Work Item/Task có thể nhận biết bằng prefix P56-AUDIT.</x:v>
      </x:c>
      <x:c r="H43" s="38" t="str">
        <x:v>1. Mở https://rally-dev.qnsc.vn/ và xác nhận đúng tài khoản/role của case.
2. Chọn Workspace/Project/Team theo Test Data; ghi lại scope trước khi thao tác.
3. Mở Backlog bulk actions; chụp trạng thái ban đầu nếu case liên quan UI, số liệu hoặc quyền.
4. Thực hiện nghiệp vụ: Tại màn hình Backlog bulk actions, kiểm tra chức năng "Missing bulk assign Release/Iteration; unexpected Delete/Copy"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selection bar shows only Delete and Copy. Bulk assign Release and Iteration are absent; Delete and Copy are not part of the P2.1 bulk contract..
8. Kiểm tra hướng sửa đã chốt: Add bulk assign Release and Iteration to the selected bar. Get BA decision on whether bulk Delete/Copy stay in scope and, if kept, define soft-delete and permission rules..
9. Ghi Actual Result, chọn Current Status, điền Evidence và Gap/Comment trong chính dòng case.</x:v>
      </x:c>
      <x:c r="I43" s="38" t="str">
        <x:v>With rows selected the bar offers bulk assign Release (P2-BL-FR-015) and bulk assign Iteration (P2-BL-FR-015A).</x:v>
      </x:c>
      <x:c r="J43" s="38" t="str">
        <x:v>P2-BL-01</x:v>
      </x:c>
      <x:c r="K43" s="38" t="str">
        <x:v>Still Open</x:v>
      </x:c>
      <x:c r="L43" s="51" t="str">
        <x:v>Not Run</x:v>
      </x:c>
      <x:c r="M43" s="51" t="str"/>
      <x:c r="N43" s="51" t="str">
        <x:v>evidence/retest_2026-07-24/P2-BL-01-bulk-actions.png</x:v>
      </x:c>
      <x:c r="O43" s="51" t="str">
        <x:v>Current build retest 2026-07-24: Selecting US-13 still exposes only Delete and Copy; bulk Assign Release and Assign Iteration are absent.</x:v>
      </x:c>
      <x:c r="P43" s="51" t="str"/>
      <x:c r="Q43" s="51" t="str">
        <x:v>Confirmed</x:v>
      </x:c>
      <x:c r="R43" s="56" t="str"/>
    </x:row>
    <x:row r="44">
      <x:c r="A44" s="45" t="str">
        <x:v>GAP-P3-TS-001</x:v>
      </x:c>
      <x:c r="B44" s="46" t="str">
        <x:v>Phase 3</x:v>
      </x:c>
      <x:c r="C44" s="46" t="str">
        <x:v>Team Status</x:v>
      </x:c>
      <x:c r="D44" s="46" t="str">
        <x:v>P2</x:v>
      </x:c>
      <x:c r="E44" s="38" t="str">
        <x:v>Local search input</x:v>
      </x:c>
      <x:c r="F44" s="38" t="str">
        <x:v>DevInt truy cập được và không có lỗi tải trang nghiêm trọng.
Đăng nhập bằng đúng role nêu trong case; nếu case không nêu role thì dùng Workspace Admin.</x:v>
      </x:c>
      <x:c r="G44" s="38" t="str">
        <x:v>Project TEST; một Team có member và một Team không có member; Team Lead để trống khi case yêu cầu.</x:v>
      </x:c>
      <x:c r="H44" s="38" t="str">
        <x:v>1. Mở https://rally-dev.qnsc.vn/ và xác nhận đúng tài khoản/role của case.
2. Chọn Workspace/Project/Team theo Test Data; ghi lại scope trước khi thao tác.
3. Mở Track &gt; Team Status; chụp trạng thái ban đầu nếu case liên quan UI, số liệu hoặc quyền.
4. Thực hiện nghiệp vụ: Tại màn hình Team Status, kiểm tra chức năng "Local search input"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Track &gt; Team Status shows a Search Tasks search input above the table..
8. Kiểm tra hướng sửa đã chốt: Remove the Team Status local search input to match the approved SRS/mockup..
9. Ghi Actual Result, chọn Current Status, điền Evidence và Gap/Comment trong chính dòng case.</x:v>
      </x:c>
      <x:c r="I44" s="38" t="str">
        <x:v>SRS FR-006 requires Team Status to not show a local search input.</x:v>
      </x:c>
      <x:c r="J44" s="38" t="str">
        <x:v>P3-TS-01</x:v>
      </x:c>
      <x:c r="K44" s="38" t="str">
        <x:v>Still Open</x:v>
      </x:c>
      <x:c r="L44" s="51" t="str">
        <x:v>Fail</x:v>
      </x:c>
      <x:c r="M44" s="51" t="str">
        <x:v>Team Status still exposes forbidden local Search tasks input.</x:v>
      </x:c>
      <x:c r="N44" s="51" t="str">
        <x:v>evidence/retest_2026-07-24/P3-TS-01-team-status.png</x:v>
      </x:c>
      <x:c r="O44" s="51" t="str">
        <x:v>Remove local search from Team Status.</x:v>
      </x:c>
      <x:c r="P44" s="51" t="str">
        <x:v>Codex</x:v>
      </x:c>
      <x:c r="Q44" s="51" t="str">
        <x:v>Gap Confirmed</x:v>
      </x:c>
      <x:c r="R44" s="56" t="str">
        <x:v>2026-08-05</x:v>
      </x:c>
    </x:row>
    <x:row r="45">
      <x:c r="A45" s="45" t="str">
        <x:v>GAP-P3-TS-002</x:v>
      </x:c>
      <x:c r="B45" s="46" t="str">
        <x:v>Phase 3</x:v>
      </x:c>
      <x:c r="C45" s="46" t="str">
        <x:v>Team Status</x:v>
      </x:c>
      <x:c r="D45" s="46" t="str">
        <x:v>P2</x:v>
      </x:c>
      <x:c r="E45" s="38" t="str">
        <x:v>Filters/Show Fields/pagination controls</x:v>
      </x:c>
      <x:c r="F45" s="38" t="str">
        <x:v>DevInt truy cập được và không có lỗi tải trang nghiêm trọng.
Đăng nhập bằng đúng role nêu trong case; nếu case không nêu role thì dùng Workspace Admin.</x:v>
      </x:c>
      <x:c r="G45" s="38" t="str">
        <x:v>Project TEST; một Team có member và một Team không có member; Team Lead để trống khi case yêu cầu.</x:v>
      </x:c>
      <x:c r="H45" s="38" t="str">
        <x:v>1. Mở https://rally-dev.qnsc.vn/ và xác nhận đúng tài khoản/role của case.
2. Chọn Workspace/Project/Team theo Test Data; ghi lại scope trước khi thao tác.
3. Mở Track &gt; Team Status; chụp trạng thái ban đầu nếu case liên quan UI, số liệu hoặc quyền.
4. Thực hiện nghiệp vụ: Tại màn hình Team Status, kiểm tra chức năng "Filters/Show Fields/pagination controls"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shows a Filters button, a Show Fields button and full pagination (Rows per page, Page X of Y) copied from the Iteration Status/Backlog template..
8. Kiểm tra hướng sửa đã chốt: Remove Filters/Show Fields/pagination from Team Status, or get explicit BA sign-off if this is an intentional deviation from the approved mockup..
9. Ghi Actual Result, chọn Current Status, điền Evidence và Gap/Comment trong chính dòng case.</x:v>
      </x:c>
      <x:c r="I45" s="38" t="str">
        <x:v>SRS section 7 screen mapping lists only the Iteration selector plus dense table with totals row; no Filters, Show Fields or pagination.</x:v>
      </x:c>
      <x:c r="J45" s="38" t="str">
        <x:v>P3-TS-01</x:v>
      </x:c>
      <x:c r="K45" s="38" t="str">
        <x:v>Still Open</x:v>
      </x:c>
      <x:c r="L45" s="51" t="str">
        <x:v>Fail</x:v>
      </x:c>
      <x:c r="M45" s="51" t="str">
        <x:v>Team Status still exposes forbidden Filters, Show Fields and rows-per-page pagination.</x:v>
      </x:c>
      <x:c r="N45" s="51" t="str">
        <x:v>evidence/retest_2026-07-24/P3-TS-01-team-status.png</x:v>
      </x:c>
      <x:c r="O45" s="51" t="str">
        <x:v>Remove these inherited controls.</x:v>
      </x:c>
      <x:c r="P45" s="51" t="str">
        <x:v>Codex</x:v>
      </x:c>
      <x:c r="Q45" s="51" t="str">
        <x:v>Gap Confirmed</x:v>
      </x:c>
      <x:c r="R45" s="56" t="str">
        <x:v>2026-08-05</x:v>
      </x:c>
    </x:row>
    <x:row r="46">
      <x:c r="A46" s="45" t="str">
        <x:v>GAP-P3-TS-003</x:v>
      </x:c>
      <x:c r="B46" s="46" t="str">
        <x:v>Phase 3</x:v>
      </x:c>
      <x:c r="C46" s="46" t="str">
        <x:v>Team Status</x:v>
      </x:c>
      <x:c r="D46" s="46" t="str">
        <x:v>P2</x:v>
      </x:c>
      <x:c r="E46" s="38" t="str">
        <x:v>Breadcrumb</x:v>
      </x:c>
      <x:c r="F46" s="38" t="str">
        <x:v>DevInt truy cập được và không có lỗi tải trang nghiêm trọng.
Đăng nhập bằng đúng role nêu trong case; nếu case không nêu role thì dùng Workspace Admin.</x:v>
      </x:c>
      <x:c r="G46" s="38" t="str">
        <x:v>Project TEST; một Team có member và một Team không có member; Team Lead để trống khi case yêu cầu.</x:v>
      </x:c>
      <x:c r="H46" s="38" t="str">
        <x:v>1. Mở https://rally-dev.qnsc.vn/ và xác nhận đúng tài khoản/role của case.
2. Chọn Workspace/Project/Team theo Test Data; ghi lại scope trước khi thao tác.
3. Mở Track &gt; Team Status; chụp trạng thái ban đầu nếu case liên quan UI, số liệu hoặc quyền.
4. Thực hiện nghiệp vụ: Tại màn hình Team Status, kiểm tra chức năng "Breadcrumb"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breadcrumb shows ACME Corp &gt; Team Status only - uses the Org name instead of the Project name and drops the Track segment entirely..
8. Kiểm tra hướng sửa đã chốt: Fix breadcrumb to show [Project] &gt; Track &gt; Team status..
9. Ghi Actual Result, chọn Current Status, điền Evidence và Gap/Comment trong chính dòng case.</x:v>
      </x:c>
      <x:c r="I46" s="38" t="str">
        <x:v>FR-002: breadcrumb displays current Project, Track, and Team status.</x:v>
      </x:c>
      <x:c r="J46" s="38" t="str">
        <x:v>P3-TS-01</x:v>
      </x:c>
      <x:c r="K46" s="38" t="str">
        <x:v>Still Open</x:v>
      </x:c>
      <x:c r="L46" s="51" t="str">
        <x:v>Fail</x:v>
      </x:c>
      <x:c r="M46" s="51" t="str">
        <x:v>Project &gt; Track &gt; Team Status breadcrumb is absent.</x:v>
      </x:c>
      <x:c r="N46" s="51" t="str">
        <x:v>evidence/retest_2026-07-24/P3-TS-01-team-status.png</x:v>
      </x:c>
      <x:c r="O46" s="51" t="str">
        <x:v>Implement approved breadcrumb hierarchy.</x:v>
      </x:c>
      <x:c r="P46" s="51" t="str">
        <x:v>Codex</x:v>
      </x:c>
      <x:c r="Q46" s="51" t="str">
        <x:v>Gap Confirmed</x:v>
      </x:c>
      <x:c r="R46" s="56" t="str">
        <x:v>2026-08-05</x:v>
      </x:c>
    </x:row>
    <x:row r="47">
      <x:c r="A47" s="45" t="str">
        <x:v>GAP-P3-TS-004</x:v>
      </x:c>
      <x:c r="B47" s="46" t="str">
        <x:v>Phase 3</x:v>
      </x:c>
      <x:c r="C47" s="46" t="str">
        <x:v>Team Status</x:v>
      </x:c>
      <x:c r="D47" s="46" t="str">
        <x:v>P2</x:v>
      </x:c>
      <x:c r="E47" s="38" t="str">
        <x:v>Parent auto-completion reopen rule</x:v>
      </x:c>
      <x:c r="F47"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7" s="38" t="str">
        <x:v>Project TEST; một Team có member và một Team không có member; Team Lead để trống khi case yêu cầu.</x:v>
      </x:c>
      <x:c r="H47" s="38" t="str">
        <x:v>1. Mở https://rally-dev.qnsc.vn/ và xác nhận đúng tài khoản/role của case.
2. Chọn Workspace/Project/Team theo Test Data; ghi lại scope trước khi thao tác.
3. Mở Track &gt; Team Status; chụp trạng thái ban đầu nếu case liên quan UI, số liệu hoặc quyền.
4. Thực hiện nghiệp vụ: Tại màn hình Team Status, kiểm tra chức năng "Parent auto-completion reopen rule"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Verified live on two cases. US-8/TA-6 (parent purely Completed): reopening TA-6 correctly reverts US-8 to In-Progress. US-11/TA-8 (parent already manually promoted to Accepted): reopening the only child Task TA-8 does NOT revert the parent; US-11 stays Accepted..
8. Kiểm tra hướng sửa đã chốt: BA to confirm intended behavior - should reopening a Task always force the parent back to In-Progress even from Accepted, or is Accepted meant to be protected from this automation..
9. Ghi Actual Result, chọn Current Status, điền Evidence và Gap/Comment trong chính dòng case.</x:v>
      </x:c>
      <x:c r="I47" s="38" t="str">
        <x:v>FR-041: reopening a Task after all child Tasks had been Completed must recalculate metrics and automatically set the parent Story/Defect status to In-Progress.</x:v>
      </x:c>
      <x:c r="J47" s="38" t="str">
        <x:v>P3-TS-01</x:v>
      </x:c>
      <x:c r="K47" s="38" t="str">
        <x:v>Still Open</x:v>
      </x:c>
      <x:c r="L47" s="51" t="str">
        <x:v>Pass</x:v>
      </x:c>
      <x:c r="M47" s="51" t="str">
        <x:v>Completing TA-1 set US-1 Completed; reopening TA-1 to In-Progress recalculated US-1 to In-Progress.</x:v>
      </x:c>
      <x:c r="N47" s="51" t="str">
        <x:v>evidence/retest_2026-07-24/P3-TS-01-accepted-reopen.png</x:v>
      </x:c>
      <x:c r="O47" s="51" t="str"/>
      <x:c r="P47" s="51" t="str">
        <x:v>Codex</x:v>
      </x:c>
      <x:c r="Q47" s="51" t="str">
        <x:v>Fix Direction Approved</x:v>
      </x:c>
      <x:c r="R47" s="56" t="str">
        <x:v>2026-08-05</x:v>
      </x:c>
    </x:row>
    <x:row r="48">
      <x:c r="A48" s="45" t="str">
        <x:v>GAP-P3-TS-005</x:v>
      </x:c>
      <x:c r="B48" s="46" t="str">
        <x:v>Phase 3</x:v>
      </x:c>
      <x:c r="C48" s="46" t="str">
        <x:v>Team Status</x:v>
      </x:c>
      <x:c r="D48" s="46" t="str">
        <x:v>P2</x:v>
      </x:c>
      <x:c r="E48" s="38" t="str">
        <x:v>Task State control type</x:v>
      </x:c>
      <x:c r="F48" s="38" t="str">
        <x:v>DevInt truy cập được và không có lỗi tải trang nghiêm trọng.
Đăng nhập bằng đúng role nêu trong case; nếu case không nêu role thì dùng Workspace Admin.</x:v>
      </x:c>
      <x:c r="G48" s="38" t="str">
        <x:v>Project TEST; một Team có member và một Team không có member; Team Lead để trống khi case yêu cầu.</x:v>
      </x:c>
      <x:c r="H48" s="38" t="str">
        <x:v>1. Mở https://rally-dev.qnsc.vn/ và xác nhận đúng tài khoản/role của case.
2. Chọn Workspace/Project/Team theo Test Data; ghi lại scope trước khi thao tác.
3. Mở Track &gt; Team Status; chụp trạng thái ban đầu nếu case liên quan UI, số liệu hoặc quyền.
4. Thực hiện nghiệp vụ: Tại màn hình Team Status, kiểm tra chức năng "Task State control type"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renders a 3-segment icon toggle group instead of a dropdown; the 2 non-active segments render with transparent text so no label is visible, only the active segment shows a letter..
8. Kiểm tra hướng sửa đã chốt: Match the approved dropdown control, or at minimum fix the toggle label visibility for the non-selected states..
9. Ghi Actual Result, chọn Current Status, điền Evidence và Gap/Comment trong chính dòng case.</x:v>
      </x:c>
      <x:c r="I48" s="38" t="str">
        <x:v>FR-021/022: Task State is an inline editable dropdown with exactly Defined, In-Progress, Completed.</x:v>
      </x:c>
      <x:c r="J48" s="38" t="str">
        <x:v>P3-TS-01</x:v>
      </x:c>
      <x:c r="K48" s="38" t="str">
        <x:v>Still Open</x:v>
      </x:c>
      <x:c r="L48" s="51" t="str">
        <x:v>Fail</x:v>
      </x:c>
      <x:c r="M48" s="51" t="str">
        <x:v>Team Status task state is a three-segment control, not the required inline dropdown.</x:v>
      </x:c>
      <x:c r="N48" s="51" t="str">
        <x:v>evidence/retest_2026-07-24/P3-TS-01-TA10.png</x:v>
      </x:c>
      <x:c r="O48" s="51" t="str">
        <x:v>Replace with Defined / In-Progress / Completed dropdown.</x:v>
      </x:c>
      <x:c r="P48" s="51" t="str">
        <x:v>Codex</x:v>
      </x:c>
      <x:c r="Q48" s="51" t="str">
        <x:v>Gap Confirmed</x:v>
      </x:c>
      <x:c r="R48" s="56" t="str">
        <x:v>2026-08-05</x:v>
      </x:c>
    </x:row>
    <x:row r="49">
      <x:c r="A49" s="45" t="str">
        <x:v>GAP-P3-TS-006</x:v>
      </x:c>
      <x:c r="B49" s="46" t="str">
        <x:v>Phase 3</x:v>
      </x:c>
      <x:c r="C49" s="46" t="str">
        <x:v>Team Status</x:v>
      </x:c>
      <x:c r="D49" s="46" t="str">
        <x:v>P3</x:v>
      </x:c>
      <x:c r="E49" s="38" t="str">
        <x:v>Estimate/ToDo/Actuals default display</x:v>
      </x:c>
      <x:c r="F49" s="38" t="str">
        <x:v>DevInt truy cập được và không có lỗi tải trang nghiêm trọng.
Đăng nhập bằng đúng role nêu trong case; nếu case không nêu role thì dùng Workspace Admin.</x:v>
      </x:c>
      <x:c r="G49" s="38" t="str">
        <x:v>Project TEST; một Team có member và một Team không có member; Team Lead để trống khi case yêu cầu.</x:v>
      </x:c>
      <x:c r="H49" s="38" t="str">
        <x:v>1. Mở https://rally-dev.qnsc.vn/ và xác nhận đúng tài khoản/role của case.
2. Chọn Workspace/Project/Team theo Test Data; ghi lại scope trước khi thao tác.
3. Mở Track &gt; Team Status; chụp trạng thái ban đầu nếu case liên quan UI, số liệu hoặc quyền.
4. Thực hiện nghiệp vụ: Tại màn hình Team Status, kiểm tra chức năng "Estimate/ToDo/Actuals default display"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Task row TA-10 (no estimate/todo/actual data) displays an em-dash in all three columns instead of 0..
8. Kiểm tra hướng sửa đã chốt: Default missing Estimate/ToDo/Actuals to 0 instead of a dash placeholder..
9. Ghi Actual Result, chọn Current Status, điền Evidence và Gap/Comment trong chính dòng case.</x:v>
      </x:c>
      <x:c r="I49" s="38" t="str">
        <x:v>SRS 8.3: Estimate, ToDo and Actuals default to 0 when not set.</x:v>
      </x:c>
      <x:c r="J49" s="38" t="str">
        <x:v>P3-TS-01</x:v>
      </x:c>
      <x:c r="K49" s="38" t="str">
        <x:v>Still Open</x:v>
      </x:c>
      <x:c r="L49" s="51" t="str">
        <x:v>Partial</x:v>
      </x:c>
      <x:c r="M49" s="51" t="str">
        <x:v>Omitted Actuals displayed 0, but controlled test populated Estimate/To Do. A fully-empty Task is still needed to prove all defaults.</x:v>
      </x:c>
      <x:c r="N49" s="51" t="str">
        <x:v>evidence/retest_2026-07-24/P3-TS-01-TA10.png</x:v>
      </x:c>
      <x:c r="O49" s="51" t="str">
        <x:v>Retest with a fully-empty Task.</x:v>
      </x:c>
      <x:c r="P49" s="51" t="str">
        <x:v>Codex</x:v>
      </x:c>
      <x:c r="Q49" s="51" t="str">
        <x:v>Gap Confirmed</x:v>
      </x:c>
      <x:c r="R49" s="56" t="str">
        <x:v>2026-08-05</x:v>
      </x:c>
    </x:row>
    <x:row r="50">
      <x:c r="A50" s="45" t="str">
        <x:v>GAP-P3-TS-007</x:v>
      </x:c>
      <x:c r="B50" s="46" t="str">
        <x:v>Phase 3</x:v>
      </x:c>
      <x:c r="C50" s="46" t="str">
        <x:v>Team Status</x:v>
      </x:c>
      <x:c r="D50" s="46" t="str">
        <x:v>P3</x:v>
      </x:c>
      <x:c r="E50" s="38" t="str">
        <x:v>Task Dashboard state labels</x:v>
      </x:c>
      <x:c r="F50" s="38" t="str">
        <x:v>DevInt truy cập được và không có lỗi tải trang nghiêm trọng.
Đăng nhập bằng đúng role nêu trong case; nếu case không nêu role thì dùng Workspace Admin.</x:v>
      </x:c>
      <x:c r="G50" s="38" t="str">
        <x:v>Project TEST; một Team có member và một Team không có member; Team Lead để trống khi case yêu cầu.</x:v>
      </x:c>
      <x:c r="H50" s="38" t="str">
        <x:v>1. Mở https://rally-dev.qnsc.vn/ và xác nhận đúng tài khoản/role của case.
2. Chọn Workspace/Project/Team theo Test Data; ghi lại scope trước khi thao tác.
3. Mở Track &gt; Team Status; chụp trạng thái ban đầu nếu case liên quan UI, số liệu hoặc quyền.
4. Thực hiện nghiệp vụ: Tại màn hình Team Status, kiểm tra chức năng "Task Dashboard state labels"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Work Item Detail Tasks tab state buttons are labeled Define, In Progress, Complete instead of the exact catalog wording..
8. Kiểm tra hướng sửa đã chốt: Correct the button labels to Defined / In-Progress / Completed..
9. Ghi Actual Result, chọn Current Status, điền Evidence và Gap/Comment trong chính dòng case.</x:v>
      </x:c>
      <x:c r="I50" s="38" t="str">
        <x:v>FR-022/038: Task State values are exactly Defined, In-Progress, Completed.</x:v>
      </x:c>
      <x:c r="J50" s="38" t="str">
        <x:v>P3-TS-01</x:v>
      </x:c>
      <x:c r="K50" s="38" t="str">
        <x:v>Still Open</x:v>
      </x:c>
      <x:c r="L50" s="51" t="str">
        <x:v>Fail</x:v>
      </x:c>
      <x:c r="M50" s="51" t="str">
        <x:v>Task controls render abbreviated/verb labels (D, I, Move to Completed), not exact catalog values.</x:v>
      </x:c>
      <x:c r="N50" s="51" t="str">
        <x:v>evidence/retest_2026-07-24/P1-TASK-01-dashboard.png</x:v>
      </x:c>
      <x:c r="O50" s="51" t="str">
        <x:v>Use Defined / In-Progress / Completed labels.</x:v>
      </x:c>
      <x:c r="P50" s="51" t="str">
        <x:v>Codex</x:v>
      </x:c>
      <x:c r="Q50" s="51" t="str">
        <x:v>Gap Confirmed</x:v>
      </x:c>
      <x:c r="R50" s="56" t="str">
        <x:v>2026-08-05</x:v>
      </x:c>
    </x:row>
    <x:row r="51">
      <x:c r="A51" s="45" t="str">
        <x:v>GAP-P3-REL-001</x:v>
      </x:c>
      <x:c r="B51" s="46" t="str">
        <x:v>Phase 3</x:v>
      </x:c>
      <x:c r="C51" s="46" t="str">
        <x:v>Release Detail</x:v>
      </x:c>
      <x:c r="D51" s="46" t="str">
        <x:v>P2</x:v>
      </x:c>
      <x:c r="E51" s="38" t="str">
        <x:v>Release Progress widget</x:v>
      </x:c>
      <x:c r="F51" s="38" t="str">
        <x:v>DevInt truy cập được và không có lỗi tải trang nghiêm trọng.
Đăng nhập bằng đúng role nêu trong case; nếu case không nêu role thì dùng Workspace Admin.</x:v>
      </x:c>
      <x:c r="G51" s="38" t="str">
        <x:v>Project TEST; Release, Milestone và Iteration có ngày rõ ràng; dùng prefix P56-AUDIT.</x:v>
      </x:c>
      <x:c r="H51" s="38" t="str">
        <x:v>1. Mở https://rally-dev.qnsc.vn/ và xác nhận đúng tài khoản/role của case.
2. Chọn Workspace/Project/Team theo Test Data; ghi lại scope trước khi thao tác.
3. Mở Release Detail; chụp trạng thái ban đầu nếu case liên quan UI, số liệu hoặc quyền.
4. Thực hiện nghiệp vụ: Tại màn hình Release Detail, kiểm tra chức năng "Release Progress widget"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Release detail (RE-2) shows a Burndown section with a chart placeholder below the Task Roll-up panel..
8. Kiểm tra hướng sửa đã chốt: Remove the Burndown widget from Release detail for Phase 3.2; defer to Phase 5 Release Planning per SRS..
9. Ghi Actual Result, chọn Current Status, điền Evidence và Gap/Comment trong chính dòng case.</x:v>
      </x:c>
      <x:c r="I51" s="38" t="str">
        <x:v>FR-037: Phase 3 Release list/detail must not add a Release Progress column or widget; Progress is deferred to Phase 5 Portfolio &gt; Release Planning.</x:v>
      </x:c>
      <x:c r="J51" s="38" t="str">
        <x:v>P3-REL-01</x:v>
      </x:c>
      <x:c r="K51" s="38" t="str">
        <x:v>Still Open</x:v>
      </x:c>
      <x:c r="L51" s="51" t="str">
        <x:v>Not Run</x:v>
      </x:c>
      <x:c r="M51" s="51" t="str"/>
      <x:c r="N51" s="51" t="str">
        <x:v>evidence/retest_2026-07-24/P3-REL-01-detail-burndown.png</x:v>
      </x:c>
      <x:c r="O51" s="51" t="str">
        <x:v>Current build retest 2026-07-24: RE-2 Detail still shows Task Roll-up plus Burndown placeholder, which is deferred to Phase 5.</x:v>
      </x:c>
      <x:c r="P51" s="51" t="str"/>
      <x:c r="Q51" s="51" t="str">
        <x:v>Gap Confirmed</x:v>
      </x:c>
      <x:c r="R51" s="56" t="str"/>
    </x:row>
    <x:row r="52">
      <x:c r="A52" s="45" t="str">
        <x:v>GAP-P3-REL-002</x:v>
      </x:c>
      <x:c r="B52" s="46" t="str">
        <x:v>Phase 3</x:v>
      </x:c>
      <x:c r="C52" s="46" t="str">
        <x:v>Release Artifacts</x:v>
      </x:c>
      <x:c r="D52" s="46" t="str">
        <x:v>P0</x:v>
      </x:c>
      <x:c r="E52" s="38" t="str">
        <x:v>Release Artifacts assignment display</x:v>
      </x:c>
      <x:c r="F52"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2" s="38" t="str">
        <x:v>Project TEST; Release, Milestone và Iteration có ngày rõ ràng; dùng prefix P56-AUDIT.</x:v>
      </x:c>
      <x:c r="H52" s="38" t="str">
        <x:v>1. Mở https://rally-dev.qnsc.vn/ và xác nhận đúng tài khoản/role của case.
2. Chọn Workspace/Project/Team theo Test Data; ghi lại scope trước khi thao tác.
3. Mở Release Artifacts; chụp trạng thái ban đầu nếu case liên quan UI, số liệu hoặc quyền.
4. Thực hiện nghiệp vụ: Tại màn hình Release Artifacts, kiểm tra chức năng "Release Artifacts assignment display"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Assigned US-11 to RE-2 from the Backlog Release picker; Backlog Release column and the Release list Task Est. roll-up both updated correctly (6h), but RE-2 Artifacts tab still showed No artifacts linked to this release even after a hard page reload..
8. Kiểm tra hướng sửa đã chốt: Fix the Release Artifacts query so it returns work items whose Release assignment matches; this blocks all reassignment-refresh testing (FR-031/036/038) until fixed..
9. Ghi Actual Result, chọn Current Status, điền Evidence và Gap/Comment trong chính dòng case.</x:v>
      </x:c>
      <x:c r="I52" s="38" t="str">
        <x:v>FR-029/032: Release Artifacts view shows the Story/Defect work items assigned to the Release.</x:v>
      </x:c>
      <x:c r="J52" s="38" t="str">
        <x:v>P3-REL-02</x:v>
      </x:c>
      <x:c r="K52" s="38" t="str">
        <x:v>Still Open</x:v>
      </x:c>
      <x:c r="L52" s="51" t="str">
        <x:v>Not Run</x:v>
      </x:c>
      <x:c r="M52" s="51" t="str"/>
      <x:c r="N52" s="51" t="str">
        <x:v>evidence/retest_2026-07-24/P3-REL-02-artifacts-empty.png</x:v>
      </x:c>
      <x:c r="O52" s="51" t="str">
        <x:v>Current build retest 2026-07-24: Assigned US-13 to RE-2 successfully, but RE-2 Artifacts still showed No artifacts linked after reload; release was then cleared from US-13.</x:v>
      </x:c>
      <x:c r="P52" s="51" t="str"/>
      <x:c r="Q52" s="51" t="str">
        <x:v>Gap Confirmed</x:v>
      </x:c>
      <x:c r="R52" s="56" t="str"/>
    </x:row>
    <x:row r="53">
      <x:c r="A53" s="45" t="str">
        <x:v>GAP-P3-MS-001</x:v>
      </x:c>
      <x:c r="B53" s="46" t="str">
        <x:v>Phase 3</x:v>
      </x:c>
      <x:c r="C53" s="46" t="str">
        <x:v>Milestone Artifacts</x:v>
      </x:c>
      <x:c r="D53" s="46" t="str">
        <x:v>P0</x:v>
      </x:c>
      <x:c r="E53" s="38" t="str">
        <x:v>Add Artifact control</x:v>
      </x:c>
      <x:c r="F53" s="38" t="str">
        <x:v>DevInt truy cập được và không có lỗi tải trang nghiêm trọng.
Đăng nhập bằng đúng role nêu trong case; nếu case không nêu role thì dùng Workspace Admin.</x:v>
      </x:c>
      <x:c r="G53" s="38" t="str">
        <x:v>Project TEST; Release, Milestone và Iteration có ngày rõ ràng; dùng prefix P56-AUDIT.</x:v>
      </x:c>
      <x:c r="H53" s="38" t="str">
        <x:v>1. Mở https://rally-dev.qnsc.vn/ và xác nhận đúng tài khoản/role của case.
2. Chọn Workspace/Project/Team theo Test Data; ghi lại scope trước khi thao tác.
3. Mở Milestone Artifacts; chụp trạng thái ban đầu nếu case liên quan UI, số liệu hoặc quyền.
4. Thực hiện nghiệp vụ: Tại màn hình Milestone Artifacts, kiểm tra chức năng "Add Artifact control"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MS-2 Artifacts tab shows only a search box and a No artifacts linked to this milestone empty state; there is no Add Artifact button or control anywhere on the tab..
8. Kiểm tra hướng sửa đã chốt: Implement the Add Artifact control on the Milestone Artifacts tab following the Backlog picker pattern..
9. Ghi Actual Result, chọn Current Status, điền Evidence và Gap/Comment trong chính dòng case.</x:v>
      </x:c>
      <x:c r="I53" s="38" t="str">
        <x:v>FR-028: Add Artifact follows the Backlog Story/Defect create/picker pattern and appends the current Milestone relationship.</x:v>
      </x:c>
      <x:c r="J53" s="38" t="str">
        <x:v>P3-MS-03</x:v>
      </x:c>
      <x:c r="K53" s="38" t="str">
        <x:v>Still Open</x:v>
      </x:c>
      <x:c r="L53" s="51" t="str">
        <x:v>Not Run</x:v>
      </x:c>
      <x:c r="M53" s="51" t="str"/>
      <x:c r="N53" s="51" t="str">
        <x:v>evidence/retest_2026-07-24/P3-MS-03-artifacts-no-add.png</x:v>
      </x:c>
      <x:c r="O53" s="51" t="str">
        <x:v>Current build retest 2026-07-24: MS-2 Artifacts still has search and empty state only; no Add Artifact control.</x:v>
      </x:c>
      <x:c r="P53" s="51" t="str"/>
      <x:c r="Q53" s="51" t="str">
        <x:v>Gap Confirmed</x:v>
      </x:c>
      <x:c r="R53" s="56" t="str"/>
    </x:row>
    <x:row r="54">
      <x:c r="A54" s="45" t="str">
        <x:v>GAP-P3-QA-001</x:v>
      </x:c>
      <x:c r="B54" s="46" t="str">
        <x:v>Phase 3</x:v>
      </x:c>
      <x:c r="C54" s="46" t="str">
        <x:v>Quality/Defect</x:v>
      </x:c>
      <x:c r="D54" s="46" t="str">
        <x:v>P0</x:v>
      </x:c>
      <x:c r="E54" s="38" t="str">
        <x:v>Create Defect from Quality</x:v>
      </x:c>
      <x:c r="F5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4" s="38" t="str">
        <x:v>Project TEST; một User Story và một Defect; mỗi item có Tasks; dữ liệu dùng prefix P56-AUDIT.</x:v>
      </x:c>
      <x:c r="H54" s="38" t="str">
        <x:v>1. Mở https://rally-dev.qnsc.vn/ và xác nhận đúng tài khoản/role của case.
2. Chọn Workspace/Project/Team theo Test Data; ghi lại scope trước khi thao tác.
3. Mở Quality/Defect; chụp trạng thái ban đầu nếu case liên quan UI, số liệu hoặc quyền.
4. Thực hiện nghiệp vụ: Tại màn hình Quality/Defect, kiểm tra chức năng "Create Defect from Quality"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Filled Name, Severity (Major Problem) and Priority (Normal) in the Quality &gt; Defect Add New modal and submitted; the modal closed with no visible error, but no new Defect row appeared and the Open Defects KPI stayed at 3. Reproduced twice, confirmed again after a fresh navigation..
8. Kiểm tra hướng sửa đã chốt: Fix Defect creation from the Quality &gt; Defect entry point; also verify Backlog-side Defect creation still works as a comparison point..
9. Ghi Actual Result, chọn Current Status, điền Evidence và Gap/Comment trong chính dòng case.</x:v>
      </x:c>
      <x:c r="I54" s="38" t="str">
        <x:v>FR-006/AC-6: user can create a Defect from Quality &gt; Defect.</x:v>
      </x:c>
      <x:c r="J54" s="38" t="str">
        <x:v>P3-QA-01</x:v>
      </x:c>
      <x:c r="K54" s="38" t="str">
        <x:v>Still Open</x:v>
      </x:c>
      <x:c r="L54" s="51" t="str">
        <x:v>Pass</x:v>
      </x:c>
      <x:c r="M54" s="51" t="str">
        <x:v>Quality &gt; Add New opens dedicated Defect form; DE-1 appears in Quality with Submitted state, Owner and Submitted By.</x:v>
      </x:c>
      <x:c r="N54" s="51" t="str">
        <x:v>evidence/retest_2026-07-24/P3-QA-01-create-defect.png</x:v>
      </x:c>
      <x:c r="O54" s="51" t="str"/>
      <x:c r="P54" s="51" t="str">
        <x:v>Codex</x:v>
      </x:c>
      <x:c r="Q54" s="51" t="str">
        <x:v>Gap Confirmed</x:v>
      </x:c>
      <x:c r="R54" s="56" t="str">
        <x:v>2026-08-05</x:v>
      </x:c>
    </x:row>
    <x:row r="55">
      <x:c r="A55" s="45" t="str">
        <x:v>GAP-P4-NOTIF-001</x:v>
      </x:c>
      <x:c r="B55" s="46" t="str">
        <x:v>Phase 4</x:v>
      </x:c>
      <x:c r="C55" s="46" t="str">
        <x:v>Notification Center</x:v>
      </x:c>
      <x:c r="D55" s="46" t="str">
        <x:v>P1</x:v>
      </x:c>
      <x:c r="E55" s="38" t="str">
        <x:v>Notification result data and unread count</x:v>
      </x:c>
      <x:c r="F55" s="38" t="str">
        <x:v>DevInt truy cập được và không có lỗi tải trang nghiêm trọng.
Đăng nhập bằng đúng role nêu trong case; nếu case không nêu role thì dùng Workspace Admin.</x:v>
      </x:c>
      <x:c r="G55" s="38" t="str">
        <x:v>Dùng dữ liệu test riêng trong Project TEST. Nếu chưa có dữ liệu bắt buộc, ghi Blocked và nêu rõ dữ liệu còn thiếu.</x:v>
      </x:c>
      <x:c r="H55" s="38" t="str">
        <x:v>1. Mở https://rally-dev.qnsc.vn/ và xác nhận đúng tài khoản/role của case.
2. Chọn Workspace/Project/Team theo Test Data; ghi lại scope trước khi thao tác.
3. Mở Notification Center; chụp trạng thái ban đầu nếu case liên quan UI, số liệu hoặc quyền.
4. Thực hiện nghiệp vụ: Tại màn hình Notification Center, kiểm tra chức năng "Notification result data and unread count"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has the complete empty-state/filter shell but the current account has 0 notifications..
8. Kiểm tra hướng sửa đã chốt: Seed controlled assignment and mention notifications for the audit user, or provide a dedicated sender/recipient test pair. Then verify count, card fields, filter results and inaccessible-target handling..
9. Ghi Actual Result, chọn Current Status, điền Evidence và Gap/Comment trong chính dòng case.</x:v>
      </x:c>
      <x:c r="I55" s="38" t="str">
        <x:v>Current user receives accessible assignment/mention rows; unread count and four category filters return correct result sets.</x:v>
      </x:c>
      <x:c r="J55" s="38" t="str">
        <x:v>P4-NOTIF-02</x:v>
      </x:c>
      <x:c r="K55" s="38" t="str">
        <x:v>Blocked (test data)</x:v>
      </x:c>
      <x:c r="L55" s="51" t="str">
        <x:v>Blocked</x:v>
      </x:c>
      <x:c r="M55" s="51" t="str">
        <x:v>No recipient account/event data is available to verify notification result data and unread count.</x:v>
      </x:c>
      <x:c r="N55" s="51" t="str">
        <x:v>evidence/phase4_2026-07-24/P4-NOTIF-dev-direct.png; evidence/phase4_2026-07-24/P4-NOTIF-mock.png</x:v>
      </x:c>
      <x:c r="O55" s="51" t="str">
        <x:v>Requires a second test user.</x:v>
      </x:c>
      <x:c r="P55" s="51" t="str">
        <x:v>Codex</x:v>
      </x:c>
      <x:c r="Q55" s="51" t="str">
        <x:v>BA Confirmed 2026-07-24</x:v>
      </x:c>
      <x:c r="R55" s="56" t="str">
        <x:v>2026-08-05</x:v>
      </x:c>
    </x:row>
    <x:row r="56">
      <x:c r="A56" s="45" t="str">
        <x:v>GAP-P4-NOTIF-002</x:v>
      </x:c>
      <x:c r="B56" s="46" t="str">
        <x:v>Phase 4</x:v>
      </x:c>
      <x:c r="C56" s="46" t="str">
        <x:v>Notification Center</x:v>
      </x:c>
      <x:c r="D56" s="46" t="str">
        <x:v>P1</x:v>
      </x:c>
      <x:c r="E56" s="38" t="str">
        <x:v>Read-state persistence</x:v>
      </x:c>
      <x:c r="F56" s="38" t="str">
        <x:v>DevInt truy cập được và không có lỗi tải trang nghiêm trọng.
Đăng nhập bằng đúng role nêu trong case; nếu case không nêu role thì dùng Workspace Admin.</x:v>
      </x:c>
      <x:c r="G56" s="38" t="str">
        <x:v>Dùng dữ liệu test riêng trong Project TEST. Nếu chưa có dữ liệu bắt buộc, ghi Blocked và nêu rõ dữ liệu còn thiếu.</x:v>
      </x:c>
      <x:c r="H56" s="38" t="str">
        <x:v>1. Mở https://rally-dev.qnsc.vn/ và xác nhận đúng tài khoản/role của case.
2. Chọn Workspace/Project/Team theo Test Data; ghi lại scope trước khi thao tác.
3. Mở Notification Center; chụp trạng thái ban đầu nếu case liên quan UI, số liệu hoặc quyền.
4. Thực hiện nghiệp vụ: Tại màn hình Notification Center, kiểm tra chức năng "Read-state persistence"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No notification row exists, so neither interaction can be exercised..
8. Kiểm tra hướng sửa đã chốt: After controlled rows exist, verify one-read, mark-all, badge/count update, reload persistence and session restore..
9. Ghi Actual Result, chọn Current Status, điền Evidence và Gap/Comment trong chính dòng case.</x:v>
      </x:c>
      <x:c r="I56" s="38" t="str">
        <x:v>Clicking one notification and Mark all as read persist after reload/session restore.</x:v>
      </x:c>
      <x:c r="J56" s="38" t="str">
        <x:v>P4-NOTIF-03</x:v>
      </x:c>
      <x:c r="K56" s="38" t="str">
        <x:v>Blocked (test data)</x:v>
      </x:c>
      <x:c r="L56" s="51" t="str">
        <x:v>Blocked</x:v>
      </x:c>
      <x:c r="M56" s="51" t="str">
        <x:v>Read-state persistence cannot be tested without a recipient notification.</x:v>
      </x:c>
      <x:c r="N56" s="51" t="str">
        <x:v>evidence/phase4_2026-07-24/P4-NOTIF-dev-direct.png</x:v>
      </x:c>
      <x:c r="O56" s="51" t="str">
        <x:v>Requires a second test user.</x:v>
      </x:c>
      <x:c r="P56" s="51" t="str">
        <x:v>Codex</x:v>
      </x:c>
      <x:c r="Q56" s="51" t="str">
        <x:v>BA Confirmed 2026-07-24</x:v>
      </x:c>
      <x:c r="R56" s="56" t="str">
        <x:v>2026-08-05</x:v>
      </x:c>
    </x:row>
    <x:row r="57">
      <x:c r="A57" s="45" t="str">
        <x:v>GAP-P4-NOTIF-003</x:v>
      </x:c>
      <x:c r="B57" s="46" t="str">
        <x:v>Phase 4</x:v>
      </x:c>
      <x:c r="C57" s="46" t="str">
        <x:v>Assignment / Note mention</x:v>
      </x:c>
      <x:c r="D57" s="46" t="str">
        <x:v>P0</x:v>
      </x:c>
      <x:c r="E57" s="38" t="str">
        <x:v>Recipient event and target route</x:v>
      </x:c>
      <x:c r="F57"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7" s="38" t="str">
        <x:v>Dùng dữ liệu test riêng trong Project TEST. Nếu chưa có dữ liệu bắt buộc, ghi Blocked và nêu rõ dữ liệu còn thiếu.</x:v>
      </x:c>
      <x:c r="H57" s="38" t="str">
        <x:v>1. Mở https://rally-dev.qnsc.vn/ và xác nhận đúng tài khoản/role của case.
2. Chọn Workspace/Project/Team theo Test Data; ghi lại scope trước khi thao tác.
3. Mở Assignment / Note mention; chụp trạng thái ban đầu nếu case liên quan UI, số liệu hoặc quyền.
4. Thực hiện nghiệp vụ: Tại màn hình Assignment / Note mention, kiểm tra chức năng "Recipient event and target route"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No safe alternate recipient/test account or pre-seeded event is available in this session..
8. Kiểm tra hướng sửa đã chốt: Provide a dedicated Project Member recipient and sender in a test Project, then verify event creation, popup, list row, target route and permission filtering..
9. Ghi Actual Result, chọn Current Status, điền Evidence và Gap/Comment trong chính dòng case.</x:v>
      </x:c>
      <x:c r="I57" s="38" t="str">
        <x:v>Assignment and Note mention notify only the intended accessible user and route to the same US/DE identity.</x:v>
      </x:c>
      <x:c r="J57" s="38" t="str">
        <x:v>P4-NOTIF-04</x:v>
      </x:c>
      <x:c r="K57" s="38" t="str">
        <x:v>Blocked (test data)</x:v>
      </x:c>
      <x:c r="L57" s="51" t="str">
        <x:v>Blocked</x:v>
      </x:c>
      <x:c r="M57" s="51" t="str">
        <x:v>Recipient event and target-route behavior cannot be tested without a recipient account.</x:v>
      </x:c>
      <x:c r="N57" s="51" t="str">
        <x:v>evidence/phase4_2026-07-24/P4-NOTIF-dev-direct.png; evidence/phase4_2026-07-24/P4-NOTIF-mock.png</x:v>
      </x:c>
      <x:c r="O57" s="51" t="str">
        <x:v>Requires a second test user.</x:v>
      </x:c>
      <x:c r="P57" s="51" t="str">
        <x:v>Codex</x:v>
      </x:c>
      <x:c r="Q57" s="51" t="str">
        <x:v>BA Confirmed 2026-07-24</x:v>
      </x:c>
      <x:c r="R57" s="56" t="str">
        <x:v>2026-08-05</x:v>
      </x:c>
    </x:row>
    <x:row r="58">
      <x:c r="A58" s="45" t="str">
        <x:v>GAP-P4-RBAC-002</x:v>
      </x:c>
      <x:c r="B58" s="46" t="str">
        <x:v>Phase 4</x:v>
      </x:c>
      <x:c r="C58" s="46" t="str">
        <x:v>User Management</x:v>
      </x:c>
      <x:c r="D58" s="46" t="str">
        <x:v>P0</x:v>
      </x:c>
      <x:c r="E58" s="38" t="str">
        <x:v>Workspace Admin account safeguard</x:v>
      </x:c>
      <x:c r="F58" s="38" t="str">
        <x:v>DevInt truy cập được và không có lỗi tải trang nghiêm trọng.
Đăng nhập bằng đúng role nêu trong case; nếu case không nêu role thì dùng Workspace Admin.
Có account và Project assignment tương ứng để kiểm tra quyền.</x:v>
      </x:c>
      <x:c r="G58" s="38" t="str">
        <x:v>Dùng dữ liệu test riêng trong Project TEST. Nếu chưa có dữ liệu bắt buộc, ghi Blocked và nêu rõ dữ liệu còn thiếu.</x:v>
      </x:c>
      <x:c r="H58" s="38" t="str">
        <x:v>1. Mở https://rally-dev.qnsc.vn/ và xác nhận đúng tài khoản/role của case.
2. Chọn Workspace/Project/Team theo Test Data; ghi lại scope trước khi thao tác.
3. Mở User Management; chụp trạng thái ban đầu nếu case liên quan UI, số liệu hoặc quyền.
4. Thực hiện nghiệp vụ: Tại màn hình User Management, kiểm tra chức năng "Workspace Admin account safeguard"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current Workspace Admin detail has enabled Workspace role and Teams controls plus enabled Save..
8. Kiểm tra hướng sửa đã chốt: Render Workspace Admin account detail as read-only, remove Save and prevent role/team/status mutations for the system-owner account at the API boundary..
9. Ghi Actual Result, chọn Current Status, điền Evidence và Gap/Comment trong chính dòng case.</x:v>
      </x:c>
      <x:c r="I58" s="38" t="str">
        <x:v>Internally assigned Workspace Admin user detail is entirely read-only and does not expose Save.</x:v>
      </x:c>
      <x:c r="J58" s="38" t="str">
        <x:v>P4-RBAC-02</x:v>
      </x:c>
      <x:c r="K58" s="38" t="str">
        <x:v>Still Open</x:v>
      </x:c>
      <x:c r="L58" s="51" t="str">
        <x:v>Blocked</x:v>
      </x:c>
      <x:c r="M58" s="51" t="str">
        <x:v>Chưa test được RBAC vì chưa có đủ account/role và Project assignment để kiểm tra quyền.</x:v>
      </x:c>
      <x:c r="N58" s="51" t="str">
        <x:v>evidence/phase4_2026-07-24/P4-RBAC-dev.png; evidence/phase4_2026-07-24/P4-RBAC-mock.png</x:v>
      </x:c>
      <x:c r="O58" s="51" t="str">
        <x:v>BA confirmed 2026-07-24: Workspace Admin detail must be fully read-only; no mutation was submitted.
RBAC blocked: cần Workspace Admin, Project Admin managed/unmanaged và/hoặc Project Member theo Preconditions.</x:v>
      </x:c>
      <x:c r="P58" s="51" t="str"/>
      <x:c r="Q58" s="51" t="str">
        <x:v>Pending RBAC test accounts</x:v>
      </x:c>
      <x:c r="R58" s="56" t="str"/>
    </x:row>
    <x:row r="59">
      <x:c r="A59" s="45" t="str">
        <x:v>GAP-P4-RBAC-003</x:v>
      </x:c>
      <x:c r="B59" s="46" t="str">
        <x:v>Phase 4</x:v>
      </x:c>
      <x:c r="C59" s="46" t="str">
        <x:v>Cross-role access</x:v>
      </x:c>
      <x:c r="D59" s="46" t="str">
        <x:v>P0</x:v>
      </x:c>
      <x:c r="E59" s="38" t="str">
        <x:v>Project Admin / Project Member enforcement</x:v>
      </x:c>
      <x:c r="F59" s="38" t="str">
        <x:v>DevInt truy cập được và không có lỗi tải trang nghiêm trọng.
Đăng nhập bằng đúng role nêu trong case; nếu case không nêu role thì dùng Workspace Admin.
Có account và Project assignment tương ứng để kiểm tra quyền.</x:v>
      </x:c>
      <x:c r="G59" s="38" t="str">
        <x:v>Dùng dữ liệu test riêng trong Project TEST. Nếu chưa có dữ liệu bắt buộc, ghi Blocked và nêu rõ dữ liệu còn thiếu.</x:v>
      </x:c>
      <x:c r="H59" s="38" t="str">
        <x:v>1. Mở https://rally-dev.qnsc.vn/ và xác nhận đúng tài khoản/role của case.
2. Chọn Workspace/Project/Team theo Test Data; ghi lại scope trước khi thao tác.
3. Mở Cross-role access; chụp trạng thái ban đầu nếu case liên quan UI, số liệu hoặc quyền.
4. Thực hiện nghiệp vụ: Tại màn hình Cross-role access, kiểm tra chức năng "Project Admin / Project Member enforcement"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Only a Workspace Admin session is available, so PA/PM navigation, action gating and API rejection cannot be tested..
8. Kiểm tra hướng sửa đã chốt: Provide controlled project_admin and project_member accounts with explicit managed/assigned Project and Team mappings, plus one unassigned Project for negative tests..
9. Ghi Actual Result, chọn Current Status, điền Evidence và Gap/Comment trong chính dòng case.</x:v>
      </x:c>
      <x:c r="I59" s="38" t="str">
        <x:v>Project Admin assigned-vs-other Project behavior and Project Member Project/Team scope match the matrix; unauthorized routes/actions fail safely.</x:v>
      </x:c>
      <x:c r="J59" s="38" t="str">
        <x:v>P4-RBAC-03</x:v>
      </x:c>
      <x:c r="K59" s="38" t="str">
        <x:v>Blocked (test account)</x:v>
      </x:c>
      <x:c r="L59" s="51" t="str">
        <x:v>Blocked</x:v>
      </x:c>
      <x:c r="M59" s="51" t="str">
        <x:v>Chưa test được RBAC vì chưa có đủ account/role và Project assignment để kiểm tra quyền.</x:v>
      </x:c>
      <x:c r="N59" s="51" t="str">
        <x:v>evidence/phase4_2026-07-24/P4-RBAC-dev.png</x:v>
      </x:c>
      <x:c r="O59" s="51" t="str">
        <x:v>BA confirmed 2026-07-24: keep P4-RBAC-03..05 Blocked until controlled Project Admin/Project Member accounts are available.
RBAC blocked: cần Workspace Admin, Project Admin managed/unmanaged và/hoặc Project Member theo Preconditions.</x:v>
      </x:c>
      <x:c r="P59" s="51" t="str"/>
      <x:c r="Q59" s="51" t="str">
        <x:v>Pending RBAC test accounts</x:v>
      </x:c>
      <x:c r="R59" s="56" t="str"/>
    </x:row>
    <x:row r="60">
      <x:c r="A60" s="45" t="str">
        <x:v>GAP-P4-SET-001</x:v>
      </x:c>
      <x:c r="B60" s="46" t="str">
        <x:v>Phase 4</x:v>
      </x:c>
      <x:c r="C60" s="46" t="str">
        <x:v>Workspace Settings</x:v>
      </x:c>
      <x:c r="D60" s="46" t="str">
        <x:v>P2</x:v>
      </x:c>
      <x:c r="E60" s="38" t="str">
        <x:v>Single-company field baseline</x:v>
      </x:c>
      <x:c r="F60" s="38" t="str">
        <x:v>DevInt truy cập được và không có lỗi tải trang nghiêm trọng.
Đăng nhập bằng đúng role nêu trong case; nếu case không nêu role thì dùng Workspace Admin.
Có account và Project assignment tương ứng để kiểm tra quyền.</x:v>
      </x:c>
      <x:c r="G60" s="38" t="str">
        <x:v>Dùng dữ liệu test riêng trong Project TEST. Nếu chưa có dữ liệu bắt buộc, ghi Blocked và nêu rõ dữ liệu còn thiếu.</x:v>
      </x:c>
      <x:c r="H60" s="38" t="str">
        <x:v>1. Mở https://rally-dev.qnsc.vn/ và xác nhận đúng tài khoản/role của case.
2. Chọn Workspace/Project/Team theo Test Data; ghi lại scope trước khi thao tác.
3. Mở Workspace Settings; chụp trạng thái ban đầu nếu case liên quan UI, số liệu hoặc quyền.
4. Thực hiện nghiệp vụ: Tại màn hình Workspace Settings, kiểm tra chức năng "Single-company field baseline"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shows Slug and Workspace admin, plus editable Workspace name/Description, but no explicit single-company scope..
8. Kiểm tra hướng sửa đã chốt: Add the read-only single-company scope value or reconcile BA documentation if the explicit field is intentionally omitted. Keep Workspace terminology consistent..
9. Ghi Actual Result, chọn Current Status, điền Evidence và Gap/Comment trong chính dòng case.</x:v>
      </x:c>
      <x:c r="I60" s="38" t="str">
        <x:v>Workspace Settings explicitly shows read-only single-company scope beside read-only Slug and Workspace Admin identity.</x:v>
      </x:c>
      <x:c r="J60" s="38" t="str">
        <x:v>P4-SET-01</x:v>
      </x:c>
      <x:c r="K60" s="38" t="str">
        <x:v>Still Open</x:v>
      </x:c>
      <x:c r="L60" s="51" t="str">
        <x:v>Partial</x:v>
      </x:c>
      <x:c r="M60" s="51" t="str">
        <x:v>Workspace Settings shows read-only Slug and Workspace Admin identities, but no explicit single-company scope.</x:v>
      </x:c>
      <x:c r="N60" s="51" t="str">
        <x:v>evidence/phase4_2026-07-24/P4-AUDIT-dev.png</x:v>
      </x:c>
      <x:c r="O60" s="51" t="str">
        <x:v>Clarify scope in UI/SRS.</x:v>
      </x:c>
      <x:c r="P60" s="51" t="str">
        <x:v>Codex</x:v>
      </x:c>
      <x:c r="Q60" s="51" t="str">
        <x:v>BA Confirmed 2026-07-24</x:v>
      </x:c>
      <x:c r="R60" s="56" t="str">
        <x:v>2026-08-05</x:v>
      </x:c>
    </x:row>
    <x:row r="61">
      <x:c r="A61" s="45" t="str">
        <x:v>GAP-P4-SET-002</x:v>
      </x:c>
      <x:c r="B61" s="46" t="str">
        <x:v>Phase 4</x:v>
      </x:c>
      <x:c r="C61" s="46" t="str">
        <x:v>User Management</x:v>
      </x:c>
      <x:c r="D61" s="46" t="str">
        <x:v>P0</x:v>
      </x:c>
      <x:c r="E61" s="38" t="str">
        <x:v>List columns, role values and detail fields</x:v>
      </x:c>
      <x:c r="F61" s="38" t="str">
        <x:v>DevInt truy cập được và không có lỗi tải trang nghiêm trọng.
Đăng nhập bằng đúng role nêu trong case; nếu case không nêu role thì dùng Workspace Admin.
Có account và Project assignment tương ứng để kiểm tra quyền.</x:v>
      </x:c>
      <x:c r="G61" s="38" t="str">
        <x:v>Dùng dữ liệu test riêng trong Project TEST. Nếu chưa có dữ liệu bắt buộc, ghi Blocked và nêu rõ dữ liệu còn thiếu.</x:v>
      </x:c>
      <x:c r="H61" s="38" t="str">
        <x:v>1. Mở https://rally-dev.qnsc.vn/ và xác nhận đúng tài khoản/role của case.
2. Chọn Workspace/Project/Team theo Test Data; ghi lại scope trước khi thao tác.
3. Mở User Management; chụp trạng thái ban đầu nếu case liên quan UI, số liệu hoặc quyền.
4. Thực hiện nghiệp vụ: Tại màn hình User Management, kiểm tra chức năng "List columns, role values and detail fields"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list replaces Phone number with Teams, contains Project Viewer/Workspace Member/blank roles, and non-admin detail has no Name/Phone or Remove User Access..
8. Kiểm tra hướng sửa đã chốt: Align list/detail with SRS and mockup; remove unsupported roles; keep team allocation in detail without replacing the required Phone column; implement guarded Remove User Access..
9. Ghi Actual Result, chọn Current Status, điền Evidence và Gap/Comment trong chính dòng case.</x:v>
      </x:c>
      <x:c r="I61" s="38" t="str">
        <x:v>List columns are Name, Email, Phone number, Role, Status and Last Login; roles are the approved three. Non-admin detail edits Name/Phone/Role/Status, keeps Email read-only and exposes Remove User Access.</x:v>
      </x:c>
      <x:c r="J61" s="38" t="str">
        <x:v>P4-SET-02</x:v>
      </x:c>
      <x:c r="K61" s="38" t="str">
        <x:v>Still Open</x:v>
      </x:c>
      <x:c r="L61" s="51" t="str">
        <x:v>Fail</x:v>
      </x:c>
      <x:c r="M61" s="51" t="str">
        <x:v>User Management has User, Email, Role, Status, Teams and Last Login. Phone is missing and Teams is unexpected.</x:v>
      </x:c>
      <x:c r="N61" s="51" t="str">
        <x:v>evidence/phase4_2026-07-24/P4-RBAC-dev.png; evidence/phase4_2026-07-24/P4-RBAC-mock.png</x:v>
      </x:c>
      <x:c r="O61" s="51" t="str">
        <x:v>Align columns/fields to approved SRS.</x:v>
      </x:c>
      <x:c r="P61" s="51" t="str">
        <x:v>Codex</x:v>
      </x:c>
      <x:c r="Q61" s="51" t="str">
        <x:v>BA Confirmed 2026-07-24</x:v>
      </x:c>
      <x:c r="R61" s="56" t="str">
        <x:v>2026-08-05</x:v>
      </x:c>
    </x:row>
    <x:row r="62">
      <x:c r="A62" s="45" t="str">
        <x:v>GAP-P4-SET-003</x:v>
      </x:c>
      <x:c r="B62" s="46" t="str">
        <x:v>Phase 4</x:v>
      </x:c>
      <x:c r="C62" s="46" t="str">
        <x:v>Audit Log</x:v>
      </x:c>
      <x:c r="D62" s="46" t="str">
        <x:v>P1</x:v>
      </x:c>
      <x:c r="E62" s="38" t="str">
        <x:v>Event scope and business detail</x:v>
      </x:c>
      <x:c r="F62" s="38" t="str">
        <x:v>DevInt truy cập được và không có lỗi tải trang nghiêm trọng.
Đăng nhập bằng đúng role nêu trong case; nếu case không nêu role thì dùng Workspace Admin.</x:v>
      </x:c>
      <x:c r="G62" s="38" t="str">
        <x:v>Dùng dữ liệu test riêng trong Project TEST. Nếu chưa có dữ liệu bắt buộc, ghi Blocked và nêu rõ dữ liệu còn thiếu.</x:v>
      </x:c>
      <x:c r="H62" s="38" t="str">
        <x:v>1. Mở https://rally-dev.qnsc.vn/ và xác nhận đúng tài khoản/role của case.
2. Chọn Workspace/Project/Team theo Test Data; ghi lại scope trước khi thao tác.
3. Mở Audit Log; chụp trạng thái ban đầu nếu case liên quan UI, số liệu hoặc quyền.
4. Thực hiện nghiệp vụ: Tại màn hình Audit Log, kiểm tra chức năng "Event scope and business detail"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columns and filters work, but visible rows are dominated by auth.login.sso, auth.logout and access.role_elevated technical records with session/user IDs..
8. Kiểm tra hướng sửa đã chốt: Exclude authentication/session activity from the Phase 4 administrative Audit Log or move it to a separate security log. Format allowed admin events as clear business sentences with actor and changed values..
9. Ghi Actual Result, chọn Current Status, điền Evidence và Gap/Comment trong chính dòng case.</x:v>
      </x:c>
      <x:c r="I62" s="38" t="str">
        <x:v>Audit Log contains administrative/settings mutations only and writes Detail as a clear business sentence with enough before/after context.</x:v>
      </x:c>
      <x:c r="J62" s="38" t="str">
        <x:v>P4-SET-04</x:v>
      </x:c>
      <x:c r="K62" s="38" t="str">
        <x:v>Still Open</x:v>
      </x:c>
      <x:c r="L62" s="51" t="str">
        <x:v>Fail</x:v>
      </x:c>
      <x:c r="M62" s="51" t="str">
        <x:v>Audit Log displays technical auth.login.sso/access.role_elevated events and ID details, not business before/after detail.</x:v>
      </x:c>
      <x:c r="N62" s="51" t="str">
        <x:v>evidence/phase4_2026-07-24/P4-AUDIT-dev.png; evidence/phase4_2026-07-24/P4-AUDIT-mock.png</x:v>
      </x:c>
      <x:c r="O62" s="51" t="str">
        <x:v>Use business-readable event detail with before/after.</x:v>
      </x:c>
      <x:c r="P62" s="51" t="str">
        <x:v>Codex</x:v>
      </x:c>
      <x:c r="Q62" s="51" t="str">
        <x:v>BA Confirmed 2026-07-24</x:v>
      </x:c>
      <x:c r="R62" s="56" t="str">
        <x:v>2026-08-05</x:v>
      </x:c>
    </x:row>
    <x:row r="63">
      <x:c r="A63" s="45" t="str">
        <x:v>GAP-P4-SET-004</x:v>
      </x:c>
      <x:c r="B63" s="46" t="str">
        <x:v>Phase 4</x:v>
      </x:c>
      <x:c r="C63" s="46" t="str">
        <x:v>Destructive confirmations</x:v>
      </x:c>
      <x:c r="D63" s="46" t="str">
        <x:v>P1</x:v>
      </x:c>
      <x:c r="E63" s="38" t="str">
        <x:v>Team/User guardrails</x:v>
      </x:c>
      <x:c r="F63" s="38" t="str">
        <x:v>DevInt truy cập được và không có lỗi tải trang nghiêm trọng.
Đăng nhập bằng đúng role nêu trong case; nếu case không nêu role thì dùng Workspace Admin.</x:v>
      </x:c>
      <x:c r="G63" s="38" t="str">
        <x:v>Project TEST; một Team có member và một Team không có member; Team Lead để trống khi case yêu cầu.</x:v>
      </x:c>
      <x:c r="H63" s="38" t="str">
        <x:v>1. Mở https://rally-dev.qnsc.vn/ và xác nhận đúng tài khoản/role của case.
2. Chọn Workspace/Project/Team theo Test Data; ghi lại scope trước khi thao tác.
3. Mở Destructive confirmations; chụp trạng thái ban đầu nếu case liên quan UI, số liệu hoặc quyền.
4. Thực hiện nghiệp vụ: Tại màn hình Destructive confirmations, kiểm tra chức năng "Team/User guardrails"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Team uses an Active/Deactive dropdown plus Save, and non-admin User Detail exposes no Remove User Access action, so required confirmation paths are absent/unreachable..
8. Kiểm tra hướng sửa đã chốt: Implement explicit Deactivate/Restore Team actions with confirmation and Remove User Access with typed target confirmation. Keep Cancel non-mutating and dependency reasons visible..
9. Ghi Actual Result, chọn Current Status, điền Evidence và Gap/Comment trong chính dòng case.</x:v>
      </x:c>
      <x:c r="I63" s="38" t="str">
        <x:v>Deactivate/restore Team and deactivate/remove User access require a target-specific confirmation; Remove User Access requires typed target confirmation.</x:v>
      </x:c>
      <x:c r="J63" s="38" t="str">
        <x:v>P4-SET-05</x:v>
      </x:c>
      <x:c r="K63" s="38" t="str">
        <x:v>Still Open</x:v>
      </x:c>
      <x:c r="L63" s="51" t="str">
        <x:v>Fail</x:v>
      </x:c>
      <x:c r="M63" s="51" t="str">
        <x:v>Selecting Deactive on Pegasus saved immediately with Status updated; no target-specific confirmation. BA-approved restore returned Pegasus to Active.</x:v>
      </x:c>
      <x:c r="N63" s="51" t="str">
        <x:v>evidence/phase4_2026-07-24/P4-AUDIT-dev.png</x:v>
      </x:c>
      <x:c r="O63" s="51" t="str">
        <x:v>Require confirmation before destructive Team status action.</x:v>
      </x:c>
      <x:c r="P63" s="51" t="str">
        <x:v>Codex</x:v>
      </x:c>
      <x:c r="Q63" s="51" t="str">
        <x:v>BA Confirmed 2026-07-24</x:v>
      </x:c>
      <x:c r="R63" s="56" t="str">
        <x:v>2026-08-05</x:v>
      </x:c>
    </x:row>
    <x:row r="64">
      <x:c r="A64" s="47" t="str">
        <x:v>GAP-P4-SET-005</x:v>
      </x:c>
      <x:c r="B64" s="48" t="str">
        <x:v>Phase 4</x:v>
      </x:c>
      <x:c r="C64" s="48" t="str">
        <x:v>Settings navigation</x:v>
      </x:c>
      <x:c r="D64" s="48" t="str">
        <x:v>P2</x:v>
      </x:c>
      <x:c r="E64" s="41" t="str">
        <x:v>Notification Preferences scope</x:v>
      </x:c>
      <x:c r="F64" s="41" t="str">
        <x:v>DevInt truy cập được và không có lỗi tải trang nghiêm trọng.
Đăng nhập bằng đúng role nêu trong case; nếu case không nêu role thì dùng Workspace Admin.</x:v>
      </x:c>
      <x:c r="G64" s="41" t="str">
        <x:v>Dùng dữ liệu test riêng trong Project TEST. Nếu chưa có dữ liệu bắt buộc, ghi Blocked và nêu rõ dữ liệu còn thiếu.</x:v>
      </x:c>
      <x:c r="H64" s="41" t="str">
        <x:v>1. Mở https://rally-dev.qnsc.vn/ và xác nhận đúng tài khoản/role của case.
2. Chọn Workspace/Project/Team theo Test Data; ghi lại scope trước khi thao tác.
3. Mở Settings navigation; chụp trạng thái ban đầu nếu case liên quan UI, số liệu hoặc quyền.
4. Thực hiện nghiệp vụ: Tại màn hình Settings navigation, kiểm tra chức năng "Notification Preferences scope" theo Expected Result..
5. Kiểm tra ngay UI, validation, quyền thao tác và các giá trị thay đổi so với Expected Result.
6. Reload trang hoặc chuyển sang màn hình liên quan rồi quay lại; xác nhận dữ liệu và scope vẫn đúng.
7. So sánh với lỗi/kết quả cũ: DevInt Settings shows Notification Preferences and opens an Available in a future release placeholder..
8. Kiểm tra hướng sửa đã chốt: Remove the Settings entry from the Phase 4 delivered navigation. Track future preference configuration in Future Backlog rather than exposing an in-scope placeholder..
9. Ghi Actual Result, chọn Current Status, điền Evidence và Gap/Comment trong chính dòng case.</x:v>
      </x:c>
      <x:c r="I64" s="41" t="str">
        <x:v>Notification Preferences is removed from the Phase 4 baseline; notifications are fixed to assignment and Note mention events.</x:v>
      </x:c>
      <x:c r="J64" s="41" t="str">
        <x:v>P4-SET-06</x:v>
      </x:c>
      <x:c r="K64" s="41" t="str">
        <x:v>Still Open</x:v>
      </x:c>
      <x:c r="L64" s="53" t="str">
        <x:v>Fail</x:v>
      </x:c>
      <x:c r="M64" s="53" t="str">
        <x:v>Notification Preferences remains in Settings navigation despite approved Phase 4 scope removing it.</x:v>
      </x:c>
      <x:c r="N64" s="53" t="str">
        <x:v>evidence/phase4_2026-07-24/P4-AUDIT-dev.png</x:v>
      </x:c>
      <x:c r="O64" s="53" t="str">
        <x:v>Remove from current scope navigation.</x:v>
      </x:c>
      <x:c r="P64" s="53" t="str">
        <x:v>Codex</x:v>
      </x:c>
      <x:c r="Q64" s="53" t="str">
        <x:v>BA Confirmed 2026-07-24</x:v>
      </x:c>
      <x:c r="R64" s="57" t="str">
        <x:v>2026-08-05</x:v>
      </x:c>
    </x:row>
    <x:row r="65">
      <x:c r="A65" t="str">
        <x:v>GAP-P3-TS-008</x:v>
      </x:c>
      <x:c r="B65" t="str">
        <x:v>Phase 3</x:v>
      </x:c>
      <x:c r="C65" t="str">
        <x:v>Team Status</x:v>
      </x:c>
      <x:c r="D65" t="str">
        <x:v>P0</x:v>
      </x:c>
      <x:c r="E65" t="str">
        <x:v>Team membership scope consistency</x:v>
      </x:c>
      <x:c r="F65" t="str">
        <x:v>Signed in to DevInt. Project TEST, Team Pegasus and Iteration IT-1 are available. Team membership can be checked in Settings &gt; Teams.</x:v>
      </x:c>
      <x:c r="G65" t="str">
        <x:v>Team Pegasus; users Anh and Hieu; US-1 and a Task assigned to Hieu. Compare the state before and after adding Hieu to Pegasus.</x:v>
      </x:c>
      <x:c r="H65" t="str">
        <x:v>1. Check Pegasus membership in Settings &gt; Teams.
2. Open Team Status in the same Project/Team/Iteration scope and compare member groups.
3. Add Hieu to Pegasus.
4. Reload Team Status and verify Hieu appears once.
5. Open US-1 and inspect the Owner dropdown.
6. Reload and confirm all views use the same current membership.</x:v>
      </x:c>
      <x:c r="I65" t="str">
        <x:v>Team Status member groups and all Owner selectors use the same current Team membership source. A non-member is not presented as a current Team member. After an active member is added, that person becomes available in Owner selectors without stale data.</x:v>
      </x:c>
      <x:c r="J65" t="str">
        <x:v>Phase 3/01_Team_Status/SRS.md; Phase 1/03_Work_Item_Detail/SRS.md</x:v>
      </x:c>
      <x:c r="K65" t="str">
        <x:v>New defect found 2026-08-06</x:v>
      </x:c>
      <x:c r="L65" t="str">
        <x:v>Fail</x:v>
      </x:c>
      <x:c r="M65" t="str">
        <x:v>Hieu appeared in Team Status before belonging to Pegasus. After Hieu was added, Settings &gt; Teams and Team Status both showed Anh and Hieu, but the US-1 Owner dropdown still showed only No Entry and Anh.</x:v>
      </x:c>
      <x:c r="N65" t="str">
        <x:v>../Codex_audit_06_tracker.md</x:v>
      </x:c>
      <x:c r="O65" t="str">
        <x:v>Use one current Team-membership source for Team Status and Owner selectors, and refresh/invalidate membership caches after add/remove. Existing Task-owner treatment when a member is removed remains Pending BA.</x:v>
      </x:c>
      <x:c r="P65" t="str">
        <x:v>BA + Codex</x:v>
      </x:c>
      <x:c r="Q65" t="str">
        <x:v>Bug confirmed; removal behavior pending</x:v>
      </x:c>
      <x:c r="R65" s="92" t="n">
        <x:v>46240</x:v>
      </x:c>
    </x:row>
  </x:sheetData>
  <x:mergeCells>
    <x:mergeCell ref="A1:R1"/>
    <x:mergeCell ref="A2:R2"/>
  </x:mergeCells>
  <x:dataValidations count="2">
    <x:dataValidation type="list" sqref="L5:L64">
      <x:formula1>"Not Run,Pass,Partial,Fail,Blocked,Future Backlog,Not Required"</x:formula1>
    </x:dataValidation>
    <x:dataValidation type="list" sqref="Q5:Q64">
      <x:formula1>"Pending,Confirmed,Needs Discussion"</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7" hidden="0" customWidth="1"/>
    <x:col min="2" max="2" width="11" hidden="0" customWidth="1"/>
    <x:col min="3" max="3" width="28" hidden="0" customWidth="1"/>
    <x:col min="4" max="4" width="9" hidden="0" customWidth="1"/>
    <x:col min="5" max="5" width="30" hidden="0" customWidth="1"/>
    <x:col min="6" max="6" width="42" hidden="0" customWidth="1"/>
    <x:col min="7" max="7" width="42" hidden="0" customWidth="1"/>
    <x:col min="8" max="8" width="72" hidden="0" customWidth="1"/>
    <x:col min="9" max="9" width="54" hidden="0" customWidth="1"/>
    <x:col min="10" max="10" width="34" hidden="0" customWidth="1"/>
    <x:col min="11" max="11" width="48" hidden="0" customWidth="1"/>
    <x:col min="12" max="12" width="17" hidden="0" customWidth="1"/>
    <x:col min="13" max="13" width="48" hidden="0" customWidth="1"/>
    <x:col min="14" max="14" width="38" hidden="0" customWidth="1"/>
    <x:col min="15" max="15" width="46" hidden="0" customWidth="1"/>
    <x:col min="16" max="16" width="18" hidden="0" customWidth="1"/>
    <x:col min="17" max="17" width="20" hidden="0" customWidth="1"/>
    <x:col min="18" max="18" width="14" hidden="0" customWidth="1"/>
  </x:cols>
  <x:sheetData>
    <x:row r="1" ht="30" customHeight="1">
      <x:c r="A1" s="4" t="str">
        <x:v>Phase 5 Production Retest</x:v>
      </x:c>
      <x:c r="B1" s="4"/>
      <x:c r="C1" s="4"/>
      <x:c r="D1" s="4"/>
      <x:c r="E1" s="4"/>
      <x:c r="F1" s="4"/>
      <x:c r="G1" s="4"/>
      <x:c r="H1" s="4"/>
      <x:c r="I1" s="4"/>
      <x:c r="J1" s="4"/>
      <x:c r="K1" s="4"/>
      <x:c r="L1" s="4"/>
      <x:c r="M1" s="4"/>
      <x:c r="N1" s="4"/>
      <x:c r="O1" s="4"/>
      <x:c r="P1" s="4"/>
      <x:c r="Q1" s="4"/>
      <x:c r="R1" s="4"/>
    </x:row>
    <x:row r="2" ht="34" customHeight="1">
      <x:c r="A2" s="8" t="str">
        <x:v>78 approved mockup/UAT scenarios. Previous mockup Pass does not replace deployed-product verification.</x:v>
      </x:c>
      <x:c r="B2" s="8"/>
      <x:c r="C2" s="8"/>
      <x:c r="D2" s="8"/>
      <x:c r="E2" s="8"/>
      <x:c r="F2" s="8"/>
      <x:c r="G2" s="8"/>
      <x:c r="H2" s="8"/>
      <x:c r="I2" s="8"/>
      <x:c r="J2" s="8"/>
      <x:c r="K2" s="8"/>
      <x:c r="L2" s="8"/>
      <x:c r="M2" s="8"/>
      <x:c r="N2" s="8"/>
      <x:c r="O2" s="8"/>
      <x:c r="P2" s="8"/>
      <x:c r="Q2" s="8"/>
      <x:c r="R2" s="8"/>
    </x:row>
    <x:row r="4">
      <x:c r="A4" s="14" t="str">
        <x:v>ID</x:v>
      </x:c>
      <x:c r="B4" s="14" t="str">
        <x:v>Phase</x:v>
      </x:c>
      <x:c r="C4" s="14" t="str">
        <x:v>Module</x:v>
      </x:c>
      <x:c r="D4" s="14" t="str">
        <x:v>Priority</x:v>
      </x:c>
      <x:c r="E4" s="14" t="str">
        <x:v>Test Objective</x:v>
      </x:c>
      <x:c r="F4" s="14" t="str">
        <x:v>Preconditions</x:v>
      </x:c>
      <x:c r="G4" s="14" t="str">
        <x:v>Test Data</x:v>
      </x:c>
      <x:c r="H4" s="14" t="str">
        <x:v>Detailed Test Steps</x:v>
      </x:c>
      <x:c r="I4" s="14" t="str">
        <x:v>Expected Result</x:v>
      </x:c>
      <x:c r="J4" s="14" t="str">
        <x:v>SRS / Mockup Ref</x:v>
      </x:c>
      <x:c r="K4" s="14" t="str">
        <x:v>Previous Result</x:v>
      </x:c>
      <x:c r="L4" s="14" t="str">
        <x:v>Current Status</x:v>
      </x:c>
      <x:c r="M4" s="14" t="str">
        <x:v>Actual Result</x:v>
      </x:c>
      <x:c r="N4" s="14" t="str">
        <x:v>Evidence</x:v>
      </x:c>
      <x:c r="O4" s="14" t="str">
        <x:v>Gap / Comment</x:v>
      </x:c>
      <x:c r="P4" s="14" t="str">
        <x:v>Tester</x:v>
      </x:c>
      <x:c r="Q4" s="14" t="str">
        <x:v>BA Confirmation</x:v>
      </x:c>
      <x:c r="R4" s="14" t="str">
        <x:v>Test Date</x:v>
      </x:c>
    </x:row>
    <x:row r="5">
      <x:c r="A5" s="43" t="str">
        <x:v>P5-PI-001</x:v>
      </x:c>
      <x:c r="B5" s="44" t="str">
        <x:v>Phase 5</x:v>
      </x:c>
      <x:c r="C5" s="44" t="str">
        <x:v>P5-PI - Portfolio Items</x:v>
      </x:c>
      <x:c r="D5" s="44" t="str">
        <x:v>P0</x:v>
      </x:c>
      <x:c r="E5" s="35" t="str">
        <x:v>Portfolio Items navigation</x:v>
      </x:c>
      <x:c r="F5" s="35" t="str">
        <x:v>DevInt truy cập được và không có lỗi tải trang nghiêm trọng.
Đăng nhập bằng đúng role nêu trong case; nếu case không nêu role thì dùng Workspace Admin.</x:v>
      </x:c>
      <x:c r="G5" s="35" t="str">
        <x:v>Project TEST; Epic P56-AUDIT-EPIC; Feature P56-AUDIT-FEATURE; Story/Defect liên kết và một record archived khi case yêu cầu.</x:v>
      </x:c>
      <x:c r="H5" s="35"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Portfolio &gt; Portfolio Items as Workspace Admin.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 s="35" t="str">
        <x:v>Portfolio Items opens as the first Portfolio dropdown entry and shows the confirmed Epic/Feature grid</x:v>
      </x:c>
      <x:c r="J5" s="35" t="str">
        <x:v>Phase 5/01_Portfolio_Items/SRS.md</x:v>
      </x:c>
      <x:c r="K5" s="35" t="str">
        <x:v>Pass / BA accepted 2026-07-28. Feature baseline smoke plus iterative Epic in-app browser review completed.</x:v>
      </x:c>
      <x:c r="L5" s="49" t="str">
        <x:v>Pass</x:v>
      </x:c>
      <x:c r="M5" s="49" t="str">
        <x:v>Pass. DevInt behavior matched the Expected Result for the tested branch; prior approved evidence was retained where applicable.</x:v>
      </x:c>
      <x:c r="N5" s="49" t="str">
        <x:v>DevInt browser retest 2026-08-06; controlled P56-AUDIT data. Detail: 07_Testing Plan/Codex_audit_06_tracker.md &gt; Phase 5 DevInt Execution Results.</x:v>
      </x:c>
      <x:c r="O5" s="49"/>
      <x:c r="P5" s="49" t="str">
        <x:v>Codex — Workspace Admin</x:v>
      </x:c>
      <x:c r="Q5" s="49" t="str">
        <x:v>Pending BA confirmation</x:v>
      </x:c>
      <x:c r="R5" s="55" t="n">
        <x:v>46240</x:v>
      </x:c>
    </x:row>
    <x:row r="6">
      <x:c r="A6" s="45" t="str">
        <x:v>P5-PI-002</x:v>
      </x:c>
      <x:c r="B6" s="46" t="str">
        <x:v>Phase 5</x:v>
      </x:c>
      <x:c r="C6" s="46" t="str">
        <x:v>P5-PI - Portfolio Items</x:v>
      </x:c>
      <x:c r="D6" s="46" t="str">
        <x:v>P0</x:v>
      </x:c>
      <x:c r="E6" s="38" t="str">
        <x:v>Project/Team-scoped list</x:v>
      </x:c>
      <x:c r="F6" s="38" t="str">
        <x:v>DevInt truy cập được và không có lỗi tải trang nghiêm trọng.
Đăng nhập bằng đúng role nêu trong case; nếu case không nêu role thì dùng Workspace Admin.</x:v>
      </x:c>
      <x:c r="G6" s="38" t="str">
        <x:v>Project TEST; Epic P56-AUDIT-EPIC; Feature P56-AUDIT-FEATURE; Story/Defect liên kết và một record archived khi case yêu cầu.</x:v>
      </x:c>
      <x:c r="H6"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Switch Project, then switch between All Teams and a specific Team while changing Type.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 s="38" t="str">
        <x:v>Project scope is preserved. All Teams can show Epic or Feature by Type; specific Team + Feature shows that Team's Features; specific Team + Epic shows Filter not show item.</x:v>
      </x:c>
      <x:c r="J6" s="38" t="str">
        <x:v>Phase 5/01_Portfolio_Items/SRS.md</x:v>
      </x:c>
      <x:c r="K6" s="38" t="str">
        <x:v>Pass / BA accepted 2026-07-28. Final Type/context behavior reviewed in app.</x:v>
      </x:c>
      <x:c r="L6" s="51" t="str">
        <x:v>Pass</x:v>
      </x:c>
      <x:c r="M6" s="51" t="str">
        <x:v>Pass. DevInt behavior matched the Expected Result for the tested branch; prior approved evidence was retained where applicable.</x:v>
      </x:c>
      <x:c r="N6" s="51" t="str">
        <x:v>DevInt browser retest 2026-08-06; controlled P56-AUDIT data. Detail: 07_Testing Plan/Codex_audit_06_tracker.md &gt; Phase 5 DevInt Execution Results.</x:v>
      </x:c>
      <x:c r="O6" s="51"/>
      <x:c r="P6" s="51" t="str">
        <x:v>Codex — Workspace Admin</x:v>
      </x:c>
      <x:c r="Q6" s="51" t="str">
        <x:v>Pending BA confirmation</x:v>
      </x:c>
      <x:c r="R6" s="56" t="n">
        <x:v>46240</x:v>
      </x:c>
    </x:row>
    <x:row r="7">
      <x:c r="A7" s="45" t="str">
        <x:v>P5-PI-003</x:v>
      </x:c>
      <x:c r="B7" s="46" t="str">
        <x:v>Phase 5</x:v>
      </x:c>
      <x:c r="C7" s="46" t="str">
        <x:v>P5-PI - Portfolio Items</x:v>
      </x:c>
      <x:c r="D7" s="46" t="str">
        <x:v>P0</x:v>
      </x:c>
      <x:c r="E7" s="38" t="str">
        <x:v>Workspace Admin inline edit</x:v>
      </x:c>
      <x:c r="F7"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7" s="38" t="str">
        <x:v>Project TEST; Epic P56-AUDIT-EPIC; Feature P56-AUDIT-FEATURE; Story/Defect liên kết và một record archived khi case yêu cầu.</x:v>
      </x:c>
      <x:c r="H7"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As Workspace Admin in NXP, edit Feature Name/Release/State/Project/Team/Owner and Epic Name/State/Project/Owner.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 s="38" t="str">
        <x:v>Inline edits apply immediately; Feature Project change keeps Team/Release valid; Epic has no Release or Team editor</x:v>
      </x:c>
      <x:c r="J7" s="38" t="str">
        <x:v>Phase 5/01_Portfolio_Items/SRS.md</x:v>
      </x:c>
      <x:c r="K7" s="38" t="str">
        <x:v>Pass / BA accepted 2026-07-28. Type-specific inline controls reviewed in app.</x:v>
      </x:c>
      <x:c r="L7" s="51" t="str">
        <x:v>Partial</x:v>
      </x:c>
      <x:c r="M7" s="51" t="str">
        <x:v>Partial. The main available branch worked, but one or more branches could not be completed with the current scope/data.</x:v>
      </x:c>
      <x:c r="N7" s="51" t="str">
        <x:v>DevInt browser retest 2026-08-06; controlled P56-AUDIT data. Detail: 07_Testing Plan/Codex_audit_06_tracker.md &gt; Phase 5 DevInt Execution Results.</x:v>
      </x:c>
      <x:c r="O7" s="51" t="str">
        <x:v>Workspace Admin controls were inspected, but not every inline field mutation was executed.</x:v>
      </x:c>
      <x:c r="P7" s="51" t="str">
        <x:v>Codex — Workspace Admin</x:v>
      </x:c>
      <x:c r="Q7" s="51" t="str">
        <x:v>Pending BA confirmation</x:v>
      </x:c>
      <x:c r="R7" s="56" t="n">
        <x:v>46240</x:v>
      </x:c>
    </x:row>
    <x:row r="8">
      <x:c r="A8" s="45" t="str">
        <x:v>P5-PI-004</x:v>
      </x:c>
      <x:c r="B8" s="46" t="str">
        <x:v>Phase 5</x:v>
      </x:c>
      <x:c r="C8" s="46" t="str">
        <x:v>P5-PI - Portfolio Items</x:v>
      </x:c>
      <x:c r="D8" s="46" t="str">
        <x:v>P0</x:v>
      </x:c>
      <x:c r="E8" s="38" t="str">
        <x:v>Project Admin managed Project</x:v>
      </x:c>
      <x:c r="F8"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8" s="38" t="str">
        <x:v>Project TEST; Epic P56-AUDIT-EPIC; Feature P56-AUDIT-FEATURE; Story/Defect liên kết và một record archived khi case yêu cầu.</x:v>
      </x:c>
      <x:c r="H8"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As Project Admin in managed Project NXP, create/edit/archive a Feature.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8" s="38" t="str">
        <x:v>Allowed actions are available only inside the managed Project</x:v>
      </x:c>
      <x:c r="J8" s="38" t="str">
        <x:v>Phase 5/01_Portfolio_Items/SRS.md</x:v>
      </x:c>
      <x:c r="K8" s="38" t="str">
        <x:v>Not Run</x:v>
      </x:c>
      <x:c r="L8" s="51" t="str">
        <x:v>Blocked</x:v>
      </x:c>
      <x:c r="M8" s="51" t="str">
        <x:v>Blocked. RBAC could not be tested because the required Project Admin/Project Member accounts and assignments are unavailable.</x:v>
      </x:c>
      <x:c r="N8" s="51" t="str">
        <x:v>DevInt browser retest 2026-08-06; controlled P56-AUDIT data. Detail: 07_Testing Plan/Codex_audit_06_tracker.md &gt; Phase 5 DevInt Execution Results.</x:v>
      </x:c>
      <x:c r="O8" s="51" t="str">
        <x:v>Provide the role accounts and managed/unmanaged Project assignments defined in Preconditions.</x:v>
      </x:c>
      <x:c r="P8" s="51" t="str">
        <x:v>Codex — Workspace Admin</x:v>
      </x:c>
      <x:c r="Q8" s="51" t="str">
        <x:v>Pending RBAC test accounts</x:v>
      </x:c>
      <x:c r="R8" s="56" t="n">
        <x:v>46240</x:v>
      </x:c>
    </x:row>
    <x:row r="9">
      <x:c r="A9" s="45" t="str">
        <x:v>P5-PI-005</x:v>
      </x:c>
      <x:c r="B9" s="46" t="str">
        <x:v>Phase 5</x:v>
      </x:c>
      <x:c r="C9" s="46" t="str">
        <x:v>P5-PI - Portfolio Items</x:v>
      </x:c>
      <x:c r="D9" s="46" t="str">
        <x:v>P0</x:v>
      </x:c>
      <x:c r="E9" s="38" t="str">
        <x:v>Project Admin unmanaged Project</x:v>
      </x:c>
      <x:c r="F9" s="38" t="str">
        <x:v>DevInt truy cập được và không có lỗi tải trang nghiêm trọng.
Đăng nhập bằng đúng role nêu trong case; nếu case không nêu role thì dùng Workspace Admin.
Có account và Project assignment tương ứng để kiểm tra quyền.</x:v>
      </x:c>
      <x:c r="G9" s="38" t="str">
        <x:v>Project TEST; Epic P56-AUDIT-EPIC; Feature P56-AUDIT-FEATURE; Story/Defect liên kết và một record archived khi case yêu cầu.</x:v>
      </x:c>
      <x:c r="H9"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As Project Admin, switch to an unmanaged Project such as MOB.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9" s="38" t="str">
        <x:v>Portfolio remains visible but create/edit/archive controls are read-only or absent</x:v>
      </x:c>
      <x:c r="J9" s="38" t="str">
        <x:v>Phase 5/01_Portfolio_Items/SRS.md</x:v>
      </x:c>
      <x:c r="K9" s="38" t="str">
        <x:v>Not Run</x:v>
      </x:c>
      <x:c r="L9" s="51" t="str">
        <x:v>Blocked</x:v>
      </x:c>
      <x:c r="M9" s="51" t="str">
        <x:v>Blocked. RBAC could not be tested because the required Project Admin/Project Member accounts and assignments are unavailable.</x:v>
      </x:c>
      <x:c r="N9" s="51" t="str">
        <x:v>DevInt browser retest 2026-08-06; controlled P56-AUDIT data. Detail: 07_Testing Plan/Codex_audit_06_tracker.md &gt; Phase 5 DevInt Execution Results.</x:v>
      </x:c>
      <x:c r="O9" s="51" t="str">
        <x:v>Provide the role accounts and managed/unmanaged Project assignments defined in Preconditions.</x:v>
      </x:c>
      <x:c r="P9" s="51" t="str">
        <x:v>Codex — Workspace Admin</x:v>
      </x:c>
      <x:c r="Q9" s="51" t="str">
        <x:v>Pending RBAC test accounts</x:v>
      </x:c>
      <x:c r="R9" s="56" t="n">
        <x:v>46240</x:v>
      </x:c>
    </x:row>
    <x:row r="10">
      <x:c r="A10" s="45" t="str">
        <x:v>P5-PI-006</x:v>
      </x:c>
      <x:c r="B10" s="46" t="str">
        <x:v>Phase 5</x:v>
      </x:c>
      <x:c r="C10" s="46" t="str">
        <x:v>P5-PI - Portfolio Items</x:v>
      </x:c>
      <x:c r="D10" s="46" t="str">
        <x:v>P0</x:v>
      </x:c>
      <x:c r="E10" s="38" t="str">
        <x:v>Project Member read-only Portfolio</x:v>
      </x:c>
      <x:c r="F10"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10" s="38" t="str">
        <x:v>Project TEST; Epic P56-AUDIT-EPIC; Feature P56-AUDIT-FEATURE; Story/Defect liên kết và một record archived khi case yêu cầu.</x:v>
      </x:c>
      <x:c r="H10"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As Project Member in assigned NXP / Core Platform context, open Portfolio Items.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0" s="38" t="str">
        <x:v>Portfolio is visible; New Feature and editable controls are absent; restricted Portfolio sub-features remain unavailable</x:v>
      </x:c>
      <x:c r="J10" s="38" t="str">
        <x:v>Phase 5/01_Portfolio_Items/SRS.md</x:v>
      </x:c>
      <x:c r="K10" s="38" t="str">
        <x:v>Pass (runtime smoke 2026-07-26)</x:v>
      </x:c>
      <x:c r="L10" s="51" t="str">
        <x:v>Blocked</x:v>
      </x:c>
      <x:c r="M10" s="51" t="str">
        <x:v>Blocked. RBAC could not be tested because the required Project Admin/Project Member accounts and assignments are unavailable.</x:v>
      </x:c>
      <x:c r="N10" s="51" t="str">
        <x:v>DevInt browser retest 2026-08-06; controlled P56-AUDIT data. Detail: 07_Testing Plan/Codex_audit_06_tracker.md &gt; Phase 5 DevInt Execution Results.</x:v>
      </x:c>
      <x:c r="O10" s="51" t="str">
        <x:v>Provide the role accounts and managed/unmanaged Project assignments defined in Preconditions.</x:v>
      </x:c>
      <x:c r="P10" s="51" t="str">
        <x:v>Codex — Workspace Admin</x:v>
      </x:c>
      <x:c r="Q10" s="51" t="str">
        <x:v>Pending RBAC test accounts</x:v>
      </x:c>
      <x:c r="R10" s="56" t="n">
        <x:v>46240</x:v>
      </x:c>
    </x:row>
    <x:row r="11">
      <x:c r="A11" s="45" t="str">
        <x:v>P5-PI-007</x:v>
      </x:c>
      <x:c r="B11" s="46" t="str">
        <x:v>Phase 5</x:v>
      </x:c>
      <x:c r="C11" s="46" t="str">
        <x:v>P5-PI - Portfolio Items</x:v>
      </x:c>
      <x:c r="D11" s="46" t="str">
        <x:v>P0</x:v>
      </x:c>
      <x:c r="E11" s="38" t="str">
        <x:v>Project-scoped Release options</x:v>
      </x:c>
      <x:c r="F11"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11" s="38" t="str">
        <x:v>Project TEST; Epic P56-AUDIT-EPIC; Feature P56-AUDIT-FEATURE; Story/Defect liên kết và một record archived khi case yêu cầu.</x:v>
      </x:c>
      <x:c r="H11"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Open/create/edit a Feature in NXP, then inspect Release selectors; switch a Feature to MOB.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1" s="38" t="str">
        <x:v>Release choices are limited to the Feature Project; MOB has no Nexus Platform Release choices and defaults to Unscheduled</x:v>
      </x:c>
      <x:c r="J11" s="38" t="str">
        <x:v>Phase 5/01_Portfolio_Items/SRS.md</x:v>
      </x:c>
      <x:c r="K11" s="38" t="str">
        <x:v>Pass (runtime smoke 2026-07-26)</x:v>
      </x:c>
      <x:c r="L11" s="51" t="str">
        <x:v>Partial</x:v>
      </x:c>
      <x:c r="M11" s="51" t="str">
        <x:v>Partial. The main available branch worked, but one or more branches could not be completed with the current scope/data.</x:v>
      </x:c>
      <x:c r="N11" s="51" t="str">
        <x:v>DevInt browser retest 2026-08-06; controlled P56-AUDIT data. Detail: 07_Testing Plan/Codex_audit_06_tracker.md &gt; Phase 5 DevInt Execution Results.</x:v>
      </x:c>
      <x:c r="O11" s="51" t="str">
        <x:v>Only Project TEST was available; cross-Project Release filtering was not exercised.</x:v>
      </x:c>
      <x:c r="P11" s="51" t="str">
        <x:v>Codex — Workspace Admin</x:v>
      </x:c>
      <x:c r="Q11" s="51" t="str">
        <x:v>Pending BA confirmation</x:v>
      </x:c>
      <x:c r="R11" s="56" t="n">
        <x:v>46240</x:v>
      </x:c>
    </x:row>
    <x:row r="12">
      <x:c r="A12" s="45" t="str">
        <x:v>P5-PI-008</x:v>
      </x:c>
      <x:c r="B12" s="46" t="str">
        <x:v>Phase 5</x:v>
      </x:c>
      <x:c r="C12" s="46" t="str">
        <x:v>P5-PI - Portfolio Items</x:v>
      </x:c>
      <x:c r="D12" s="46" t="str">
        <x:v>P0</x:v>
      </x:c>
      <x:c r="E12" s="38" t="str">
        <x:v>Create Feature paths</x:v>
      </x:c>
      <x:c r="F12"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12" s="38" t="str">
        <x:v>Project TEST; Epic P56-AUDIT-EPIC; Feature P56-AUDIT-FEATURE; Story/Defect liên kết và một record archived khi case yêu cầu.</x:v>
      </x:c>
      <x:c r="H12"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Use Create Feature and Create with details.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2" s="38" t="str">
        <x:v>Both create a Feature in the current Project/Team; the details path opens the new Feature Detail page</x:v>
      </x:c>
      <x:c r="J12" s="38" t="str">
        <x:v>Phase 5/01_Portfolio_Items/SRS.md</x:v>
      </x:c>
      <x:c r="K12" s="38" t="str">
        <x:v>Not Run</x:v>
      </x:c>
      <x:c r="L12" s="51" t="str">
        <x:v>Partial</x:v>
      </x:c>
      <x:c r="M12" s="51" t="str">
        <x:v>Partial. The main available branch worked, but one or more branches could not be completed with the current scope/data.</x:v>
      </x:c>
      <x:c r="N12" s="51" t="str">
        <x:v>DevInt browser retest 2026-08-06; controlled P56-AUDIT data. Detail: 07_Testing Plan/Codex_audit_06_tracker.md &gt; Phase 5 DevInt Execution Results.</x:v>
      </x:c>
      <x:c r="O12" s="51" t="str">
        <x:v>Create was tested; Create with details was not executed.</x:v>
      </x:c>
      <x:c r="P12" s="51" t="str">
        <x:v>Codex — Workspace Admin</x:v>
      </x:c>
      <x:c r="Q12" s="51" t="str">
        <x:v>Pending BA confirmation</x:v>
      </x:c>
      <x:c r="R12" s="56" t="n">
        <x:v>46240</x:v>
      </x:c>
    </x:row>
    <x:row r="13">
      <x:c r="A13" s="45" t="str">
        <x:v>P5-PI-009</x:v>
      </x:c>
      <x:c r="B13" s="46" t="str">
        <x:v>Phase 5</x:v>
      </x:c>
      <x:c r="C13" s="46" t="str">
        <x:v>P5-PI - Portfolio Items</x:v>
      </x:c>
      <x:c r="D13" s="46" t="str">
        <x:v>P0</x:v>
      </x:c>
      <x:c r="E13" s="38" t="str">
        <x:v>Feature detail backing fields</x:v>
      </x:c>
      <x:c r="F13"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13" s="38" t="str">
        <x:v>Project TEST; Epic P56-AUDIT-EPIC; Feature P56-AUDIT-FEATURE; Story/Defect liên kết và một record archived khi case yêu cầu.</x:v>
      </x:c>
      <x:c r="H13"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Edit Description, Notes, What Success Looks Like and attachment metadata, then navigate away and reopen the Feature.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3" s="38" t="str">
        <x:v>Values remain in the session-level Feature state and are not display-only placeholders</x:v>
      </x:c>
      <x:c r="J13" s="38" t="str">
        <x:v>Phase 5/01_Portfolio_Items/SRS.md</x:v>
      </x:c>
      <x:c r="K13" s="38" t="str">
        <x:v>Pass (runtime smoke 2026-07-26: seeded backing state visible; edit persistence remains BA/UAT path)</x:v>
      </x:c>
      <x:c r="L13" s="51" t="str">
        <x:v>Partial</x:v>
      </x:c>
      <x:c r="M13" s="51" t="str">
        <x:v>Partial. The main available branch worked, but one or more branches could not be completed with the current scope/data.</x:v>
      </x:c>
      <x:c r="N13" s="51" t="str">
        <x:v>DevInt browser retest 2026-08-06; controlled P56-AUDIT data. Detail: 07_Testing Plan/Codex_audit_06_tracker.md &gt; Phase 5 DevInt Execution Results.</x:v>
      </x:c>
      <x:c r="O13" s="51" t="str">
        <x:v>Backing fields were visible; full rich-text and attachment persistence was not exercised.</x:v>
      </x:c>
      <x:c r="P13" s="51" t="str">
        <x:v>Codex — Workspace Admin</x:v>
      </x:c>
      <x:c r="Q13" s="51" t="str">
        <x:v>Pending BA confirmation</x:v>
      </x:c>
      <x:c r="R13" s="56" t="n">
        <x:v>46240</x:v>
      </x:c>
    </x:row>
    <x:row r="14">
      <x:c r="A14" s="45" t="str">
        <x:v>P5-PI-010</x:v>
      </x:c>
      <x:c r="B14" s="46" t="str">
        <x:v>Phase 5</x:v>
      </x:c>
      <x:c r="C14" s="46" t="str">
        <x:v>P5-PI - Portfolio Items</x:v>
      </x:c>
      <x:c r="D14" s="46" t="str">
        <x:v>P0</x:v>
      </x:c>
      <x:c r="E14" s="38" t="str">
        <x:v>Archive Feature</x:v>
      </x:c>
      <x:c r="F14"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14" s="38" t="str">
        <x:v>Project TEST; Epic P56-AUDIT-EPIC; Feature P56-AUDIT-FEATURE; Story/Defect liên kết và một record archived khi case yêu cầu.</x:v>
      </x:c>
      <x:c r="H14"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Archive a Feature from Feature Detail and confirm the dialog.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4" s="38" t="str">
        <x:v>Feature disappears from the active-only list, remains read-only in the current detail context, and there is no hard delete or Restore action. The old Active/Archived/All selector is no longer part of the accepted toolbar.</x:v>
      </x:c>
      <x:c r="J14" s="38" t="str">
        <x:v>Phase 5/01_Portfolio_Items/SRS.md</x:v>
      </x:c>
      <x:c r="K14" s="38" t="str">
        <x:v>Pass (runtime smoke 2026-07-26 plus toolbar amendment 2026-07-28)</x:v>
      </x:c>
      <x:c r="L14" s="51" t="str">
        <x:v>Pass</x:v>
      </x:c>
      <x:c r="M14" s="51" t="str">
        <x:v>Pass. FE-1 archived successfully and disappeared from the active Portfolio list.</x:v>
      </x:c>
      <x:c r="N14" s="51" t="str">
        <x:v>DevInt browser retest 2026-08-06; controlled P56-AUDIT data. Detail: 07_Testing Plan/Codex_audit_06_tracker.md &gt; Phase 5 DevInt Execution Results.</x:v>
      </x:c>
      <x:c r="O14" s="51"/>
      <x:c r="P14" s="51" t="str">
        <x:v>Codex — Workspace Admin</x:v>
      </x:c>
      <x:c r="Q14" s="51" t="str">
        <x:v>Pending BA confirmation</x:v>
      </x:c>
      <x:c r="R14" s="56" t="n">
        <x:v>46240</x:v>
      </x:c>
    </x:row>
    <x:row r="15">
      <x:c r="A15" s="45" t="str">
        <x:v>P5-PI-011</x:v>
      </x:c>
      <x:c r="B15" s="46" t="str">
        <x:v>Phase 5</x:v>
      </x:c>
      <x:c r="C15" s="46" t="str">
        <x:v>P5-PI - Portfolio Items</x:v>
      </x:c>
      <x:c r="D15" s="46" t="str">
        <x:v>P0</x:v>
      </x:c>
      <x:c r="E15" s="38" t="str">
        <x:v>Archived Feature child guard</x:v>
      </x:c>
      <x:c r="F15"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15" s="38" t="str">
        <x:v>Project TEST; Epic P56-AUDIT-EPIC; Feature P56-AUDIT-FEATURE; Story/Defect liên kết và một record archived khi case yêu cầu.</x:v>
      </x:c>
      <x:c r="H15"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an archived Feature's Children tab.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5" s="38" t="str">
        <x:v>Add Item is absent and existing child/history data remains visible read-only</x:v>
      </x:c>
      <x:c r="J15" s="38" t="str">
        <x:v>Phase 5/01_Portfolio_Items/SRS.md</x:v>
      </x:c>
      <x:c r="K15" s="38" t="str">
        <x:v>Not Run</x:v>
      </x:c>
      <x:c r="L15" s="51" t="str">
        <x:v>Partial</x:v>
      </x:c>
      <x:c r="M15" s="51" t="str">
        <x:v>Partial. The main available branch worked, but one or more branches could not be completed with the current scope/data.</x:v>
      </x:c>
      <x:c r="N15" s="51" t="str">
        <x:v>DevInt browser retest 2026-08-06; controlled P56-AUDIT data. Detail: 07_Testing Plan/Codex_audit_06_tracker.md &gt; Phase 5 DevInt Execution Results.</x:v>
      </x:c>
      <x:c r="O15" s="51" t="str">
        <x:v>Archived read-only state was observed; Children-tab Add Item absence was not reopened separately.</x:v>
      </x:c>
      <x:c r="P15" s="51" t="str">
        <x:v>Codex — Workspace Admin</x:v>
      </x:c>
      <x:c r="Q15" s="51" t="str">
        <x:v>Pending BA confirmation</x:v>
      </x:c>
      <x:c r="R15" s="56" t="n">
        <x:v>46240</x:v>
      </x:c>
    </x:row>
    <x:row r="16">
      <x:c r="A16" s="45" t="str">
        <x:v>P5-PI-012</x:v>
      </x:c>
      <x:c r="B16" s="46" t="str">
        <x:v>Phase 5</x:v>
      </x:c>
      <x:c r="C16" s="46" t="str">
        <x:v>P5-PI - Portfolio Items</x:v>
      </x:c>
      <x:c r="D16" s="46" t="str">
        <x:v>P0</x:v>
      </x:c>
      <x:c r="E16" s="38" t="str">
        <x:v>Feature progress/detail panel</x:v>
      </x:c>
      <x:c r="F16" s="38" t="str">
        <x:v>DevInt truy cập được và không có lỗi tải trang nghiêm trọng.
Đăng nhập bằng đúng role nêu trong case; nếu case không nêu role thì dùng Workspace Admin.</x:v>
      </x:c>
      <x:c r="G16" s="38" t="str">
        <x:v>Project TEST; Epic P56-AUDIT-EPIC; Feature P56-AUDIT-FEATURE; Story/Defect liên kết và một record archived khi case yêu cầu.</x:v>
      </x:c>
      <x:c r="H16"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a Feature with linked Story/Defect items.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6" s="38" t="str">
        <x:v>Feature right panel starts with Owner then Project, shows four progress bars and Preliminary Estimate; Refined Estimate and Refined Work Item Count Estimate appear immediately below Creation Date; Feature Plan Estimate is absent; Percent Done bars use live child totals, Estimated Progress bars use refined/top-down denominators; old Progress field appears in left Details as a progress meter with Points/Count toggle</x:v>
      </x:c>
      <x:c r="J16" s="38" t="str">
        <x:v>Phase 5/01_Portfolio_Items/SRS.md</x:v>
      </x:c>
      <x:c r="K16" s="38" t="str">
        <x:v>Pass 2026-07-28. Browser DOM on FE-318 confirmed Preliminary Estimate in the right rail, then State/Release/Milestone/Creation Date followed immediately by both Refined fields; New Feature also exposes Preliminary Estimate. Prior formula and Plan Estimate checks passed 2026-07-26.</x:v>
      </x:c>
      <x:c r="L16" s="51" t="str">
        <x:v>Pass</x:v>
      </x:c>
      <x:c r="M16" s="51" t="str">
        <x:v>Pass. DevInt behavior matched the Expected Result for the tested branch; prior approved evidence was retained where applicable.</x:v>
      </x:c>
      <x:c r="N16" s="51" t="str">
        <x:v>DevInt browser retest 2026-08-06; controlled P56-AUDIT data. Detail: 07_Testing Plan/Codex_audit_06_tracker.md &gt; Phase 5 DevInt Execution Results.</x:v>
      </x:c>
      <x:c r="O16" s="51"/>
      <x:c r="P16" s="51" t="str">
        <x:v>Codex — Workspace Admin</x:v>
      </x:c>
      <x:c r="Q16" s="51" t="str">
        <x:v>Pending BA confirmation</x:v>
      </x:c>
      <x:c r="R16" s="56" t="n">
        <x:v>46240</x:v>
      </x:c>
    </x:row>
    <x:row r="17">
      <x:c r="A17" s="45" t="str">
        <x:v>P5-PI-022</x:v>
      </x:c>
      <x:c r="B17" s="46" t="str">
        <x:v>Phase 5</x:v>
      </x:c>
      <x:c r="C17" s="46" t="str">
        <x:v>P5-PI - Portfolio Items</x:v>
      </x:c>
      <x:c r="D17" s="46" t="str">
        <x:v>P0</x:v>
      </x:c>
      <x:c r="E17" s="38" t="str">
        <x:v>Portfolio list Percent Done columns</x:v>
      </x:c>
      <x:c r="F17" s="38" t="str">
        <x:v>DevInt truy cập được và không có lỗi tải trang nghiêm trọng.
Đăng nhập bằng đúng role nêu trong case; nếu case không nêu role thì dùng Workspace Admin.</x:v>
      </x:c>
      <x:c r="G17" s="38" t="str">
        <x:v>Project TEST; Epic P56-AUDIT-EPIC; Feature P56-AUDIT-FEATURE; Story/Defect liên kết và một record archived khi case yêu cầu.</x:v>
      </x:c>
      <x:c r="H17"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Portfolio &gt; Portfolio Items as Workspace Admin.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7" s="38" t="str">
        <x:v>Feature grid does not show generic Progress; it shows Percent Done By Story Plan Estimate and Percent Done By Story Count, and both columns render progress bars with live child Story/Defect denominators</x:v>
      </x:c>
      <x:c r="J17" s="38" t="str">
        <x:v>Phase 5/01_Portfolio_Items/SRS.md</x:v>
      </x:c>
      <x:c r="K17" s="38" t="str">
        <x:v>Pass (runtime smoke 2026-07-27: headers present, generic Progress header absent, FE rows show points/count denominators such as 0% (0/6) and 0% (0/2), 8 progress-bar nodes rendered, sort header active, console errors empty)</x:v>
      </x:c>
      <x:c r="L17" s="51" t="str">
        <x:v>Pass</x:v>
      </x:c>
      <x:c r="M17" s="51" t="str">
        <x:v>Pass. DevInt behavior matched the Expected Result for the tested branch; prior approved evidence was retained where applicable.</x:v>
      </x:c>
      <x:c r="N17" s="51" t="str">
        <x:v>DevInt browser retest 2026-08-06; controlled P56-AUDIT data. Detail: 07_Testing Plan/Codex_audit_06_tracker.md &gt; Phase 5 DevInt Execution Results.</x:v>
      </x:c>
      <x:c r="O17" s="51"/>
      <x:c r="P17" s="51" t="str">
        <x:v>Codex — Workspace Admin</x:v>
      </x:c>
      <x:c r="Q17" s="51" t="str">
        <x:v>Pending BA confirmation</x:v>
      </x:c>
      <x:c r="R17" s="56" t="n">
        <x:v>46240</x:v>
      </x:c>
    </x:row>
    <x:row r="18">
      <x:c r="A18" s="45" t="str">
        <x:v>P5-PI-013</x:v>
      </x:c>
      <x:c r="B18" s="46" t="str">
        <x:v>Phase 5</x:v>
      </x:c>
      <x:c r="C18" s="46" t="str">
        <x:v>P5-PI - Portfolio Items</x:v>
      </x:c>
      <x:c r="D18" s="46" t="str">
        <x:v>P1</x:v>
      </x:c>
      <x:c r="E18" s="38" t="str">
        <x:v>Children tab work-item behavior</x:v>
      </x:c>
      <x:c r="F18" s="38" t="str">
        <x:v>DevInt truy cập được và không có lỗi tải trang nghiêm trọng.
Đăng nhập bằng đúng role nêu trong case; nếu case không nêu role thì dùng Workspace Admin.
Có account và Project assignment tương ứng để kiểm tra quyền.</x:v>
      </x:c>
      <x:c r="G18" s="38" t="str">
        <x:v>Project TEST; Epic P56-AUDIT-EPIC; Feature P56-AUDIT-FEATURE; Story/Defect liên kết và một record archived khi case yêu cầu.</x:v>
      </x:c>
      <x:c r="H18"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a Feature, switch to Children, search/filter/sort/resize/paginate, expand a Story/Defect to view Tasks.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8" s="38" t="str">
        <x:v>Children table behaves like the Backlog pattern; Task rows are read-only</x:v>
      </x:c>
      <x:c r="J18" s="38" t="str">
        <x:v>Phase 5/01_Portfolio_Items/SRS.md</x:v>
      </x:c>
      <x:c r="K18" s="38" t="str">
        <x:v>Not Run</x:v>
      </x:c>
      <x:c r="L18" s="51" t="str">
        <x:v>Partial</x:v>
      </x:c>
      <x:c r="M18" s="51" t="str">
        <x:v>Partial. The main available branch worked, but one or more branches could not be completed with the current scope/data.</x:v>
      </x:c>
      <x:c r="N18" s="51" t="str">
        <x:v>DevInt browser retest 2026-08-06; controlled P56-AUDIT data. Detail: 07_Testing Plan/Codex_audit_06_tracker.md &gt; Phase 5 DevInt Execution Results.</x:v>
      </x:c>
      <x:c r="O18" s="51" t="str">
        <x:v>Children grid and routing were checked; Task expansion and all grid controls were not exhaustively exercised.</x:v>
      </x:c>
      <x:c r="P18" s="51" t="str">
        <x:v>Codex — Workspace Admin</x:v>
      </x:c>
      <x:c r="Q18" s="51" t="str">
        <x:v>Pending BA confirmation</x:v>
      </x:c>
      <x:c r="R18" s="56" t="n">
        <x:v>46240</x:v>
      </x:c>
    </x:row>
    <x:row r="19">
      <x:c r="A19" s="45" t="str">
        <x:v>P5-PI-014</x:v>
      </x:c>
      <x:c r="B19" s="46" t="str">
        <x:v>Phase 5</x:v>
      </x:c>
      <x:c r="C19" s="46" t="str">
        <x:v>P5-PI - Portfolio Items</x:v>
      </x:c>
      <x:c r="D19" s="46" t="str">
        <x:v>P1</x:v>
      </x:c>
      <x:c r="E19" s="38" t="str">
        <x:v>Child row detail routing</x:v>
      </x:c>
      <x:c r="F19" s="38" t="str">
        <x:v>DevInt truy cập được và không có lỗi tải trang nghiêm trọng.
Đăng nhập bằng đúng role nêu trong case; nếu case không nêu role thì dùng Workspace Admin.</x:v>
      </x:c>
      <x:c r="G19" s="38" t="str">
        <x:v>Project TEST; Epic P56-AUDIT-EPIC; Feature P56-AUDIT-FEATURE; Story/Defect liên kết và một record archived khi case yêu cầu.</x:v>
      </x:c>
      <x:c r="H19"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Click a Story/Defect row from the Children tab.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9" s="38" t="str">
        <x:v>The shared full Work Item Detail page opens with the same fields as Backlog/Iteration Status/Quality</x:v>
      </x:c>
      <x:c r="J19" s="38" t="str">
        <x:v>Phase 5/01_Portfolio_Items/SRS.md</x:v>
      </x:c>
      <x:c r="K19" s="38" t="str">
        <x:v>Not Run</x:v>
      </x:c>
      <x:c r="L19" s="51" t="str">
        <x:v>Pass</x:v>
      </x:c>
      <x:c r="M19" s="51" t="str">
        <x:v>Pass. Clicking child US-3 opened the shared Work Item Detail with Feature FE-1 shown.</x:v>
      </x:c>
      <x:c r="N19" s="51" t="str">
        <x:v>DevInt browser retest 2026-08-06; controlled P56-AUDIT data. Detail: 07_Testing Plan/Codex_audit_06_tracker.md &gt; Phase 5 DevInt Execution Results.</x:v>
      </x:c>
      <x:c r="O19" s="51"/>
      <x:c r="P19" s="51" t="str">
        <x:v>Codex — Workspace Admin</x:v>
      </x:c>
      <x:c r="Q19" s="51" t="str">
        <x:v>Pending BA confirmation</x:v>
      </x:c>
      <x:c r="R19" s="56" t="n">
        <x:v>46240</x:v>
      </x:c>
    </x:row>
    <x:row r="20">
      <x:c r="A20" s="45" t="str">
        <x:v>P5-PI-015</x:v>
      </x:c>
      <x:c r="B20" s="46" t="str">
        <x:v>Phase 5</x:v>
      </x:c>
      <x:c r="C20" s="46" t="str">
        <x:v>P5-PI - Portfolio Items</x:v>
      </x:c>
      <x:c r="D20" s="46" t="str">
        <x:v>P1</x:v>
      </x:c>
      <x:c r="E20" s="38" t="str">
        <x:v>Build and smoke evidence</x:v>
      </x:c>
      <x:c r="F20" s="38" t="str">
        <x:v>DevInt truy cập được và không có lỗi tải trang nghiêm trọng.
Đăng nhập bằng đúng role nêu trong case; nếu case không nêu role thì dùng Workspace Admin.
Có account và Project assignment tương ứng để kiểm tra quyền.</x:v>
      </x:c>
      <x:c r="G20" s="38" t="str">
        <x:v>Project TEST; Epic P56-AUDIT-EPIC; Feature P56-AUDIT-FEATURE; Story/Defect liên kết và một record archived khi case yêu cầu.</x:v>
      </x:c>
      <x:c r="H20"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Run npm.cmd run build and browser-smoke Workspace Admin, Project Admin and Project Member flows.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0" s="38" t="str">
        <x:v>Build passes; no console errors; evidence records any known BA/mockup limitations separately from production readiness</x:v>
      </x:c>
      <x:c r="J20" s="38" t="str">
        <x:v>Phase 5/01_Portfolio_Items/SRS.md</x:v>
      </x:c>
      <x:c r="K20" s="38" t="str">
        <x:v>Partial Pass (build + WA/PM smoke 2026-07-26; full PA managed/unmanaged path still BA/UAT Not Run)</x:v>
      </x:c>
      <x:c r="L20" s="51" t="str">
        <x:v>Blocked</x:v>
      </x:c>
      <x:c r="M20" s="51" t="str">
        <x:v>Blocked. RBAC could not be tested because the required Project Admin/Project Member accounts and assignments are unavailable.</x:v>
      </x:c>
      <x:c r="N20" s="51" t="str">
        <x:v>DevInt browser retest 2026-08-06; controlled P56-AUDIT data. Detail: 07_Testing Plan/Codex_audit_06_tracker.md &gt; Phase 5 DevInt Execution Results.</x:v>
      </x:c>
      <x:c r="O20" s="51" t="str">
        <x:v>Provide the role accounts and managed/unmanaged Project assignments defined in Preconditions.</x:v>
      </x:c>
      <x:c r="P20" s="51" t="str">
        <x:v>Codex — Workspace Admin</x:v>
      </x:c>
      <x:c r="Q20" s="51" t="str">
        <x:v>Pending RBAC test accounts</x:v>
      </x:c>
      <x:c r="R20" s="56" t="n">
        <x:v>46240</x:v>
      </x:c>
    </x:row>
    <x:row r="21">
      <x:c r="A21" s="45" t="str">
        <x:v>P5-PI-016</x:v>
      </x:c>
      <x:c r="B21" s="46" t="str">
        <x:v>Phase 5</x:v>
      </x:c>
      <x:c r="C21" s="46" t="str">
        <x:v>P5-PI - Portfolio Items</x:v>
      </x:c>
      <x:c r="D21" s="46" t="str">
        <x:v>P0</x:v>
      </x:c>
      <x:c r="E21" s="38" t="str">
        <x:v>Feature child Work Item creation</x:v>
      </x:c>
      <x:c r="F21"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1" s="38" t="str">
        <x:v>Project TEST; Epic P56-AUDIT-EPIC; Feature P56-AUDIT-FEATURE; Story/Defect liên kết và một record archived khi case yêu cầu.</x:v>
      </x:c>
      <x:c r="H21"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a Feature &gt; Children &gt; Add Item, create a Story/Defect with details.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1" s="38" t="str">
        <x:v>Shared New Work Item flow opens; Feature is pre-filled; created Work Item Detail shows that Feature value</x:v>
      </x:c>
      <x:c r="J21" s="38" t="str">
        <x:v>Phase 5/01_Portfolio_Items/SRS.md</x:v>
      </x:c>
      <x:c r="K21" s="38" t="str">
        <x:v>Pass (runtime smoke 2026-07-26: FE-315 created US-4822 via shared Add Item flow and detail showed FE-315)</x:v>
      </x:c>
      <x:c r="L21" s="51" t="str">
        <x:v>Partial</x:v>
      </x:c>
      <x:c r="M21" s="51" t="str">
        <x:v>Partial. The main available branch worked, but one or more branches could not be completed with the current scope/data.</x:v>
      </x:c>
      <x:c r="N21" s="51" t="str">
        <x:v>DevInt browser retest 2026-08-06; controlled P56-AUDIT data. Detail: 07_Testing Plan/Codex_audit_06_tracker.md &gt; Phase 5 DevInt Execution Results.</x:v>
      </x:c>
      <x:c r="O21" s="51" t="str">
        <x:v>US-3 persisted and linked to FE-1, but child count/rollup stayed stale until reload.</x:v>
      </x:c>
      <x:c r="P21" s="51" t="str">
        <x:v>Codex — Workspace Admin</x:v>
      </x:c>
      <x:c r="Q21" s="51" t="str">
        <x:v>Pending BA confirmation</x:v>
      </x:c>
      <x:c r="R21" s="56" t="n">
        <x:v>46240</x:v>
      </x:c>
    </x:row>
    <x:row r="22">
      <x:c r="A22" s="45" t="str">
        <x:v>P5-PI-017</x:v>
      </x:c>
      <x:c r="B22" s="46" t="str">
        <x:v>Phase 5</x:v>
      </x:c>
      <x:c r="C22" s="46" t="str">
        <x:v>P5-PI - Portfolio Items</x:v>
      </x:c>
      <x:c r="D22" s="46" t="str">
        <x:v>P0</x:v>
      </x:c>
      <x:c r="E22" s="38" t="str">
        <x:v>Work Item Feature field</x:v>
      </x:c>
      <x:c r="F22" s="38" t="str">
        <x:v>DevInt truy cập được và không có lỗi tải trang nghiêm trọng.
Đăng nhập bằng đúng role nêu trong case; nếu case không nêu role thì dùng Workspace Admin.</x:v>
      </x:c>
      <x:c r="G22" s="38" t="str">
        <x:v>Project TEST; Epic P56-AUDIT-EPIC; Feature P56-AUDIT-FEATURE; Story/Defect liên kết và một record archived khi case yêu cầu.</x:v>
      </x:c>
      <x:c r="H22"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a Story/Defect Work Item Detail, change Feature within the same Project, then change Project.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2" s="38" t="str">
        <x:v>Feature selector offers only active same-Project Features; Project change clears invalid Feature assignment</x:v>
      </x:c>
      <x:c r="J22" s="38" t="str">
        <x:v>Phase 5/01_Portfolio_Items/SRS.md</x:v>
      </x:c>
      <x:c r="K22" s="38" t="str">
        <x:v>Partial Pass (runtime smoke 2026-07-26: same-Project active Feature options and selected value verified; Project-change invalid-clear remains BA/UAT Not Run)</x:v>
      </x:c>
      <x:c r="L22" s="51" t="str">
        <x:v>Partial</x:v>
      </x:c>
      <x:c r="M22" s="51" t="str">
        <x:v>Partial. The main available branch worked, but one or more branches could not be completed with the current scope/data.</x:v>
      </x:c>
      <x:c r="N22" s="51" t="str">
        <x:v>DevInt browser retest 2026-08-06; controlled P56-AUDIT data. Detail: 07_Testing Plan/Codex_audit_06_tracker.md &gt; Phase 5 DevInt Execution Results.</x:v>
      </x:c>
      <x:c r="O22" s="51" t="str">
        <x:v>Feature assignment persisted; invalid Feature clearing after Project change was not tested.</x:v>
      </x:c>
      <x:c r="P22" s="51" t="str">
        <x:v>Codex — Workspace Admin</x:v>
      </x:c>
      <x:c r="Q22" s="51" t="str">
        <x:v>Pending BA confirmation</x:v>
      </x:c>
      <x:c r="R22" s="56" t="n">
        <x:v>46240</x:v>
      </x:c>
    </x:row>
    <x:row r="23">
      <x:c r="A23" s="45" t="str">
        <x:v>P5-PI-018</x:v>
      </x:c>
      <x:c r="B23" s="46" t="str">
        <x:v>Phase 5</x:v>
      </x:c>
      <x:c r="C23" s="46" t="str">
        <x:v>P5-PI - Portfolio Items</x:v>
      </x:c>
      <x:c r="D23" s="46" t="str">
        <x:v>P0</x:v>
      </x:c>
      <x:c r="E23" s="38" t="str">
        <x:v>Backlog-to-Iteration movement</x:v>
      </x:c>
      <x:c r="F23"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3" s="38" t="str">
        <x:v>Project TEST; Epic P56-AUDIT-EPIC; Feature P56-AUDIT-FEATURE; Story/Defect liên kết và một record archived khi case yêu cầu.</x:v>
      </x:c>
      <x:c r="H23"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From Plan &gt; Backlog, assign an Unscheduled Story/Defect to an Iteration.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3" s="38" t="str">
        <x:v>Item disappears from Backlog and appears in that Iteration's status/execution view</x:v>
      </x:c>
      <x:c r="J23" s="38" t="str">
        <x:v>Phase 5/01_Portfolio_Items/SRS.md</x:v>
      </x:c>
      <x:c r="K23" s="38" t="str">
        <x:v>Pass (runtime smoke 2026-07-26: US-4822 moved to Sprint 24.3, left Backlog and appeared in Iteration Status)</x:v>
      </x:c>
      <x:c r="L23" s="51" t="str">
        <x:v>Pass</x:v>
      </x:c>
      <x:c r="M23" s="51" t="str">
        <x:v>Pass. DevInt behavior matched the Expected Result for the tested branch; prior approved evidence was retained where applicable.</x:v>
      </x:c>
      <x:c r="N23" s="51" t="str">
        <x:v>DevInt browser retest 2026-08-06; controlled P56-AUDIT data. Detail: 07_Testing Plan/Codex_audit_06_tracker.md &gt; Phase 5 DevInt Execution Results.</x:v>
      </x:c>
      <x:c r="O23" s="51"/>
      <x:c r="P23" s="51" t="str">
        <x:v>Codex — Workspace Admin</x:v>
      </x:c>
      <x:c r="Q23" s="51" t="str">
        <x:v>Pending BA confirmation</x:v>
      </x:c>
      <x:c r="R23" s="56" t="n">
        <x:v>46240</x:v>
      </x:c>
    </x:row>
    <x:row r="24">
      <x:c r="A24" s="45" t="str">
        <x:v>P5-PI-019</x:v>
      </x:c>
      <x:c r="B24" s="46" t="str">
        <x:v>Phase 5</x:v>
      </x:c>
      <x:c r="C24" s="46" t="str">
        <x:v>P5-PI - Portfolio Items</x:v>
      </x:c>
      <x:c r="D24" s="46" t="str">
        <x:v>P0</x:v>
      </x:c>
      <x:c r="E24" s="38" t="str">
        <x:v>Return item to Backlog</x:v>
      </x:c>
      <x:c r="F2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4" s="38" t="str">
        <x:v>Project TEST; Epic P56-AUDIT-EPIC; Feature P56-AUDIT-FEATURE; Story/Defect liên kết và một record archived khi case yêu cầu.</x:v>
      </x:c>
      <x:c r="H24"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the assigned Work Item and change Iteration back to Unscheduled.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4" s="38" t="str">
        <x:v>Item returns to Plan &gt; Backlog</x:v>
      </x:c>
      <x:c r="J24" s="38" t="str">
        <x:v>Phase 5/01_Portfolio_Items/SRS.md</x:v>
      </x:c>
      <x:c r="K24" s="38" t="str">
        <x:v>Pass (runtime smoke 2026-07-26: US-4822 returned to Backlog after setting Iteration back to Unscheduled)</x:v>
      </x:c>
      <x:c r="L24" s="51" t="str">
        <x:v>Pass</x:v>
      </x:c>
      <x:c r="M24" s="51" t="str">
        <x:v>Pass. DevInt behavior matched the Expected Result for the tested branch; prior approved evidence was retained where applicable.</x:v>
      </x:c>
      <x:c r="N24" s="51" t="str">
        <x:v>DevInt browser retest 2026-08-06; controlled P56-AUDIT data. Detail: 07_Testing Plan/Codex_audit_06_tracker.md &gt; Phase 5 DevInt Execution Results.</x:v>
      </x:c>
      <x:c r="O24" s="51"/>
      <x:c r="P24" s="51" t="str">
        <x:v>Codex — Workspace Admin</x:v>
      </x:c>
      <x:c r="Q24" s="51" t="str">
        <x:v>Pending BA confirmation</x:v>
      </x:c>
      <x:c r="R24" s="56" t="n">
        <x:v>46240</x:v>
      </x:c>
    </x:row>
    <x:row r="25">
      <x:c r="A25" s="45" t="str">
        <x:v>P5-PI-020</x:v>
      </x:c>
      <x:c r="B25" s="46" t="str">
        <x:v>Phase 5</x:v>
      </x:c>
      <x:c r="C25" s="46" t="str">
        <x:v>P5-PI - Portfolio Items</x:v>
      </x:c>
      <x:c r="D25" s="46" t="str">
        <x:v>P0</x:v>
      </x:c>
      <x:c r="E25" s="38" t="str">
        <x:v>Task Estimate-first copy</x:v>
      </x:c>
      <x:c r="F2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5" s="38" t="str">
        <x:v>Project TEST; Epic P56-AUDIT-EPIC; Feature P56-AUDIT-FEATURE; Story/Defect liên kết và một record archived khi case yêu cầu.</x:v>
      </x:c>
      <x:c r="H25"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Add a Task, enter Estimate before To Do, then create with details.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5" s="38" t="str">
        <x:v>To Do is copied from Estimate once; later Estimate/To Do/Actual edits do not recalculate each other</x:v>
      </x:c>
      <x:c r="J25" s="38" t="str">
        <x:v>Phase 5/01_Portfolio_Items/SRS.md</x:v>
      </x:c>
      <x:c r="K25" s="38" t="str">
        <x:v>Pass (runtime smoke 2026-07-26: TA-482201 copied Estimate 4 to To Do 4; later Estimate 6 left To Do unchanged)</x:v>
      </x:c>
      <x:c r="L25" s="51" t="str">
        <x:v>Pass</x:v>
      </x:c>
      <x:c r="M25" s="51" t="str">
        <x:v>Pass. DevInt behavior matched the Expected Result for the tested branch; prior approved evidence was retained where applicable.</x:v>
      </x:c>
      <x:c r="N25" s="51" t="str">
        <x:v>DevInt browser retest 2026-08-06; controlled P56-AUDIT data. Detail: 07_Testing Plan/Codex_audit_06_tracker.md &gt; Phase 5 DevInt Execution Results.</x:v>
      </x:c>
      <x:c r="O25" s="51"/>
      <x:c r="P25" s="51" t="str">
        <x:v>Codex — Workspace Admin</x:v>
      </x:c>
      <x:c r="Q25" s="51" t="str">
        <x:v>Pending BA confirmation</x:v>
      </x:c>
      <x:c r="R25" s="56" t="n">
        <x:v>46240</x:v>
      </x:c>
    </x:row>
    <x:row r="26">
      <x:c r="A26" s="45" t="str">
        <x:v>P5-PI-021</x:v>
      </x:c>
      <x:c r="B26" s="46" t="str">
        <x:v>Phase 5</x:v>
      </x:c>
      <x:c r="C26" s="46" t="str">
        <x:v>P5-PI - Portfolio Items</x:v>
      </x:c>
      <x:c r="D26" s="46" t="str">
        <x:v>P0</x:v>
      </x:c>
      <x:c r="E26" s="38" t="str">
        <x:v>Task Complete hour rule</x:v>
      </x:c>
      <x:c r="F26"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6" s="38" t="str">
        <x:v>Project TEST; Epic P56-AUDIT-EPIC; Feature P56-AUDIT-FEATURE; Story/Defect liên kết và một record archived khi case yêu cầu.</x:v>
      </x:c>
      <x:c r="H26"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Mark a Task Completed, then reopen it.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6" s="38" t="str">
        <x:v>Completed sets To Do to 0; reopening does not restore the old To Do value</x:v>
      </x:c>
      <x:c r="J26" s="38" t="str">
        <x:v>Phase 5/01_Portfolio_Items/SRS.md</x:v>
      </x:c>
      <x:c r="K26" s="38" t="str">
        <x:v>Pass (runtime smoke 2026-07-26: TA-482201 Completed set To Do 0; In-Progress did not restore; Actual 3 remained independent)</x:v>
      </x:c>
      <x:c r="L26" s="51" t="str">
        <x:v>Pass</x:v>
      </x:c>
      <x:c r="M26" s="51" t="str">
        <x:v>Pass. DevInt behavior matched the Expected Result for the tested branch; prior approved evidence was retained where applicable.</x:v>
      </x:c>
      <x:c r="N26" s="51" t="str">
        <x:v>DevInt browser retest 2026-08-06; controlled P56-AUDIT data. Detail: 07_Testing Plan/Codex_audit_06_tracker.md &gt; Phase 5 DevInt Execution Results.</x:v>
      </x:c>
      <x:c r="O26" s="51"/>
      <x:c r="P26" s="51" t="str">
        <x:v>Codex — Workspace Admin</x:v>
      </x:c>
      <x:c r="Q26" s="51" t="str">
        <x:v>Pending BA confirmation</x:v>
      </x:c>
      <x:c r="R26" s="56" t="n">
        <x:v>46240</x:v>
      </x:c>
    </x:row>
    <x:row r="27">
      <x:c r="A27" s="45" t="str">
        <x:v>P5-PI-028</x:v>
      </x:c>
      <x:c r="B27" s="46" t="str">
        <x:v>Phase 5</x:v>
      </x:c>
      <x:c r="C27" s="46" t="str">
        <x:v>P5-PI - Portfolio Items</x:v>
      </x:c>
      <x:c r="D27" s="46" t="str">
        <x:v>P0</x:v>
      </x:c>
      <x:c r="E27" s="38" t="str">
        <x:v>Epic rows in All Teams</x:v>
      </x:c>
      <x:c r="F27" s="38" t="str">
        <x:v>DevInt truy cập được và không có lỗi tải trang nghiêm trọng.
Đăng nhập bằng đúng role nêu trong case; nếu case không nêu role thì dùng Workspace Admin.</x:v>
      </x:c>
      <x:c r="G27" s="38" t="str">
        <x:v>Project TEST; Epic P56-AUDIT-EPIC; Feature P56-AUDIT-FEATURE; Story/Defect liên kết và một record archived khi case yêu cầu.</x:v>
      </x:c>
      <x:c r="H27"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Portfolio &gt; Portfolio Items, choose Type Epic in All Teams.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7" s="38" t="str">
        <x:v>Epic root rows appear; Epic type badge and ID are visible</x:v>
      </x:c>
      <x:c r="J27" s="38" t="str">
        <x:v>Phase 5/01_Portfolio_Items/SRS.md</x:v>
      </x:c>
      <x:c r="K27" s="38" t="str">
        <x:v>Pass / BA accepted 2026-07-28.</x:v>
      </x:c>
      <x:c r="L27" s="51" t="str">
        <x:v>Pass</x:v>
      </x:c>
      <x:c r="M27" s="51" t="str">
        <x:v>Pass. DevInt behavior matched the Expected Result for the tested branch; prior approved evidence was retained where applicable.</x:v>
      </x:c>
      <x:c r="N27" s="51" t="str">
        <x:v>DevInt browser retest 2026-08-06; controlled P56-AUDIT data. Detail: 07_Testing Plan/Codex_audit_06_tracker.md &gt; Phase 5 DevInt Execution Results.</x:v>
      </x:c>
      <x:c r="O27" s="51"/>
      <x:c r="P27" s="51" t="str">
        <x:v>Codex — Workspace Admin</x:v>
      </x:c>
      <x:c r="Q27" s="51" t="str">
        <x:v>Pending BA confirmation</x:v>
      </x:c>
      <x:c r="R27" s="56" t="n">
        <x:v>46240</x:v>
      </x:c>
    </x:row>
    <x:row r="28">
      <x:c r="A28" s="45" t="str">
        <x:v>P5-PI-029</x:v>
      </x:c>
      <x:c r="B28" s="46" t="str">
        <x:v>Phase 5</x:v>
      </x:c>
      <x:c r="C28" s="46" t="str">
        <x:v>P5-PI - Portfolio Items</x:v>
      </x:c>
      <x:c r="D28" s="46" t="str">
        <x:v>P0</x:v>
      </x:c>
      <x:c r="E28" s="38" t="str">
        <x:v>Team context blocks Epic list</x:v>
      </x:c>
      <x:c r="F28" s="38" t="str">
        <x:v>DevInt truy cập được và không có lỗi tải trang nghiêm trọng.
Đăng nhập bằng đúng role nêu trong case; nếu case không nêu role thì dùng Workspace Admin.</x:v>
      </x:c>
      <x:c r="G28" s="38" t="str">
        <x:v>Project TEST; Epic P56-AUDIT-EPIC; Feature P56-AUDIT-FEATURE; Story/Defect liên kết và một record archived khi case yêu cầu.</x:v>
      </x:c>
      <x:c r="H28"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Select a specific Team while Type remains Epic.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8" s="38" t="str">
        <x:v>No Epic data is shown and the page states Filter not show item; choosing Type Feature shows that Team's Features</x:v>
      </x:c>
      <x:c r="J28" s="38" t="str">
        <x:v>Phase 5/01_Portfolio_Items/SRS.md</x:v>
      </x:c>
      <x:c r="K28" s="38" t="str">
        <x:v>Pass / BA accepted 2026-07-28.</x:v>
      </x:c>
      <x:c r="L28" s="51" t="str">
        <x:v>Pass</x:v>
      </x:c>
      <x:c r="M28" s="51" t="str">
        <x:v>Pass. DevInt behavior matched the Expected Result for the tested branch; prior approved evidence was retained where applicable.</x:v>
      </x:c>
      <x:c r="N28" s="51" t="str">
        <x:v>DevInt browser retest 2026-08-06; controlled P56-AUDIT data. Detail: 07_Testing Plan/Codex_audit_06_tracker.md &gt; Phase 5 DevInt Execution Results.</x:v>
      </x:c>
      <x:c r="O28" s="51"/>
      <x:c r="P28" s="51" t="str">
        <x:v>Codex — Workspace Admin</x:v>
      </x:c>
      <x:c r="Q28" s="51" t="str">
        <x:v>Pending BA confirmation</x:v>
      </x:c>
      <x:c r="R28" s="56" t="n">
        <x:v>46240</x:v>
      </x:c>
    </x:row>
    <x:row r="29">
      <x:c r="A29" s="45" t="str">
        <x:v>P5-PI-030</x:v>
      </x:c>
      <x:c r="B29" s="46" t="str">
        <x:v>Phase 5</x:v>
      </x:c>
      <x:c r="C29" s="46" t="str">
        <x:v>P5-PI - Portfolio Items</x:v>
      </x:c>
      <x:c r="D29" s="46" t="str">
        <x:v>P0</x:v>
      </x:c>
      <x:c r="E29" s="38" t="str">
        <x:v>New Epic create paths</x:v>
      </x:c>
      <x:c r="F29"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9" s="38" t="str">
        <x:v>Project TEST; Epic P56-AUDIT-EPIC; Feature P56-AUDIT-FEATURE; Story/Defect liên kết và một record archived khi case yêu cầu.</x:v>
      </x:c>
      <x:c r="H29"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Use New Portfolio Item &gt; New Epic, then Create Epic and Create with details.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9" s="38" t="str">
        <x:v>Epic is created at Project level with no Team or Release field; details path opens Epic Detail</x:v>
      </x:c>
      <x:c r="J29" s="38" t="str">
        <x:v>Phase 5/01_Portfolio_Items/SRS.md</x:v>
      </x:c>
      <x:c r="K29" s="38" t="str">
        <x:v>Pass / BA accepted 2026-07-28.</x:v>
      </x:c>
      <x:c r="L29" s="51" t="str">
        <x:v>Pass</x:v>
      </x:c>
      <x:c r="M29" s="51" t="str">
        <x:v>Pass. DevInt behavior matched the Expected Result for the tested branch; prior approved evidence was retained where applicable.</x:v>
      </x:c>
      <x:c r="N29" s="51" t="str">
        <x:v>DevInt browser retest 2026-08-06; controlled P56-AUDIT data. Detail: 07_Testing Plan/Codex_audit_06_tracker.md &gt; Phase 5 DevInt Execution Results.</x:v>
      </x:c>
      <x:c r="O29" s="51"/>
      <x:c r="P29" s="51" t="str">
        <x:v>Codex — Workspace Admin</x:v>
      </x:c>
      <x:c r="Q29" s="51" t="str">
        <x:v>Pending BA confirmation</x:v>
      </x:c>
      <x:c r="R29" s="56" t="n">
        <x:v>46240</x:v>
      </x:c>
    </x:row>
    <x:row r="30">
      <x:c r="A30" s="45" t="str">
        <x:v>P5-PI-031</x:v>
      </x:c>
      <x:c r="B30" s="46" t="str">
        <x:v>Phase 5</x:v>
      </x:c>
      <x:c r="C30" s="46" t="str">
        <x:v>P5-PI - Portfolio Items</x:v>
      </x:c>
      <x:c r="D30" s="46" t="str">
        <x:v>P0</x:v>
      </x:c>
      <x:c r="E30" s="38" t="str">
        <x:v>Feature parent Epic assignment</x:v>
      </x:c>
      <x:c r="F30"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0" s="38" t="str">
        <x:v>Project TEST; Epic P56-AUDIT-EPIC; Feature P56-AUDIT-FEATURE; Story/Defect liên kết và một record archived khi case yêu cầu.</x:v>
      </x:c>
      <x:c r="H30"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Create/edit a Feature and choose an Epic, then clear it back to Unassigned.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0" s="38" t="str">
        <x:v>Feature moves under the selected Epic in All Teams view; clearing Epic returns it to root Feature list</x:v>
      </x:c>
      <x:c r="J30" s="38" t="str">
        <x:v>Phase 5/01_Portfolio_Items/SRS.md</x:v>
      </x:c>
      <x:c r="K30" s="38" t="str">
        <x:v>Pass / BA accepted 2026-07-28.</x:v>
      </x:c>
      <x:c r="L30" s="51" t="str">
        <x:v>Pass</x:v>
      </x:c>
      <x:c r="M30" s="51" t="str">
        <x:v>Pass. DevInt behavior matched the Expected Result for the tested branch; prior approved evidence was retained where applicable.</x:v>
      </x:c>
      <x:c r="N30" s="51" t="str">
        <x:v>DevInt browser retest 2026-08-06; controlled P56-AUDIT data. Detail: 07_Testing Plan/Codex_audit_06_tracker.md &gt; Phase 5 DevInt Execution Results.</x:v>
      </x:c>
      <x:c r="O30" s="51"/>
      <x:c r="P30" s="51" t="str">
        <x:v>Codex — Workspace Admin</x:v>
      </x:c>
      <x:c r="Q30" s="51" t="str">
        <x:v>Pending BA confirmation</x:v>
      </x:c>
      <x:c r="R30" s="56" t="n">
        <x:v>46240</x:v>
      </x:c>
    </x:row>
    <x:row r="31">
      <x:c r="A31" s="45" t="str">
        <x:v>P5-PI-032</x:v>
      </x:c>
      <x:c r="B31" s="46" t="str">
        <x:v>Phase 5</x:v>
      </x:c>
      <x:c r="C31" s="46" t="str">
        <x:v>P5-PI - Portfolio Items</x:v>
      </x:c>
      <x:c r="D31" s="46" t="str">
        <x:v>P0</x:v>
      </x:c>
      <x:c r="E31" s="38" t="str">
        <x:v>Epic Detail and Children</x:v>
      </x:c>
      <x:c r="F31" s="38" t="str">
        <x:v>DevInt truy cập được và không có lỗi tải trang nghiêm trọng.
Đăng nhập bằng đúng role nêu trong case; nếu case không nêu role thì dùng Workspace Admin.</x:v>
      </x:c>
      <x:c r="G31" s="38" t="str">
        <x:v>Project TEST; Epic P56-AUDIT-EPIC; Feature P56-AUDIT-FEATURE; Story/Defect liên kết và một record archived khi case yêu cầu.</x:v>
      </x:c>
      <x:c r="H31"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an Epic Detail page and switch between Details and Children.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1" s="38" t="str">
        <x:v>Details reuses the Feature template without Release; Children lists child Features and Add Feature pre-fills the current Epic</x:v>
      </x:c>
      <x:c r="J31" s="38" t="str">
        <x:v>Phase 5/01_Portfolio_Items/SRS.md</x:v>
      </x:c>
      <x:c r="K31" s="38" t="str">
        <x:v>Pass / BA accepted 2026-07-28.</x:v>
      </x:c>
      <x:c r="L31" s="51" t="str">
        <x:v>Pass</x:v>
      </x:c>
      <x:c r="M31" s="51" t="str">
        <x:v>Pass. EP-1 detail/list showed one child Feature, FE-2, after reload.</x:v>
      </x:c>
      <x:c r="N31" s="51" t="str">
        <x:v>DevInt browser retest 2026-08-06; controlled P56-AUDIT data. Detail: 07_Testing Plan/Codex_audit_06_tracker.md &gt; Phase 5 DevInt Execution Results.</x:v>
      </x:c>
      <x:c r="O31" s="51"/>
      <x:c r="P31" s="51" t="str">
        <x:v>Codex — Workspace Admin</x:v>
      </x:c>
      <x:c r="Q31" s="51" t="str">
        <x:v>Pending BA confirmation</x:v>
      </x:c>
      <x:c r="R31" s="56" t="n">
        <x:v>46240</x:v>
      </x:c>
    </x:row>
    <x:row r="32">
      <x:c r="A32" s="45" t="str">
        <x:v>P5-PI-033</x:v>
      </x:c>
      <x:c r="B32" s="46" t="str">
        <x:v>Phase 5</x:v>
      </x:c>
      <x:c r="C32" s="46" t="str">
        <x:v>P5-PI - Portfolio Items</x:v>
      </x:c>
      <x:c r="D32" s="46" t="str">
        <x:v>P0</x:v>
      </x:c>
      <x:c r="E32" s="38" t="str">
        <x:v>Epic progress formulas</x:v>
      </x:c>
      <x:c r="F32" s="38" t="str">
        <x:v>DevInt truy cập được và không có lỗi tải trang nghiêm trọng.
Đăng nhập bằng đúng role nêu trong case; nếu case không nêu role thì dùng Workspace Admin.</x:v>
      </x:c>
      <x:c r="G32" s="38" t="str">
        <x:v>Project TEST; Epic P56-AUDIT-EPIC; Feature P56-AUDIT-FEATURE; Story/Defect liên kết và một record archived khi case yêu cầu.</x:v>
      </x:c>
      <x:c r="H32"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Open an Epic with child Features and linked Story/Defect leaf items.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2" s="38" t="str">
        <x:v>Four Epic progress bars roll up leaf Story/Defect through Features; Estimated Progress denominators use Epic-owned Refined/Preliminary estimates only</x:v>
      </x:c>
      <x:c r="J32" s="38" t="str">
        <x:v>Phase 5/01_Portfolio_Items/SRS.md</x:v>
      </x:c>
      <x:c r="K32" s="38" t="str">
        <x:v>Pass / BA accepted 2026-07-28.</x:v>
      </x:c>
      <x:c r="L32" s="51" t="str">
        <x:v>Partial</x:v>
      </x:c>
      <x:c r="M32" s="51" t="str">
        <x:v>Partial. The main available branch worked, but one or more branches could not be completed with the current scope/data.</x:v>
      </x:c>
      <x:c r="N32" s="51" t="str">
        <x:v>DevInt browser retest 2026-08-06; controlled P56-AUDIT data. Detail: 07_Testing Plan/Codex_audit_06_tracker.md &gt; Phase 5 DevInt Execution Results.</x:v>
      </x:c>
      <x:c r="O32" s="51" t="str">
        <x:v>Epic child presence was confirmed; formula coverage used only the available zero/simple denominator data.</x:v>
      </x:c>
      <x:c r="P32" s="51" t="str">
        <x:v>Codex — Workspace Admin</x:v>
      </x:c>
      <x:c r="Q32" s="51" t="str">
        <x:v>Pending BA confirmation</x:v>
      </x:c>
      <x:c r="R32" s="56" t="n">
        <x:v>46240</x:v>
      </x:c>
    </x:row>
    <x:row r="33">
      <x:c r="A33" s="45" t="str">
        <x:v>P5-PI-034</x:v>
      </x:c>
      <x:c r="B33" s="46" t="str">
        <x:v>Phase 5</x:v>
      </x:c>
      <x:c r="C33" s="46" t="str">
        <x:v>P5-PI - Portfolio Items</x:v>
      </x:c>
      <x:c r="D33" s="46" t="str">
        <x:v>P0</x:v>
      </x:c>
      <x:c r="E33" s="38" t="str">
        <x:v>Epic archive child guard</x:v>
      </x:c>
      <x:c r="F33"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3" s="38" t="str">
        <x:v>Project TEST; Epic P56-AUDIT-EPIC; Feature P56-AUDIT-FEATURE; Story/Defect liên kết và một record archived khi case yêu cầu.</x:v>
      </x:c>
      <x:c r="H33"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Try to archive an Epic that still has active child Features.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3" s="38" t="str">
        <x:v>Archive action is disabled/blocked without a persistent page banner; no child Feature is archived or removed</x:v>
      </x:c>
      <x:c r="J33" s="38" t="str">
        <x:v>Phase 5/01_Portfolio_Items/SRS.md</x:v>
      </x:c>
      <x:c r="K33" s="38" t="str">
        <x:v>Pass / BA accepted 2026-07-28.</x:v>
      </x:c>
      <x:c r="L33" s="51" t="str">
        <x:v>Pass</x:v>
      </x:c>
      <x:c r="M33" s="51" t="str">
        <x:v>Pass. Archive action was disabled for EP-1 while active child FE-2 existed.</x:v>
      </x:c>
      <x:c r="N33" s="51" t="str">
        <x:v>DevInt browser retest 2026-08-06; controlled P56-AUDIT data. Detail: 07_Testing Plan/Codex_audit_06_tracker.md &gt; Phase 5 DevInt Execution Results.</x:v>
      </x:c>
      <x:c r="O33" s="51"/>
      <x:c r="P33" s="51" t="str">
        <x:v>Codex — Workspace Admin</x:v>
      </x:c>
      <x:c r="Q33" s="51" t="str">
        <x:v>Pending BA confirmation</x:v>
      </x:c>
      <x:c r="R33" s="56" t="n">
        <x:v>46240</x:v>
      </x:c>
    </x:row>
    <x:row r="34">
      <x:c r="A34" s="45" t="str">
        <x:v>P5-PI-035</x:v>
      </x:c>
      <x:c r="B34" s="46" t="str">
        <x:v>Phase 5</x:v>
      </x:c>
      <x:c r="C34" s="46" t="str">
        <x:v>P5-PI - Portfolio Items</x:v>
      </x:c>
      <x:c r="D34" s="46" t="str">
        <x:v>P0</x:v>
      </x:c>
      <x:c r="E34" s="38" t="str">
        <x:v>Header Type selector</x:v>
      </x:c>
      <x:c r="F34" s="38" t="str">
        <x:v>DevInt truy cập được và không có lỗi tải trang nghiêm trọng.
Đăng nhập bằng đúng role nêu trong case; nếu case không nêu role thì dùng Workspace Admin.</x:v>
      </x:c>
      <x:c r="G34" s="38" t="str">
        <x:v>Project TEST; Epic P56-AUDIT-EPIC; Feature P56-AUDIT-FEATURE; Story/Defect liên kết và một record archived khi case yêu cầu.</x:v>
      </x:c>
      <x:c r="H34"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Inspect the Portfolio &gt; Portfolio Items breadcrumb/header.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4" s="38" t="str">
        <x:v>Label Type sits beside the breadcrumb and the selector has exactly Epic and Feature; there is no All option</x:v>
      </x:c>
      <x:c r="J34" s="38" t="str">
        <x:v>Phase 5/01_Portfolio_Items/SRS.md</x:v>
      </x:c>
      <x:c r="K34" s="38" t="str">
        <x:v>Pass / BA accepted 2026-07-28.</x:v>
      </x:c>
      <x:c r="L34" s="51" t="str">
        <x:v>Pass</x:v>
      </x:c>
      <x:c r="M34" s="51" t="str">
        <x:v>Pass. DevInt behavior matched the Expected Result for the tested branch; prior approved evidence was retained where applicable.</x:v>
      </x:c>
      <x:c r="N34" s="51" t="str">
        <x:v>DevInt browser retest 2026-08-06; controlled P56-AUDIT data. Detail: 07_Testing Plan/Codex_audit_06_tracker.md &gt; Phase 5 DevInt Execution Results.</x:v>
      </x:c>
      <x:c r="O34" s="51"/>
      <x:c r="P34" s="51" t="str">
        <x:v>Codex — Workspace Admin</x:v>
      </x:c>
      <x:c r="Q34" s="51" t="str">
        <x:v>Pending BA confirmation</x:v>
      </x:c>
      <x:c r="R34" s="56" t="n">
        <x:v>46240</x:v>
      </x:c>
    </x:row>
    <x:row r="35">
      <x:c r="A35" s="45" t="str">
        <x:v>P5-PI-036</x:v>
      </x:c>
      <x:c r="B35" s="46" t="str">
        <x:v>Phase 5</x:v>
      </x:c>
      <x:c r="C35" s="46" t="str">
        <x:v>P5-PI - Portfolio Items</x:v>
      </x:c>
      <x:c r="D35" s="46" t="str">
        <x:v>P0</x:v>
      </x:c>
      <x:c r="E35" s="38" t="str">
        <x:v>Search, create and Show Fields toolbar</x:v>
      </x:c>
      <x:c r="F3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5" s="38" t="str">
        <x:v>Project TEST; Epic P56-AUDIT-EPIC; Feature P56-AUDIT-FEATURE; Story/Defect liên kết và một record archived khi case yêu cầu.</x:v>
      </x:c>
      <x:c r="H35"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Search by ID/name, open New Portfolio Item, then toggle columns in Show Fields.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5" s="38" t="str">
        <x:v>Search filters current Type rows; create menu is beside Search; Show Fields changes visible columns; old archive selector and page title are absent</x:v>
      </x:c>
      <x:c r="J35" s="38" t="str">
        <x:v>Phase 5/01_Portfolio_Items/SRS.md</x:v>
      </x:c>
      <x:c r="K35" s="38" t="str">
        <x:v>Pass / BA accepted 2026-07-28.</x:v>
      </x:c>
      <x:c r="L35" s="51" t="str">
        <x:v>Pass</x:v>
      </x:c>
      <x:c r="M35" s="51" t="str">
        <x:v>Pass. DevInt behavior matched the Expected Result for the tested branch; prior approved evidence was retained where applicable.</x:v>
      </x:c>
      <x:c r="N35" s="51" t="str">
        <x:v>DevInt browser retest 2026-08-06; controlled P56-AUDIT data. Detail: 07_Testing Plan/Codex_audit_06_tracker.md &gt; Phase 5 DevInt Execution Results.</x:v>
      </x:c>
      <x:c r="O35" s="51"/>
      <x:c r="P35" s="51" t="str">
        <x:v>Codex — Workspace Admin</x:v>
      </x:c>
      <x:c r="Q35" s="51" t="str">
        <x:v>Pending BA confirmation</x:v>
      </x:c>
      <x:c r="R35" s="56" t="n">
        <x:v>46240</x:v>
      </x:c>
    </x:row>
    <x:row r="36">
      <x:c r="A36" s="45" t="str">
        <x:v>P5-PI-037</x:v>
      </x:c>
      <x:c r="B36" s="46" t="str">
        <x:v>Phase 5</x:v>
      </x:c>
      <x:c r="C36" s="46" t="str">
        <x:v>P5-PI - Portfolio Items</x:v>
      </x:c>
      <x:c r="D36" s="46" t="str">
        <x:v>P0</x:v>
      </x:c>
      <x:c r="E36" s="38" t="str">
        <x:v>Root-row bulk actions</x:v>
      </x:c>
      <x:c r="F36"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6" s="38" t="str">
        <x:v>Project TEST; Epic P56-AUDIT-EPIC; Feature P56-AUDIT-FEATURE; Story/Defect liên kết và một record archived khi case yêu cầu.</x:v>
      </x:c>
      <x:c r="H36"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Select one/many root rows and inspect Edit/Delete.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6" s="38" t="str">
        <x:v>Edit is enabled only for one row and opens its detail; Delete archives selected items and reports an Epic blocked by active children</x:v>
      </x:c>
      <x:c r="J36" s="38" t="str">
        <x:v>Phase 5/01_Portfolio_Items/SRS.md</x:v>
      </x:c>
      <x:c r="K36" s="38" t="str">
        <x:v>Pass / BA accepted 2026-07-28.</x:v>
      </x:c>
      <x:c r="L36" s="51" t="str">
        <x:v>Partial</x:v>
      </x:c>
      <x:c r="M36" s="51" t="str">
        <x:v>Partial. The main available branch worked, but one or more branches could not be completed with the current scope/data.</x:v>
      </x:c>
      <x:c r="N36" s="51" t="str">
        <x:v>DevInt browser retest 2026-08-06; controlled P56-AUDIT data. Detail: 07_Testing Plan/Codex_audit_06_tracker.md &gt; Phase 5 DevInt Execution Results.</x:v>
      </x:c>
      <x:c r="O36" s="51" t="str">
        <x:v>Root checkbox/bulk controls were visible; destructive bulk action was not executed.</x:v>
      </x:c>
      <x:c r="P36" s="51" t="str">
        <x:v>Codex — Workspace Admin</x:v>
      </x:c>
      <x:c r="Q36" s="51" t="str">
        <x:v>Pending BA confirmation</x:v>
      </x:c>
      <x:c r="R36" s="56" t="n">
        <x:v>46240</x:v>
      </x:c>
    </x:row>
    <x:row r="37">
      <x:c r="A37" s="45" t="str">
        <x:v>P5-PI-038</x:v>
      </x:c>
      <x:c r="B37" s="46" t="str">
        <x:v>Phase 5</x:v>
      </x:c>
      <x:c r="C37" s="46" t="str">
        <x:v>P5-PI - Portfolio Items</x:v>
      </x:c>
      <x:c r="D37" s="46" t="str">
        <x:v>P1</x:v>
      </x:c>
      <x:c r="E37" s="38" t="str">
        <x:v>Child Feature rank display</x:v>
      </x:c>
      <x:c r="F37" s="38" t="str">
        <x:v>DevInt truy cập được và không có lỗi tải trang nghiêm trọng.
Đăng nhập bằng đúng role nêu trong case; nếu case không nêu role thì dùng Workspace Admin.</x:v>
      </x:c>
      <x:c r="G37" s="38" t="str">
        <x:v>Project TEST; Epic P56-AUDIT-EPIC; Feature P56-AUDIT-FEATURE; Story/Defect liên kết và một record archived khi case yêu cầu.</x:v>
      </x:c>
      <x:c r="H37"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Expand an Epic with Feature children.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7" s="38" t="str">
        <x:v>Epic/root rows retain Rank; Feature child rows under the Epic have a blank Rank cell</x:v>
      </x:c>
      <x:c r="J37" s="38" t="str">
        <x:v>Phase 5/01_Portfolio_Items/SRS.md</x:v>
      </x:c>
      <x:c r="K37" s="38" t="str">
        <x:v>Pass / BA accepted 2026-07-28.</x:v>
      </x:c>
      <x:c r="L37" s="51" t="str">
        <x:v>Partial</x:v>
      </x:c>
      <x:c r="M37" s="51" t="str">
        <x:v>Partial. The main available branch worked, but one or more branches could not be completed with the current scope/data.</x:v>
      </x:c>
      <x:c r="N37" s="51" t="str">
        <x:v>DevInt browser retest 2026-08-06; controlled P56-AUDIT data. Detail: 07_Testing Plan/Codex_audit_06_tracker.md &gt; Phase 5 DevInt Execution Results.</x:v>
      </x:c>
      <x:c r="O37" s="51" t="str">
        <x:v>A single child Feature was available, so multi-child rank display was not compared.</x:v>
      </x:c>
      <x:c r="P37" s="51" t="str">
        <x:v>Codex — Workspace Admin</x:v>
      </x:c>
      <x:c r="Q37" s="51" t="str">
        <x:v>Pending BA confirmation</x:v>
      </x:c>
      <x:c r="R37" s="56" t="n">
        <x:v>46240</x:v>
      </x:c>
    </x:row>
    <x:row r="38">
      <x:c r="A38" s="45" t="str">
        <x:v>P5-PI-039</x:v>
      </x:c>
      <x:c r="B38" s="46" t="str">
        <x:v>Phase 5</x:v>
      </x:c>
      <x:c r="C38" s="46" t="str">
        <x:v>P5-PI - Portfolio Items</x:v>
      </x:c>
      <x:c r="D38" s="46" t="str">
        <x:v>P0</x:v>
      </x:c>
      <x:c r="E38" s="38" t="str">
        <x:v>Epic has no Release assignment</x:v>
      </x:c>
      <x:c r="F38"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8" s="38" t="str">
        <x:v>Project TEST; Epic P56-AUDIT-EPIC; Feature P56-AUDIT-FEATURE; Story/Defect liên kết và một record archived khi case yêu cầu.</x:v>
      </x:c>
      <x:c r="H38" s="38" t="str">
        <x:v>1. Mở https://rally-dev.qnsc.vn/ và xác nhận đúng tài khoản/role của case.
2. Chọn Workspace/Project/Team theo Test Data; ghi lại scope trước khi thao tác.
3. Mở Portfolio &gt; Portfolio Items; chụp trạng thái ban đầu nếu case liên quan UI, số liệu hoặc quyền.
4. Thực hiện nghiệp vụ: Inspect New Epic, Epic list row inline fields and Epic Detail right rail.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8" s="38" t="str">
        <x:v>New Epic and Epic Detail have no Release selector; Epic inline row has no Release editor and displays — in the shared Release column</x:v>
      </x:c>
      <x:c r="J38" s="38" t="str">
        <x:v>Phase 5/01_Portfolio_Items/SRS.md</x:v>
      </x:c>
      <x:c r="K38" s="38" t="str">
        <x:v>Pass / BA accepted 2026-07-28.</x:v>
      </x:c>
      <x:c r="L38" s="51" t="str">
        <x:v>Pass</x:v>
      </x:c>
      <x:c r="M38" s="51" t="str">
        <x:v>Pass. DevInt behavior matched the Expected Result for the tested branch; prior approved evidence was retained where applicable.</x:v>
      </x:c>
      <x:c r="N38" s="51" t="str">
        <x:v>DevInt browser retest 2026-08-06; controlled P56-AUDIT data. Detail: 07_Testing Plan/Codex_audit_06_tracker.md &gt; Phase 5 DevInt Execution Results.</x:v>
      </x:c>
      <x:c r="O38" s="51"/>
      <x:c r="P38" s="51" t="str">
        <x:v>Codex — Workspace Admin</x:v>
      </x:c>
      <x:c r="Q38" s="51" t="str">
        <x:v>Pending BA confirmation</x:v>
      </x:c>
      <x:c r="R38" s="56" t="n">
        <x:v>46240</x:v>
      </x:c>
    </x:row>
    <x:row r="39">
      <x:c r="A39" s="45" t="str">
        <x:v>P5-RT-001</x:v>
      </x:c>
      <x:c r="B39" s="46" t="str">
        <x:v>Phase 5</x:v>
      </x:c>
      <x:c r="C39" s="46" t="str">
        <x:v>P5-RT - Release Tracking</x:v>
      </x:c>
      <x:c r="D39" s="46" t="str">
        <x:v>P0</x:v>
      </x:c>
      <x:c r="E39" s="38" t="str">
        <x:v>Release Tracking scope disposition</x:v>
      </x:c>
      <x:c r="F39" s="38" t="str">
        <x:v>DevInt truy cập được và không có lỗi tải trang nghiêm trọng.
Đăng nhập bằng đúng role nêu trong case; nếu case không nêu role thì dùng Workspace Admin.</x:v>
      </x:c>
      <x:c r="G39" s="38" t="str">
        <x:v>1 Release có Direct Feature, Derived Feature và Unparented Story/Defect; Work Item ở Completed, Accepted và Release; có Plan Estimate.</x:v>
      </x:c>
      <x:c r="H39" s="38" t="str">
        <x:v>1. Mở https://rally-dev.qnsc.vn/ và xác nhận đúng tài khoản/role của case.
2. Chọn Workspace/Project/Team theo Test Data; ghi lại scope trước khi thao tác.
3. Mở P5-RT - Release Tracking; chụp trạng thái ban đầu nếu case liên quan UI, số liệu hoặc quyền.
4. Thực hiện nghiệp vụ: Inspect Phase 5 tracker, Product Plan, source of truth and handoff.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9" s="38" t="str">
        <x:v>Release Tracking is not required for Phase 5 close, no implementation is claimed, and future observation is routed to a separately confirmed Reports proposal</x:v>
      </x:c>
      <x:c r="J39" s="38" t="str">
        <x:v>Phase 5/PHASE5_DEV_HANDOFF.md</x:v>
      </x:c>
      <x:c r="K39" s="38" t="str">
        <x:v>Superseded / Not applicable 2026-07-28 by BA scope decision.</x:v>
      </x:c>
      <x:c r="L39" s="51" t="str">
        <x:v>Not Required</x:v>
      </x:c>
      <x:c r="M39" s="51" t="str">
        <x:v>Not Required. Scenario is superseded or outside the accepted active Phase 5 scope.</x:v>
      </x:c>
      <x:c r="N39" s="51" t="str">
        <x:v>DevInt browser retest 2026-08-06; controlled P56-AUDIT data. Detail: 07_Testing Plan/Codex_audit_06_tracker.md &gt; Phase 5 DevInt Execution Results.</x:v>
      </x:c>
      <x:c r="O39" s="51" t="str">
        <x:v>Retained for traceability only; do not treat as an active acceptance gate.</x:v>
      </x:c>
      <x:c r="P39" s="51" t="str">
        <x:v>Codex — Workspace Admin</x:v>
      </x:c>
      <x:c r="Q39" s="51" t="str">
        <x:v>Previously confirmed Not Required</x:v>
      </x:c>
      <x:c r="R39" s="56" t="n">
        <x:v>46240</x:v>
      </x:c>
    </x:row>
    <x:row r="40">
      <x:c r="A40" s="45" t="str">
        <x:v>P5-CP-001</x:v>
      </x:c>
      <x:c r="B40" s="46" t="str">
        <x:v>Phase 5</x:v>
      </x:c>
      <x:c r="C40" s="46" t="str">
        <x:v>P5-CP - Capacity Planning</x:v>
      </x:c>
      <x:c r="D40" s="46" t="str">
        <x:v>P0</x:v>
      </x:c>
      <x:c r="E40" s="38" t="str">
        <x:v>Capacity Planning navigation</x:v>
      </x:c>
      <x:c r="F40" s="38" t="str">
        <x:v>DevInt truy cập được và không có lỗi tải trang nghiêm trọng.
Đăng nhập bằng đúng role nêu trong case; nếu case không nêu role thì dùng Workspace Admin.</x:v>
      </x:c>
      <x:c r="G40" s="38" t="str">
        <x:v>Project TEST; 1 Release; ít nhất 2 Teams; 3 Features; một Feature chưa gán Team; số Capacity/Estimate có thể tính tay.</x:v>
      </x:c>
      <x:c r="H40"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Portfolio &gt; Capacity Planning as Workspace Admin in NXP.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0" s="38" t="str">
        <x:v>Capacity Plan list opens and shows ID, Name, Release, Status, Last Updated and Teams in Plan</x:v>
      </x:c>
      <x:c r="J40" s="38" t="str">
        <x:v>Phase 5/02_Capacity_Planning/SRS.md</x:v>
      </x:c>
      <x:c r="K40" s="38" t="str">
        <x:v>Pass (runtime smoke 2026-07-26)</x:v>
      </x:c>
      <x:c r="L40" s="51" t="str">
        <x:v>Pass</x:v>
      </x:c>
      <x:c r="M40" s="51" t="str">
        <x:v>Pass. DevInt behavior matched the Expected Result for the tested branch; prior approved evidence was retained where applicable.</x:v>
      </x:c>
      <x:c r="N40" s="51" t="str">
        <x:v>DevInt browser retest 2026-08-06; controlled P56-AUDIT data. Detail: 07_Testing Plan/Codex_audit_06_tracker.md &gt; Phase 5 DevInt Execution Results.</x:v>
      </x:c>
      <x:c r="O40" s="51"/>
      <x:c r="P40" s="51" t="str">
        <x:v>Codex — Workspace Admin</x:v>
      </x:c>
      <x:c r="Q40" s="51" t="str">
        <x:v>Pending BA confirmation</x:v>
      </x:c>
      <x:c r="R40" s="56" t="n">
        <x:v>46240</x:v>
      </x:c>
    </x:row>
    <x:row r="41">
      <x:c r="A41" s="45" t="str">
        <x:v>P5-CP-002</x:v>
      </x:c>
      <x:c r="B41" s="46" t="str">
        <x:v>Phase 5</x:v>
      </x:c>
      <x:c r="C41" s="46" t="str">
        <x:v>P5-CP - Capacity Planning</x:v>
      </x:c>
      <x:c r="D41" s="46" t="str">
        <x:v>P0</x:v>
      </x:c>
      <x:c r="E41" s="38" t="str">
        <x:v>New plan modal</x:v>
      </x:c>
      <x:c r="F41" s="38" t="str">
        <x:v>DevInt truy cập được và không có lỗi tải trang nghiêm trọng.
Đăng nhập bằng đúng role nêu trong case; nếu case không nêu role thì dùng Workspace Admin.
Có account và Project assignment tương ứng để kiểm tra quyền.</x:v>
      </x:c>
      <x:c r="G41" s="38" t="str">
        <x:v>Project TEST; 1 Release; ít nhất 2 Teams; 3 Features; một Feature chưa gán Team; số Capacity/Estimate có thể tính tay.</x:v>
      </x:c>
      <x:c r="H41"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Click Add New.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1" s="38" t="str">
        <x:v>Modal shows read-only Project scope, required Name, fixed Single Release, required Release, fixed Feature item type and selectable Points/Count view fixed after create</x:v>
      </x:c>
      <x:c r="J41" s="38" t="str">
        <x:v>Phase 5/02_Capacity_Planning/SRS.md</x:v>
      </x:c>
      <x:c r="K41" s="38" t="str">
        <x:v>Pass (build 2026-07-26; browser re-smoke pending after allocation revision)</x:v>
      </x:c>
      <x:c r="L41" s="51" t="str">
        <x:v>Pass</x:v>
      </x:c>
      <x:c r="M41" s="51" t="str">
        <x:v>Pass. DevInt behavior matched the Expected Result for the tested branch; prior approved evidence was retained where applicable.</x:v>
      </x:c>
      <x:c r="N41" s="51" t="str">
        <x:v>DevInt browser retest 2026-08-06; controlled P56-AUDIT data. Detail: 07_Testing Plan/Codex_audit_06_tracker.md &gt; Phase 5 DevInt Execution Results.</x:v>
      </x:c>
      <x:c r="O41" s="51"/>
      <x:c r="P41" s="51" t="str">
        <x:v>Codex — Workspace Admin</x:v>
      </x:c>
      <x:c r="Q41" s="51" t="str">
        <x:v>Pending BA confirmation</x:v>
      </x:c>
      <x:c r="R41" s="56" t="n">
        <x:v>46240</x:v>
      </x:c>
    </x:row>
    <x:row r="42">
      <x:c r="A42" s="45" t="str">
        <x:v>P5-CP-003</x:v>
      </x:c>
      <x:c r="B42" s="46" t="str">
        <x:v>Phase 5</x:v>
      </x:c>
      <x:c r="C42" s="46" t="str">
        <x:v>P5-CP - Capacity Planning</x:v>
      </x:c>
      <x:c r="D42" s="46" t="str">
        <x:v>P0</x:v>
      </x:c>
      <x:c r="E42" s="38" t="str">
        <x:v>Create plan uniqueness</x:v>
      </x:c>
      <x:c r="F42"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2" s="38" t="str">
        <x:v>Project TEST; 1 Release; ít nhất 2 Teams; 3 Features; một Feature chưa gán Team; số Capacity/Estimate có thể tính tay.</x:v>
      </x:c>
      <x:c r="H42"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Create a plan for NXP + Nexus Platform Q1 2025, then attempt another for the same Project+Release.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2" s="38" t="str">
        <x:v>First plan is created as Draft with no auto-added Teams/Features; duplicate create is blocked or disabled with a clear message</x:v>
      </x:c>
      <x:c r="J42" s="38" t="str">
        <x:v>Phase 5/02_Capacity_Planning/SRS.md</x:v>
      </x:c>
      <x:c r="K42" s="38" t="str">
        <x:v>Pending re-smoke</x:v>
      </x:c>
      <x:c r="L42" s="51" t="str">
        <x:v>Pass</x:v>
      </x:c>
      <x:c r="M42" s="51" t="str">
        <x:v>Pass. CP-1 was created for RE-1; a second plan was blocked with 'Every release in this project already has a plan.'</x:v>
      </x:c>
      <x:c r="N42" s="51" t="str">
        <x:v>DevInt browser retest 2026-08-06; controlled P56-AUDIT data. Detail: 07_Testing Plan/Codex_audit_06_tracker.md &gt; Phase 5 DevInt Execution Results.</x:v>
      </x:c>
      <x:c r="O42" s="51"/>
      <x:c r="P42" s="51" t="str">
        <x:v>Codex — Workspace Admin</x:v>
      </x:c>
      <x:c r="Q42" s="51" t="str">
        <x:v>Pending BA confirmation</x:v>
      </x:c>
      <x:c r="R42" s="56" t="n">
        <x:v>46240</x:v>
      </x:c>
    </x:row>
    <x:row r="43">
      <x:c r="A43" s="45" t="str">
        <x:v>P5-CP-004</x:v>
      </x:c>
      <x:c r="B43" s="46" t="str">
        <x:v>Phase 5</x:v>
      </x:c>
      <x:c r="C43" s="46" t="str">
        <x:v>P5-CP - Capacity Planning</x:v>
      </x:c>
      <x:c r="D43" s="46" t="str">
        <x:v>P0</x:v>
      </x:c>
      <x:c r="E43" s="38" t="str">
        <x:v>Teams by Total summary</x:v>
      </x:c>
      <x:c r="F43" s="38" t="str">
        <x:v>DevInt truy cập được và không có lỗi tải trang nghiêm trọng.
Đăng nhập bằng đúng role nêu trong case; nếu case không nêu role thì dùng Workspace Admin.</x:v>
      </x:c>
      <x:c r="G43" s="38" t="str">
        <x:v>Project TEST; 1 Release; ít nhất 2 Teams; 3 Features; một Feature chưa gán Team; số Capacity/Estimate có thể tính tay.</x:v>
      </x:c>
      <x:c r="H43"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a Draft plan.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3" s="38" t="str">
        <x:v>Detail shows Team rows with Feature count, composite progress bar, Complete, Rollup, Estimated and Capacity; Utilization and separate Demand columns are not shown</x:v>
      </x:c>
      <x:c r="J43" s="38" t="str">
        <x:v>Phase 5/02_Capacity_Planning/SRS.md</x:v>
      </x:c>
      <x:c r="K43" s="38" t="str">
        <x:v>Pass 2026-07-27: browser smoke on CP-001 after build</x:v>
      </x:c>
      <x:c r="L43" s="51" t="str">
        <x:v>Pass</x:v>
      </x:c>
      <x:c r="M43" s="51" t="str">
        <x:v>Pass. DevInt behavior matched the Expected Result for the tested branch; prior approved evidence was retained where applicable.</x:v>
      </x:c>
      <x:c r="N43" s="51" t="str">
        <x:v>DevInt browser retest 2026-08-06; controlled P56-AUDIT data. Detail: 07_Testing Plan/Codex_audit_06_tracker.md &gt; Phase 5 DevInt Execution Results.</x:v>
      </x:c>
      <x:c r="O43" s="51"/>
      <x:c r="P43" s="51" t="str">
        <x:v>Codex — Workspace Admin</x:v>
      </x:c>
      <x:c r="Q43" s="51" t="str">
        <x:v>Pending BA confirmation</x:v>
      </x:c>
      <x:c r="R43" s="56" t="n">
        <x:v>46240</x:v>
      </x:c>
    </x:row>
    <x:row r="44">
      <x:c r="A44" s="45" t="str">
        <x:v>P5-CP-005</x:v>
      </x:c>
      <x:c r="B44" s="46" t="str">
        <x:v>Phase 5</x:v>
      </x:c>
      <x:c r="C44" s="46" t="str">
        <x:v>P5-CP - Capacity Planning</x:v>
      </x:c>
      <x:c r="D44" s="46" t="str">
        <x:v>P0</x:v>
      </x:c>
      <x:c r="E44" s="38" t="str">
        <x:v>Manual capacity</x:v>
      </x:c>
      <x:c r="F4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4" s="38" t="str">
        <x:v>Project TEST; 1 Release; ít nhất 2 Teams; 3 Features; một Feature chưa gán Team; số Capacity/Estimate có thể tính tay.</x:v>
      </x:c>
      <x:c r="H44"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Edit a Team Capacity in Draft.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4" s="38" t="str">
        <x:v>Capacity updates without changing allocation values or live Feature estimates; demand-vs-capacity warning is advisory</x:v>
      </x:c>
      <x:c r="J44" s="38" t="str">
        <x:v>Phase 5/02_Capacity_Planning/SRS.md</x:v>
      </x:c>
      <x:c r="K44" s="38" t="str">
        <x:v>Pending re-smoke</x:v>
      </x:c>
      <x:c r="L44" s="51" t="str">
        <x:v>Fail</x:v>
      </x:c>
      <x:c r="M44" s="51" t="str">
        <x:v>Fail. Draft Team Capacity is text only ('Not entered' or '30 points'); there is no manual inline editor. Capacity can only be populated through Forecast.</x:v>
      </x:c>
      <x:c r="N44" s="51" t="str">
        <x:v>DevInt browser retest 2026-08-06; controlled P56-AUDIT data. Detail: 07_Testing Plan/Codex_audit_06_tracker.md &gt; Phase 5 DevInt Execution Results.</x:v>
      </x:c>
      <x:c r="O44" s="51" t="str">
        <x:v>Restore Draft-only manual Capacity editing without changing allocation or Feature estimates.</x:v>
      </x:c>
      <x:c r="P44" s="51" t="str">
        <x:v>Codex — Workspace Admin</x:v>
      </x:c>
      <x:c r="Q44" s="51" t="str">
        <x:v>Pending BA confirmation</x:v>
      </x:c>
      <x:c r="R44" s="56" t="n">
        <x:v>46240</x:v>
      </x:c>
    </x:row>
    <x:row r="45">
      <x:c r="A45" s="45" t="str">
        <x:v>P5-CP-006</x:v>
      </x:c>
      <x:c r="B45" s="46" t="str">
        <x:v>Phase 5</x:v>
      </x:c>
      <x:c r="C45" s="46" t="str">
        <x:v>P5-CP - Capacity Planning</x:v>
      </x:c>
      <x:c r="D45" s="46" t="str">
        <x:v>P0</x:v>
      </x:c>
      <x:c r="E45" s="38" t="str">
        <x:v>Add/Remove Teams</x:v>
      </x:c>
      <x:c r="F4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5" s="38" t="str">
        <x:v>Project TEST; 1 Release; ít nhất 2 Teams; 3 Features; một Feature chưa gán Team; số Capacity/Estimate có thể tính tay.</x:v>
      </x:c>
      <x:c r="H45"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Add Teams from Project Breakdown, remove a Team and add it back.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5" s="38" t="str">
        <x:v>Added Teams appear as leaf Project/Team rows; removed Team disappears; its allocation rows return to Unallocated; adding it restores the Team row</x:v>
      </x:c>
      <x:c r="J45" s="38" t="str">
        <x:v>Phase 5/02_Capacity_Planning/SRS.md</x:v>
      </x:c>
      <x:c r="K45" s="38" t="str">
        <x:v>Pending re-smoke</x:v>
      </x:c>
      <x:c r="L45" s="51" t="str">
        <x:v>Partial</x:v>
      </x:c>
      <x:c r="M45" s="51" t="str">
        <x:v>Partial. The main available branch worked, but one or more branches could not be completed with the current scope/data.</x:v>
      </x:c>
      <x:c r="N45" s="51" t="str">
        <x:v>DevInt browser retest 2026-08-06; controlled P56-AUDIT data. Detail: 07_Testing Plan/Codex_audit_06_tracker.md &gt; Phase 5 DevInt Execution Results.</x:v>
      </x:c>
      <x:c r="O45" s="51" t="str">
        <x:v>Add Team was tested. Remove-and-restore was not repeated because Pegasus owns the active allocation.</x:v>
      </x:c>
      <x:c r="P45" s="51" t="str">
        <x:v>Codex — Workspace Admin</x:v>
      </x:c>
      <x:c r="Q45" s="51" t="str">
        <x:v>Pending BA confirmation</x:v>
      </x:c>
      <x:c r="R45" s="56" t="n">
        <x:v>46240</x:v>
      </x:c>
    </x:row>
    <x:row r="46">
      <x:c r="A46" s="45" t="str">
        <x:v>P5-CP-007</x:v>
      </x:c>
      <x:c r="B46" s="46" t="str">
        <x:v>Phase 5</x:v>
      </x:c>
      <x:c r="C46" s="46" t="str">
        <x:v>P5-CP - Capacity Planning</x:v>
      </x:c>
      <x:c r="D46" s="46" t="str">
        <x:v>P0</x:v>
      </x:c>
      <x:c r="E46" s="38" t="str">
        <x:v>Add Features to Team</x:v>
      </x:c>
      <x:c r="F46" s="38" t="str">
        <x:v>DevInt truy cập được và không có lỗi tải trang nghiêm trọng.
Đăng nhập bằng đúng role nêu trong case; nếu case không nêu role thì dùng Workspace Admin.</x:v>
      </x:c>
      <x:c r="G46" s="38" t="str">
        <x:v>Project TEST; 1 Release; ít nhất 2 Teams; 3 Features; một Feature chưa gán Team; số Capacity/Estimate có thể tính tay.</x:v>
      </x:c>
      <x:c r="H46"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Expand a Team row, open Add Features, and add an eligible Feature.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6" s="38" t="str">
        <x:v>Only same-Project, active, non-Cancelled Features with Unscheduled or matching Release appear; modal excludes Features already allocated to that Team; selecting a not-in-plan Feature creates a Team allocation row with default value 0; selecting an Unallocated Feature moves it to the Team; selecting a Feature allocated to another Team creates a split allocation row</x:v>
      </x:c>
      <x:c r="J46" s="38" t="str">
        <x:v>Phase 5/02_Capacity_Planning/SRS.md</x:v>
      </x:c>
      <x:c r="K46" s="38" t="str">
        <x:v>Pending re-smoke after 2026-07-27 amendment</x:v>
      </x:c>
      <x:c r="L46" s="51" t="str">
        <x:v>Pass</x:v>
      </x:c>
      <x:c r="M46" s="51" t="str">
        <x:v>Pass. Team-level Add Features listed FE-2 as Added and added FE-3 to Pegasus.</x:v>
      </x:c>
      <x:c r="N46" s="51" t="str">
        <x:v>DevInt browser retest 2026-08-06; controlled P56-AUDIT data. Detail: 07_Testing Plan/Codex_audit_06_tracker.md &gt; Phase 5 DevInt Execution Results.</x:v>
      </x:c>
      <x:c r="O46" s="51"/>
      <x:c r="P46" s="51" t="str">
        <x:v>Codex — Workspace Admin</x:v>
      </x:c>
      <x:c r="Q46" s="51" t="str">
        <x:v>Pending BA confirmation</x:v>
      </x:c>
      <x:c r="R46" s="56" t="n">
        <x:v>46240</x:v>
      </x:c>
    </x:row>
    <x:row r="47">
      <x:c r="A47" s="45" t="str">
        <x:v>P5-CP-008</x:v>
      </x:c>
      <x:c r="B47" s="46" t="str">
        <x:v>Phase 5</x:v>
      </x:c>
      <x:c r="C47" s="46" t="str">
        <x:v>P5-CP - Capacity Planning</x:v>
      </x:c>
      <x:c r="D47" s="46" t="str">
        <x:v>P0</x:v>
      </x:c>
      <x:c r="E47" s="38" t="str">
        <x:v>Assign and split allocation</x:v>
      </x:c>
      <x:c r="F47"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7" s="38" t="str">
        <x:v>Project TEST; 1 Release; ít nhất 2 Teams; 3 Features; một Feature chưa gán Team; số Capacity/Estimate có thể tính tay.</x:v>
      </x:c>
      <x:c r="H47"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Assign an unallocated allocation row to a Team, then split it to another Team.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7" s="38" t="str">
        <x:v>Feature may have multiple allocation rows; Team Demand uses allocation.value; split allocation creates another editable row with default value 0</x:v>
      </x:c>
      <x:c r="J47" s="38" t="str">
        <x:v>Phase 5/02_Capacity_Planning/SRS.md</x:v>
      </x:c>
      <x:c r="K47" s="38" t="str">
        <x:v>Pending re-smoke</x:v>
      </x:c>
      <x:c r="L47" s="51" t="str">
        <x:v>Partial</x:v>
      </x:c>
      <x:c r="M47" s="51" t="str">
        <x:v>Partial. The main available branch worked, but one or more branches could not be completed with the current scope/data.</x:v>
      </x:c>
      <x:c r="N47" s="51" t="str">
        <x:v>DevInt browser retest 2026-08-06; controlled P56-AUDIT data. Detail: 07_Testing Plan/Codex_audit_06_tracker.md &gt; Phase 5 DevInt Execution Results.</x:v>
      </x:c>
      <x:c r="O47" s="51" t="str">
        <x:v>Single-Team allocation was tested; split allocation requires a second usable Team.</x:v>
      </x:c>
      <x:c r="P47" s="51" t="str">
        <x:v>Codex — Workspace Admin</x:v>
      </x:c>
      <x:c r="Q47" s="51" t="str">
        <x:v>Pending BA confirmation</x:v>
      </x:c>
      <x:c r="R47" s="56" t="n">
        <x:v>46240</x:v>
      </x:c>
    </x:row>
    <x:row r="48">
      <x:c r="A48" s="45" t="str">
        <x:v>P5-CP-009</x:v>
      </x:c>
      <x:c r="B48" s="46" t="str">
        <x:v>Phase 5</x:v>
      </x:c>
      <x:c r="C48" s="46" t="str">
        <x:v>P5-CP - Capacity Planning</x:v>
      </x:c>
      <x:c r="D48" s="46" t="str">
        <x:v>P0</x:v>
      </x:c>
      <x:c r="E48" s="38" t="str">
        <x:v>Expanded Feature list</x:v>
      </x:c>
      <x:c r="F48" s="38" t="str">
        <x:v>DevInt truy cập được và không có lỗi tải trang nghiêm trọng.
Đăng nhập bằng đúng role nêu trong case; nếu case không nêu role thì dùng Workspace Admin.</x:v>
      </x:c>
      <x:c r="G48" s="38" t="str">
        <x:v>Project TEST; 1 Release; ít nhất 2 Teams; 3 Features; một Feature chưa gán Team; số Capacity/Estimate có thể tính tay.</x:v>
      </x:c>
      <x:c r="H48"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Expand a Team row.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8" s="38" t="str">
        <x:v>Feature list shows Rank, ID, Name, State, composite progress bar, Complete, editable Rollup allocation and Estimated; no Warning or Dependencies column appears; Complete/Rollup/Estimated align with the Team row and the expanded table ends before the Team Capacity column</x:v>
      </x:c>
      <x:c r="J48" s="38" t="str">
        <x:v>Phase 5/02_Capacity_Planning/SRS.md</x:v>
      </x:c>
      <x:c r="K48" s="38" t="str">
        <x:v>Pass 2026-07-27: browser smoke on CP-001 / Data &amp; Reporting expanded row</x:v>
      </x:c>
      <x:c r="L48" s="51" t="str">
        <x:v>Pass</x:v>
      </x:c>
      <x:c r="M48" s="51" t="str">
        <x:v>Pass. DevInt behavior matched the Expected Result for the tested branch; prior approved evidence was retained where applicable.</x:v>
      </x:c>
      <x:c r="N48" s="51" t="str">
        <x:v>DevInt browser retest 2026-08-06; controlled P56-AUDIT data. Detail: 07_Testing Plan/Codex_audit_06_tracker.md &gt; Phase 5 DevInt Execution Results.</x:v>
      </x:c>
      <x:c r="O48" s="51"/>
      <x:c r="P48" s="51" t="str">
        <x:v>Codex — Workspace Admin</x:v>
      </x:c>
      <x:c r="Q48" s="51" t="str">
        <x:v>Pending BA confirmation</x:v>
      </x:c>
      <x:c r="R48" s="56" t="n">
        <x:v>46240</x:v>
      </x:c>
    </x:row>
    <x:row r="49">
      <x:c r="A49" s="45" t="str">
        <x:v>P5-CP-013</x:v>
      </x:c>
      <x:c r="B49" s="46" t="str">
        <x:v>Phase 5</x:v>
      </x:c>
      <x:c r="C49" s="46" t="str">
        <x:v>P5-CP - Capacity Planning</x:v>
      </x:c>
      <x:c r="D49" s="46" t="str">
        <x:v>P0</x:v>
      </x:c>
      <x:c r="E49" s="38" t="str">
        <x:v>Capacity progress hover breakdown</x:v>
      </x:c>
      <x:c r="F49" s="38" t="str">
        <x:v>DevInt truy cập được và không có lỗi tải trang nghiêm trọng.
Đăng nhập bằng đúng role nêu trong case; nếu case không nêu role thì dùng Workspace Admin.</x:v>
      </x:c>
      <x:c r="G49" s="38" t="str">
        <x:v>Project TEST; 1 Release; ít nhất 2 Teams; 3 Features; một Feature chưa gán Team; số Capacity/Estimate có thể tính tay.</x:v>
      </x:c>
      <x:c r="H49"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Hover the Team progress bar and a Feature progress bar inside the Team expansion.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9" s="38" t="str">
        <x:v>Team tooltip shows Complete, Rollup, Estimated and Capacity/base; Feature tooltip shows Complete, Rollup and Estimated without Capacity; tooltip overlays above the grid/list instead of being clipped by table overflow</x:v>
      </x:c>
      <x:c r="J49" s="38" t="str">
        <x:v>Phase 5/02_Capacity_Planning/SRS.md</x:v>
      </x:c>
      <x:c r="K49" s="38" t="str">
        <x:v>Pass 2026-07-27: browser smoke verified tooltip content by focus/click interaction. Re-smoked 2026-07-28 under P5-CP-030 for fixed overlay and warnings</x:v>
      </x:c>
      <x:c r="L49" s="51" t="str">
        <x:v>Not Run</x:v>
      </x:c>
      <x:c r="M49" s="51" t="str">
        <x:v>Not Run in the 2026-08-06 DevInt session.</x:v>
      </x:c>
      <x:c r="N49" s="51" t="str">
        <x:v>DevInt browser retest 2026-08-06; controlled P56-AUDIT data. Detail: 07_Testing Plan/Codex_audit_06_tracker.md &gt; Phase 5 DevInt Execution Results.</x:v>
      </x:c>
      <x:c r="O49" s="51" t="str">
        <x:v>Tooltip branch was not executed in this run.</x:v>
      </x:c>
      <x:c r="P49" s="51" t="str">
        <x:v>Codex — Workspace Admin</x:v>
      </x:c>
      <x:c r="Q49" s="51" t="str">
        <x:v>Pending test precondition</x:v>
      </x:c>
      <x:c r="R49" s="56" t="n">
        <x:v>46240</x:v>
      </x:c>
    </x:row>
    <x:row r="50">
      <x:c r="A50" s="45" t="str">
        <x:v>P5-CP-014</x:v>
      </x:c>
      <x:c r="B50" s="46" t="str">
        <x:v>Phase 5</x:v>
      </x:c>
      <x:c r="C50" s="46" t="str">
        <x:v>P5-CP - Capacity Planning</x:v>
      </x:c>
      <x:c r="D50" s="46" t="str">
        <x:v>P0</x:v>
      </x:c>
      <x:c r="E50" s="38" t="str">
        <x:v>Record-detail tab state</x:v>
      </x:c>
      <x:c r="F50" s="38" t="str">
        <x:v>DevInt truy cập được và không có lỗi tải trang nghiêm trọng.
Đăng nhập bằng đúng role nêu trong case; nếu case không nêu role thì dùng Workspace Admin.</x:v>
      </x:c>
      <x:c r="G50" s="38" t="str">
        <x:v>Project TEST; 1 Release; ít nhất 2 Teams; 3 Features; một Feature chưa gán Team; số Capacity/Estimate có thể tính tay.</x:v>
      </x:c>
      <x:c r="H50"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a Plan record, select Features, choose a sort, switch to Teams by Total, then return.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0" s="38" t="str">
        <x:v>Both Teams by Total and Features are available; each preserves its own selected sort while the record is open</x:v>
      </x:c>
      <x:c r="J50" s="38" t="str">
        <x:v>Phase 5/02_Capacity_Planning/SRS.md</x:v>
      </x:c>
      <x:c r="K50" s="38" t="str">
        <x:v>Pass 2026-07-27: CP-001. Teams by Total set to Capacity (row order became 10/8/5, proving the sort actually applied and not just the label - Core Platform capacity was first lowered 13 -&gt; 5 because the seeded 13/10/8 values happened to make name-sort and capacity-sort identical). Features set to Estimated, which also surfaced the footer hint Capacity cutline is hidden while sorted by estimated; sort by Rank to view it.. Switching Features -&gt; Teams by Total -&gt; Features preserved Capacity + 10/8/5 order and Estimated + the cutline hint independently. Note: leaving the record entirely (to Portfolio Items) and reopening resets both tabs to default sort, which matches the documented scope "while the record is open"</x:v>
      </x:c>
      <x:c r="L50" s="51" t="str">
        <x:v>Partial</x:v>
      </x:c>
      <x:c r="M50" s="51" t="str">
        <x:v>Partial. The main available branch worked, but one or more branches could not be completed with the current scope/data.</x:v>
      </x:c>
      <x:c r="N50" s="51" t="str">
        <x:v>DevInt browser retest 2026-08-06; controlled P56-AUDIT data. Detail: 07_Testing Plan/Codex_audit_06_tracker.md &gt; Phase 5 DevInt Execution Results.</x:v>
      </x:c>
      <x:c r="O50" s="51" t="str">
        <x:v>Both tabs worked; independent sort persistence was not fully exercised.</x:v>
      </x:c>
      <x:c r="P50" s="51" t="str">
        <x:v>Codex — Workspace Admin</x:v>
      </x:c>
      <x:c r="Q50" s="51" t="str">
        <x:v>Pending BA confirmation</x:v>
      </x:c>
      <x:c r="R50" s="56" t="n">
        <x:v>46240</x:v>
      </x:c>
    </x:row>
    <x:row r="51">
      <x:c r="A51" s="45" t="str">
        <x:v>P5-CP-015</x:v>
      </x:c>
      <x:c r="B51" s="46" t="str">
        <x:v>Phase 5</x:v>
      </x:c>
      <x:c r="C51" s="46" t="str">
        <x:v>P5-CP - Capacity Planning</x:v>
      </x:c>
      <x:c r="D51" s="46" t="str">
        <x:v>P0</x:v>
      </x:c>
      <x:c r="E51" s="38" t="str">
        <x:v>Features allocation and cutline</x:v>
      </x:c>
      <x:c r="F51" s="38" t="str">
        <x:v>DevInt truy cập được và không có lỗi tải trang nghiêm trọng.
Đăng nhập bằng đúng role nêu trong case; nếu case không nêu role thì dùng Workspace Admin.</x:v>
      </x:c>
      <x:c r="G51" s="38" t="str">
        <x:v>Project TEST; 1 Release; ít nhất 2 Teams; 3 Features; một Feature chưa gán Team; số Capacity/Estimate có thể tính tay.</x:v>
      </x:c>
      <x:c r="H51"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In the Features tab, sort by Rank, allocate a Feature to two Teams with one blank and one manual Estimate, then change sort.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1" s="38" t="str">
        <x:v>Rank view shows a cutline at the first cumulative top-down estimate reaching plan Capacity; blank Estimate uses the refined Feature estimate as a fixed source-labeled allocation; manual Estimate stays fixed; split Team subrows appear; cutline hides for non-Rank sort</x:v>
      </x:c>
      <x:c r="J51" s="38" t="str">
        <x:v>Phase 5/02_Capacity_Planning/SRS.md</x:v>
      </x:c>
      <x:c r="K51" s="38" t="str">
        <x:v>Pending browser smoke after record-detail v2</x:v>
      </x:c>
      <x:c r="L51" s="51" t="str">
        <x:v>Partial</x:v>
      </x:c>
      <x:c r="M51" s="51" t="str">
        <x:v>Partial. The main available branch worked, but one or more branches could not be completed with the current scope/data.</x:v>
      </x:c>
      <x:c r="N51" s="51" t="str">
        <x:v>DevInt browser retest 2026-08-06; controlled P56-AUDIT data. Detail: 07_Testing Plan/Codex_audit_06_tracker.md &gt; Phase 5 DevInt Execution Results.</x:v>
      </x:c>
      <x:c r="O51" s="51" t="str">
        <x:v>Allocation and estimate display were tested; split allocation and capacity cutline branches were not.</x:v>
      </x:c>
      <x:c r="P51" s="51" t="str">
        <x:v>Codex — Workspace Admin</x:v>
      </x:c>
      <x:c r="Q51" s="51" t="str">
        <x:v>Pending BA confirmation</x:v>
      </x:c>
      <x:c r="R51" s="56" t="n">
        <x:v>46240</x:v>
      </x:c>
    </x:row>
    <x:row r="52">
      <x:c r="A52" s="45" t="str">
        <x:v>P5-CP-016</x:v>
      </x:c>
      <x:c r="B52" s="46" t="str">
        <x:v>Phase 5</x:v>
      </x:c>
      <x:c r="C52" s="46" t="str">
        <x:v>P5-CP - Capacity Planning</x:v>
      </x:c>
      <x:c r="D52" s="46" t="str">
        <x:v>P1</x:v>
      </x:c>
      <x:c r="E52" s="38" t="str">
        <x:v>Capacity forecast</x:v>
      </x:c>
      <x:c r="F52" s="38" t="str">
        <x:v>DevInt truy cập được và không có lỗi tải trang nghiêm trọng.
Đăng nhập bằng đúng role nêu trong case; nếu case không nêu role thì dùng Workspace Admin.</x:v>
      </x:c>
      <x:c r="G52" s="38" t="str">
        <x:v>Project TEST; 1 Release; ít nhất 2 Teams; 3 Features; một Feature chưa gán Team; số Capacity/Estimate có thể tính tay.</x:v>
      </x:c>
      <x:c r="H52"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In Draft, open Calculate Capacity Forecast and apply a forecast.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2" s="38" t="str">
        <x:v>Suggested capacities update Team rows optimistically and remain editable; the control is unavailable after Publish</x:v>
      </x:c>
      <x:c r="J52" s="38" t="str">
        <x:v>Phase 5/02_Capacity_Planning/SRS.md</x:v>
      </x:c>
      <x:c r="K52" s="38" t="str">
        <x:v>Pass 2026-07-27: CP-001. Dialog states it is a Draft-only aid and that capacities may be overwritten afterwards. Changing Historic velocity/team from 24 to 30 recomputed the proposal live (24/19/22 -&gt; 30/24/27). Apply wrote Core Platform 5 -&gt; 30, Data &amp; Reporting 10 -&gt; 27, Identity &amp; Access 8 -&gt; 24; plan Capacity total 23 -&gt; 81 and Rollup percentages rebased (Core Platform 3 pts read 60% of 5, then 10% of 30). Demand stayed 8, confirming forecast touches Capacity only and never allocation values. Values remained editable after apply (Identity &amp; Access 24 -&gt; 12, total 81 -&gt; 69). Control absence after Publish verified in P5-CP-010</x:v>
      </x:c>
      <x:c r="L52" s="51" t="str">
        <x:v>Pass</x:v>
      </x:c>
      <x:c r="M52" s="51" t="str">
        <x:v>Pass. With matching plan dates, velocity 10 over three iterations proposed and applied Capacity 30.</x:v>
      </x:c>
      <x:c r="N52" s="51" t="str">
        <x:v>DevInt browser retest 2026-08-06; controlled P56-AUDIT data. Detail: 07_Testing Plan/Codex_audit_06_tracker.md &gt; Phase 5 DevInt Execution Results.</x:v>
      </x:c>
      <x:c r="O52" s="51"/>
      <x:c r="P52" s="51" t="str">
        <x:v>Codex — Workspace Admin</x:v>
      </x:c>
      <x:c r="Q52" s="51" t="str">
        <x:v>Pending BA confirmation</x:v>
      </x:c>
      <x:c r="R52" s="56" t="n">
        <x:v>46240</x:v>
      </x:c>
    </x:row>
    <x:row r="53">
      <x:c r="A53" s="45" t="str">
        <x:v>P5-CP-017</x:v>
      </x:c>
      <x:c r="B53" s="46" t="str">
        <x:v>Phase 5</x:v>
      </x:c>
      <x:c r="C53" s="46" t="str">
        <x:v>P5-CP - Capacity Planning</x:v>
      </x:c>
      <x:c r="D53" s="46" t="str">
        <x:v>P0</x:v>
      </x:c>
      <x:c r="E53" s="38" t="str">
        <x:v>Features-tab Add Feature and Team Capacity rail</x:v>
      </x:c>
      <x:c r="F53" s="38" t="str">
        <x:v>DevInt truy cập được và không có lỗi tải trang nghiêm trọng.
Đăng nhập bằng đúng role nêu trong case; nếu case không nêu role thì dùng Workspace Admin.</x:v>
      </x:c>
      <x:c r="G53" s="38" t="str">
        <x:v>Project TEST; 1 Release; ít nhất 2 Teams; 3 Features; một Feature chưa gán Team; số Capacity/Estimate có thể tính tay.</x:v>
      </x:c>
      <x:c r="H53"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Features, use Add Feature, then inspect the Team Capacity rail.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3" s="38" t="str">
        <x:v>Add Feature lists only eligible Features absent from the Plan and adds them as Not assigned rows; Team Capacity shows every Plan Team with fixed demand / capacity and overload warning</x:v>
      </x:c>
      <x:c r="J53" s="38" t="str">
        <x:v>Phase 5/02_Capacity_Planning/SRS.md</x:v>
      </x:c>
      <x:c r="K53" s="38" t="str">
        <x:v>Pass 2026-07-27: the seed-data blocker was resolved by creating the precondition through the product itself instead of editing seed data - a new NXP Feature FE-323 UAT Probe - Capacity Add Feature (Release Unscheduled, so eligible) was created via Portfolio Items &gt; New Feature. Before: dialog showed No matching Features found / 0 items and the header read 2 Eligible. After: header read 3 Eligible, and the dialog listed only FE-323 with Allocation Not in plan while correctly excluding FE-318 and FE-315 (already in the Plan). Adding it produced a Not assigned Features row with Rank — and Estimated Not refined; plan counters moved 2 -&gt; 3 Features and 1 -&gt; 2 Unassigned; Teams by Total showed it under Unallocated Features in Plan with value 0 and 2 allocation rows waiting for Team; Team Capacity rail and header Demand 8 were unchanged, confirming no Team was auto-assigned and no demand was invented</x:v>
      </x:c>
      <x:c r="L53" s="51" t="str">
        <x:v>Pass</x:v>
      </x:c>
      <x:c r="M53" s="51" t="str">
        <x:v>Pass. DevInt behavior matched the Expected Result for the tested branch; prior approved evidence was retained where applicable.</x:v>
      </x:c>
      <x:c r="N53" s="51" t="str">
        <x:v>DevInt browser retest 2026-08-06; controlled P56-AUDIT data. Detail: 07_Testing Plan/Codex_audit_06_tracker.md &gt; Phase 5 DevInt Execution Results.</x:v>
      </x:c>
      <x:c r="O53" s="51"/>
      <x:c r="P53" s="51" t="str">
        <x:v>Codex — Workspace Admin</x:v>
      </x:c>
      <x:c r="Q53" s="51" t="str">
        <x:v>Pending BA confirmation</x:v>
      </x:c>
      <x:c r="R53" s="56" t="n">
        <x:v>46240</x:v>
      </x:c>
    </x:row>
    <x:row r="54">
      <x:c r="A54" s="45" t="str">
        <x:v>P5-CP-010</x:v>
      </x:c>
      <x:c r="B54" s="46" t="str">
        <x:v>Phase 5</x:v>
      </x:c>
      <x:c r="C54" s="46" t="str">
        <x:v>P5-CP - Capacity Planning</x:v>
      </x:c>
      <x:c r="D54" s="46" t="str">
        <x:v>P0</x:v>
      </x:c>
      <x:c r="E54" s="38" t="str">
        <x:v>Publish behavior</x:v>
      </x:c>
      <x:c r="F5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4" s="38" t="str">
        <x:v>Project TEST; 1 Release; ít nhất 2 Teams; 3 Features; một Feature chưa gán Team; số Capacity/Estimate có thể tính tay.</x:v>
      </x:c>
      <x:c r="H54"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Try both publish actions.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4" s="38" t="str">
        <x:v>Publish Without Updating Fields changes plan visibility/status only; Publish also writes Release and planned dates to allocated Features, never overwrites Feature Project/Team, and does not cascade to child Story/Defect</x:v>
      </x:c>
      <x:c r="J54" s="38" t="str">
        <x:v>Phase 5/02_Capacity_Planning/SRS.md</x:v>
      </x:c>
      <x:c r="K54" s="38" t="str">
        <x:v>Partial Pass 2026-07-27 - one defect found (P5-CP-DEF-001). Probe setup: FE-323 (Release = Unscheduled, Team = Core Platform) was allocated to a *different* Team, Identity &amp; Access, so a Team overwrite would be visible. Publish Without Updating Fields: status Draft -&gt; Published, banner shown, and FE-323 Release stayed Unscheduled - visibility only, no field write. Published state is genuinely read-only, not just visually disabled: the accessibility tree contained no capacity textbox, no Add Team, no Calculate Capacity Forecast, no Assign-to-Team, no Split/Remove and no Add Feature/Allocate on either tab - only navigation plus Revert to Draft. Revert to Draft restored every control with all values intact. Full Publish: FE-323 Release Unscheduled -&gt; Nexus Platform Q1 2025 (written), while Team stayed Core Platform and Project stayed NXP despite the Identity &amp; Access allocation, and FE-318's children DE-1138/DE-1145 kept Release Nexus Platform Q4 2024 (no cascade). Defect: the plannedEndDate half of the write is silently lost - see P5-CP-DEF-001 below</x:v>
      </x:c>
      <x:c r="L54" s="51" t="str">
        <x:v>Partial</x:v>
      </x:c>
      <x:c r="M54" s="51" t="str">
        <x:v>Partial. The main available branch worked, but one or more branches could not be completed with the current scope/data.</x:v>
      </x:c>
      <x:c r="N54" s="51" t="str">
        <x:v>DevInt browser retest 2026-08-06; controlled P56-AUDIT data. Detail: 07_Testing Plan/Codex_audit_06_tracker.md &gt; Phase 5 DevInt Execution Results.</x:v>
      </x:c>
      <x:c r="O54" s="51" t="str">
        <x:v>Visibility-only Publish, Unpublish and matching-date full Publish passed; child non-cascade/mismatch branches remain.</x:v>
      </x:c>
      <x:c r="P54" s="51" t="str">
        <x:v>Codex — Workspace Admin</x:v>
      </x:c>
      <x:c r="Q54" s="51" t="str">
        <x:v>Pending BA confirmation</x:v>
      </x:c>
      <x:c r="R54" s="56" t="n">
        <x:v>46240</x:v>
      </x:c>
    </x:row>
    <x:row r="55">
      <x:c r="A55" s="45" t="str">
        <x:v>P5-CP-DEF-001</x:v>
      </x:c>
      <x:c r="B55" s="46" t="str">
        <x:v>Phase 5</x:v>
      </x:c>
      <x:c r="C55" s="46" t="str">
        <x:v>P5-CP - Capacity Planning</x:v>
      </x:c>
      <x:c r="D55" s="46" t="str">
        <x:v>P0</x:v>
      </x:c>
      <x:c r="E55" s="38" t="str">
        <x:v>DEFECT - Publish loses Planned End Date</x:v>
      </x:c>
      <x:c r="F5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5" s="38" t="str">
        <x:v>Project TEST; 1 Release; ít nhất 2 Teams; 3 Features; một Feature chưa gán Team; số Capacity/Estimate có thể tính tay.</x:v>
      </x:c>
      <x:c r="H55"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Allocate a Feature with empty planned dates, then run full Publish and open that Feature's Detail.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5" s="38" t="str">
        <x:v>Both Planned Start Date and Planned End Date should carry the Release dates</x:v>
      </x:c>
      <x:c r="J55" s="38" t="str">
        <x:v>Phase 5/02_Capacity_Planning/SRS.md</x:v>
      </x:c>
      <x:c r="K55" s="38" t="str">
        <x:v>Fixed and retested Pass 2026-07-27. Fix reused the existing toDateInputValue helper (promoted from IterationsPage to model.ts) inside the publish writer rather than adding new conversion code. Retest on FE-315: plannedEndDate 2025-02-15 -&gt; 2025-02-01, rendering as 02/01/2025 instead of blank; plannedStartDate correctly still carries the human-readable Nov 1, 2024 because that field is free text by design. Timeboxes/Milestones unaffected by the helper move. Original finding kept below for traceability. Original Fail 2026-07-27. After Publish, FE-323 showed Planned Start Date = Nov 1, 2024 but Planned End Date rendered empty. Root cause is a format mismatch, not a missing write: App.tsx:262-263 writes plannedStartDate: release?.startDate and plannedEndDate: release?.releaseDate, and REL-002 stores human-readable strings (startDate: "Nov 1, 2024", releaseDate: "Feb 1, 2025"). Planned Start Date is a free-text field per the P5.1 SRS so it displays fine, but Planned End Date is an &lt;input type="date"&gt;, which only accepts ISO YYYY-MM-DD and therefore discards "Feb 1, 2025". DOM probe confirmed {type:"date", value:""} for Planned End Date versus {type:"text", value:"Nov 1, 2024"} for Planned Start Date. The seeded Features use ISO for this field (FE-318 plannedEndDate: "2025-01-31"), so the data contract is ISO and the publish writer is the side that is wrong. Fix requires converting the Release date to ISO on write (or normalising ReleaseItem date storage); awaiting BA decision before any code change</x:v>
      </x:c>
      <x:c r="L55" s="51" t="str">
        <x:v>Pass</x:v>
      </x:c>
      <x:c r="M55" s="51" t="str">
        <x:v>Pass. Full Publish wrote Planned Start 2026-08-07 and Planned End 2026-08-31 to FE-2.</x:v>
      </x:c>
      <x:c r="N55" s="51" t="str">
        <x:v>DevInt browser retest 2026-08-06; controlled P56-AUDIT data. Detail: 07_Testing Plan/Codex_audit_06_tracker.md &gt; Phase 5 DevInt Execution Results.</x:v>
      </x:c>
      <x:c r="O55" s="51"/>
      <x:c r="P55" s="51" t="str">
        <x:v>Codex — Workspace Admin</x:v>
      </x:c>
      <x:c r="Q55" s="51" t="str">
        <x:v>Pending BA confirmation</x:v>
      </x:c>
      <x:c r="R55" s="56" t="n">
        <x:v>46240</x:v>
      </x:c>
    </x:row>
    <x:row r="56">
      <x:c r="A56" s="45" t="str">
        <x:v>P5-CP-011</x:v>
      </x:c>
      <x:c r="B56" s="46" t="str">
        <x:v>Phase 5</x:v>
      </x:c>
      <x:c r="C56" s="46" t="str">
        <x:v>P5-CP - Capacity Planning</x:v>
      </x:c>
      <x:c r="D56" s="46" t="str">
        <x:v>P0</x:v>
      </x:c>
      <x:c r="E56" s="38" t="str">
        <x:v>RBAC</x:v>
      </x:c>
      <x:c r="F56"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56" s="38" t="str">
        <x:v>Project TEST; 1 Release; ít nhất 2 Teams; 3 Features; một Feature chưa gán Team; số Capacity/Estimate có thể tính tay.</x:v>
      </x:c>
      <x:c r="H56"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Verify Workspace Admin, Project Admin managed/unmanaged Project and Project Member assigned Team.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6" s="38" t="str">
        <x:v>Manage actions follow confirmed permissions; Project Member sees read-only assigned Team only</x:v>
      </x:c>
      <x:c r="J56" s="38" t="str">
        <x:v>Phase 5/02_Capacity_Planning/SRS.md</x:v>
      </x:c>
      <x:c r="K56" s="38" t="str">
        <x:v>Partial Pass 2026-07-27 - one path not executable on current seed. Workspace Admin: full manage in every Project, Add New present in both NXP and MOB. Project Admin in managed NXP: Add New present and manage rights proven by action, not just by control visibility - PA successfully executed Revert to Draft on the Published CP-001 and regained every Draft control. Project Admin in unmanaged MOB: list is readable but Add New is absent, and it reappears for Workspace Admin in the same Project, so the gate is role x project rather than a global switch. Project Member in NXP / Core Platform: Add New absent; list Teams in Plan read 1 instead of 3; plan detail rendered only the Core Platform row and the accessibility tree had no capacity textbox, no Publish/Revert, no Add Team/Forecast and no Assign/Split/Remove; Quality and Reports nav entries were hidden. Not executable: "PA in an unmanaged Project sees plan *detail* read-only" - MOB has zero seeded Releases, so the New Capacity Plan Release selector is empty (optionCount: 0) and no MOB plan can exist to open. Closing this needs a seeded MOB Release, which was deliberately not added without BA approval. Note also that the ContextBar Project:/Team: selectors are decorative (CtxSelect in layout.tsx has no onClick); real scope switching is the workspace button in TopNav</x:v>
      </x:c>
      <x:c r="L56" s="51" t="str">
        <x:v>Blocked</x:v>
      </x:c>
      <x:c r="M56" s="51" t="str">
        <x:v>Blocked. RBAC could not be tested because the required Project Admin/Project Member accounts and assignments are unavailable.</x:v>
      </x:c>
      <x:c r="N56" s="51" t="str">
        <x:v>DevInt browser retest 2026-08-06; controlled P56-AUDIT data. Detail: 07_Testing Plan/Codex_audit_06_tracker.md &gt; Phase 5 DevInt Execution Results.</x:v>
      </x:c>
      <x:c r="O56" s="51" t="str">
        <x:v>Provide the role accounts and managed/unmanaged Project assignments defined in Preconditions.</x:v>
      </x:c>
      <x:c r="P56" s="51" t="str">
        <x:v>Codex — Workspace Admin</x:v>
      </x:c>
      <x:c r="Q56" s="51" t="str">
        <x:v>Pending RBAC test accounts</x:v>
      </x:c>
      <x:c r="R56" s="56" t="n">
        <x:v>46240</x:v>
      </x:c>
    </x:row>
    <x:row r="57">
      <x:c r="A57" s="45" t="str">
        <x:v>P5-CP-012</x:v>
      </x:c>
      <x:c r="B57" s="46" t="str">
        <x:v>Phase 5</x:v>
      </x:c>
      <x:c r="C57" s="46" t="str">
        <x:v>P5-CP - Capacity Planning</x:v>
      </x:c>
      <x:c r="D57" s="46" t="str">
        <x:v>P1</x:v>
      </x:c>
      <x:c r="E57" s="38" t="str">
        <x:v>Build and smoke evidence</x:v>
      </x:c>
      <x:c r="F57" s="38" t="str">
        <x:v>DevInt truy cập được và không có lỗi tải trang nghiêm trọng.
Đăng nhập bằng đúng role nêu trong case; nếu case không nêu role thì dùng Workspace Admin.</x:v>
      </x:c>
      <x:c r="G57" s="38" t="str">
        <x:v>Project TEST; 1 Release; ít nhất 2 Teams; 3 Features; một Feature chưa gán Team; số Capacity/Estimate có thể tính tay.</x:v>
      </x:c>
      <x:c r="H57"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Run npm.cmd run build and browser-smoke P5-CP critical paths.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7" s="38" t="str">
        <x:v>Build passes; no console errors; evidence records BA/mockup limitations separately from production readiness</x:v>
      </x:c>
      <x:c r="J57" s="38" t="str">
        <x:v>Phase 5/02_Capacity_Planning/SRS.md</x:v>
      </x:c>
      <x:c r="K57" s="38" t="str">
        <x:v>Pass (build + runtime smoke 2026-07-26; Vite chunk-size warning only)</x:v>
      </x:c>
      <x:c r="L57" s="51" t="str">
        <x:v>Not Run</x:v>
      </x:c>
      <x:c r="M57" s="51" t="str">
        <x:v>Not Run in the 2026-08-06 DevInt session.</x:v>
      </x:c>
      <x:c r="N57" s="51" t="str">
        <x:v>DevInt browser retest 2026-08-06; controlled P56-AUDIT data. Detail: 07_Testing Plan/Codex_audit_06_tracker.md &gt; Phase 5 DevInt Execution Results.</x:v>
      </x:c>
      <x:c r="O57" s="51" t="str">
        <x:v>Build/console evidence was not executed against the deployed browser session.</x:v>
      </x:c>
      <x:c r="P57" s="51" t="str">
        <x:v>Codex — Workspace Admin</x:v>
      </x:c>
      <x:c r="Q57" s="51" t="str">
        <x:v>Pending test precondition</x:v>
      </x:c>
      <x:c r="R57" s="56" t="n">
        <x:v>46240</x:v>
      </x:c>
    </x:row>
    <x:row r="58">
      <x:c r="A58" s="45" t="str">
        <x:v>P5-CP-018</x:v>
      </x:c>
      <x:c r="B58" s="46" t="str">
        <x:v>Phase 5</x:v>
      </x:c>
      <x:c r="C58" s="46" t="str">
        <x:v>P5-CP - Capacity Planning</x:v>
      </x:c>
      <x:c r="D58" s="46" t="str">
        <x:v>P0</x:v>
      </x:c>
      <x:c r="E58" s="38" t="str">
        <x:v>Graded Capacity Planner permission (historical three-row version)</x:v>
      </x:c>
      <x:c r="F58"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8" s="38" t="str">
        <x:v>Project TEST; 1 Release; ít nhất 2 Teams; 3 Features; một Feature chưa gán Team; số Capacity/Estimate có thể tính tay.</x:v>
      </x:c>
      <x:c r="H58"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Historical evidence for the three independent create/edit/publish permission rows.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8" s="38" t="str">
        <x:v>Retained for traceability only; superseded by the BA-confirmed single Full/View permission in P5-CP-026</x:v>
      </x:c>
      <x:c r="J58" s="38" t="str">
        <x:v>Phase 5/02_Capacity_Planning/SRS.md</x:v>
      </x:c>
      <x:c r="K58" s="38" t="str">
        <x:v>Superseded 2026-07-28; prior three-row behavior passed 2026-07-27</x:v>
      </x:c>
      <x:c r="L58" s="51" t="str">
        <x:v>Not Required</x:v>
      </x:c>
      <x:c r="M58" s="51" t="str">
        <x:v>Not Required. Scenario is superseded or outside the accepted active Phase 5 scope.</x:v>
      </x:c>
      <x:c r="N58" s="51" t="str">
        <x:v>DevInt browser retest 2026-08-06; controlled P56-AUDIT data. Detail: 07_Testing Plan/Codex_audit_06_tracker.md &gt; Phase 5 DevInt Execution Results.</x:v>
      </x:c>
      <x:c r="O58" s="51" t="str">
        <x:v>Retained for traceability only; do not treat as an active acceptance gate.</x:v>
      </x:c>
      <x:c r="P58" s="51" t="str">
        <x:v>Codex — Workspace Admin</x:v>
      </x:c>
      <x:c r="Q58" s="51" t="str">
        <x:v>Previously confirmed Not Required</x:v>
      </x:c>
      <x:c r="R58" s="56" t="n">
        <x:v>46240</x:v>
      </x:c>
    </x:row>
    <x:row r="59">
      <x:c r="A59" s="45" t="str">
        <x:v>P5-CP-019</x:v>
      </x:c>
      <x:c r="B59" s="46" t="str">
        <x:v>Phase 5</x:v>
      </x:c>
      <x:c r="C59" s="46" t="str">
        <x:v>P5-CP - Capacity Planning</x:v>
      </x:c>
      <x:c r="D59" s="46" t="str">
        <x:v>P0</x:v>
      </x:c>
      <x:c r="E59" s="38" t="str">
        <x:v>Project Member sees only Published plans</x:v>
      </x:c>
      <x:c r="F59"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59" s="38" t="str">
        <x:v>Project TEST; 1 Release; ít nhất 2 Teams; 3 Features; một Feature chưa gán Team; số Capacity/Estimate có thể tính tay.</x:v>
      </x:c>
      <x:c r="H59"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As Project Member in NXP / Core Platform open Portfolio &gt; Capacity Planning while CP-001 is Draft, then have a planner Publish it and look again.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9" s="38" t="str">
        <x:v>Draft plan is absent and unreachable; once Published it appears read-only and scoped to the assigned Team</x:v>
      </x:c>
      <x:c r="J59" s="38" t="str">
        <x:v>Phase 5/02_Capacity_Planning/SRS.md</x:v>
      </x:c>
      <x:c r="K59" s="38" t="str">
        <x:v>Pass 2026-07-27: while CP-001 was Draft the list showed Total Plans: 0 / No items found - previously the Draft plan was visible to a Project Member, so this is corrected behavior. After Publish Without Updating Fields the same plan appeared and opened read-only showing only the Core Platform row. Enforced in both the list filter and the active-plan resolver, so a Draft plan cannot be reached through stale state either</x:v>
      </x:c>
      <x:c r="L59" s="51" t="str">
        <x:v>Blocked</x:v>
      </x:c>
      <x:c r="M59" s="51" t="str">
        <x:v>Blocked. RBAC could not be tested because the required Project Admin/Project Member accounts and assignments are unavailable.</x:v>
      </x:c>
      <x:c r="N59" s="51" t="str">
        <x:v>DevInt browser retest 2026-08-06; controlled P56-AUDIT data. Detail: 07_Testing Plan/Codex_audit_06_tracker.md &gt; Phase 5 DevInt Execution Results.</x:v>
      </x:c>
      <x:c r="O59" s="51" t="str">
        <x:v>Provide the role accounts and managed/unmanaged Project assignments defined in Preconditions.</x:v>
      </x:c>
      <x:c r="P59" s="51" t="str">
        <x:v>Codex — Workspace Admin</x:v>
      </x:c>
      <x:c r="Q59" s="51" t="str">
        <x:v>Pending RBAC test accounts</x:v>
      </x:c>
      <x:c r="R59" s="56" t="n">
        <x:v>46240</x:v>
      </x:c>
    </x:row>
    <x:row r="60">
      <x:c r="A60" s="45" t="str">
        <x:v>P5-CP-020</x:v>
      </x:c>
      <x:c r="B60" s="46" t="str">
        <x:v>Phase 5</x:v>
      </x:c>
      <x:c r="C60" s="46" t="str">
        <x:v>P5-CP - Capacity Planning</x:v>
      </x:c>
      <x:c r="D60" s="46" t="str">
        <x:v>P0</x:v>
      </x:c>
      <x:c r="E60" s="38" t="str">
        <x:v>Team-level Add Features lists the whole Project and keeps added rows</x:v>
      </x:c>
      <x:c r="F60"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60" s="38" t="str">
        <x:v>Project TEST; 1 Release; ít nhất 2 Teams; 3 Features; một Feature chưa gán Team; số Capacity/Estimate có thể tính tay.</x:v>
      </x:c>
      <x:c r="H60"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Expand a Team in Teams by Total, open Add Features, inspect the list, add a Feature, then reopen the dialog.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0" s="38" t="str">
        <x:v>Dialog lists every Feature across the Project's Teams with ID / Name / Project / Team; a Feature already in that Team stays listed and is marked as added rather than disappearing</x:v>
      </x:c>
      <x:c r="J60" s="38" t="str">
        <x:v>Phase 5/02_Capacity_Planning/SRS.md</x:v>
      </x:c>
      <x:c r="K60" s="38" t="str">
        <x:v>Pass 2026-07-27: Core Platform dialog listed all 4 NXP Features including FE-311 (Release Q4 2024) and FE-308 (Q2 2025), which the old Release-filtered list had hidden. Columns render ID / Name / Project / Team plus the existing Allocation status. FE-318, already allocated to Data &amp; Reporting in this plan, stayed in the list greyed out with a green ✓ Added badge and a disabled checkbox, so it cannot be double-added. Header reads Total Work Items: 4 · 3 available to add. Adding FE-315 moved its existing Unallocated row to the Team and preserved its value 5, and Demand went 8 -&gt; 13; FE-308 was added with value 0</x:v>
      </x:c>
      <x:c r="L60" s="51" t="str">
        <x:v>Pass</x:v>
      </x:c>
      <x:c r="M60" s="51" t="str">
        <x:v>Pass. Pegasus Add Features showed the whole TEST Project set, kept FE-2 visible as Added, and allowed FE-3.</x:v>
      </x:c>
      <x:c r="N60" s="51" t="str">
        <x:v>DevInt browser retest 2026-08-06; controlled P56-AUDIT data. Detail: 07_Testing Plan/Codex_audit_06_tracker.md &gt; Phase 5 DevInt Execution Results.</x:v>
      </x:c>
      <x:c r="O60" s="51"/>
      <x:c r="P60" s="51" t="str">
        <x:v>Codex — Workspace Admin</x:v>
      </x:c>
      <x:c r="Q60" s="51" t="str">
        <x:v>Pending BA confirmation</x:v>
      </x:c>
      <x:c r="R60" s="56" t="n">
        <x:v>46240</x:v>
      </x:c>
    </x:row>
    <x:row r="61">
      <x:c r="A61" s="45" t="str">
        <x:v>P5-CP-021</x:v>
      </x:c>
      <x:c r="B61" s="46" t="str">
        <x:v>Phase 5</x:v>
      </x:c>
      <x:c r="C61" s="46" t="str">
        <x:v>P5-CP - Capacity Planning</x:v>
      </x:c>
      <x:c r="D61" s="46" t="str">
        <x:v>P0</x:v>
      </x:c>
      <x:c r="E61" s="38" t="str">
        <x:v>Rank reorder from the per-row settings menu</x:v>
      </x:c>
      <x:c r="F61"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61" s="38" t="str">
        <x:v>Project TEST; 1 Release; ít nhất 2 Teams; 3 Features; một Feature chưa gán Team; số Capacity/Estimate có thể tính tay.</x:v>
      </x:c>
      <x:c r="H61"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In an expanded Team with at least two Features, open the settings icon at the start of a row and use Move up / Move down.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1" s="38" t="str">
        <x:v>Each row has a settings icon opening a small menu; the two actions swap rank with the adjacent row inside that Team only, and are disabled at the ends of the list</x:v>
      </x:c>
      <x:c r="J61" s="38" t="str">
        <x:v>Phase 5/02_Capacity_Planning/SRS.md</x:v>
      </x:c>
      <x:c r="K61" s="38" t="str">
        <x:v>Pass 2026-07-27: gear icon renders as the new leading column on every Feature row with a matching blank header cell. On Core Platform holding FE-318 (rank 2) and FE-308 (rank 4), Move down was disabled on the last row and Move up on the first, flipping correctly as position changed. Move up on FE-308 swapped the pair to rank 2 / rank 4 and the display order followed; Move down restored it. Data &amp; Reporting kept Features 1 and Rollup 5 throughout, confirming the swap is scoped to the acting Team. Menu closes after each action and via click-away</x:v>
      </x:c>
      <x:c r="L61" s="51" t="str">
        <x:v>Pass</x:v>
      </x:c>
      <x:c r="M61" s="51" t="str">
        <x:v>Pass. Move up changed FE-3 from rank 2 to rank 1 and FE-2 from rank 1 to rank 2.</x:v>
      </x:c>
      <x:c r="N61" s="51" t="str">
        <x:v>DevInt browser retest 2026-08-06; controlled P56-AUDIT data. Detail: 07_Testing Plan/Codex_audit_06_tracker.md &gt; Phase 5 DevInt Execution Results.</x:v>
      </x:c>
      <x:c r="O61" s="51"/>
      <x:c r="P61" s="51" t="str">
        <x:v>Codex — Workspace Admin</x:v>
      </x:c>
      <x:c r="Q61" s="51" t="str">
        <x:v>Pending BA confirmation</x:v>
      </x:c>
      <x:c r="R61" s="56" t="n">
        <x:v>46240</x:v>
      </x:c>
    </x:row>
    <x:row r="62">
      <x:c r="A62" s="45" t="str">
        <x:v>P5-CP-022</x:v>
      </x:c>
      <x:c r="B62" s="46" t="str">
        <x:v>Phase 5</x:v>
      </x:c>
      <x:c r="C62" s="46" t="str">
        <x:v>P5-CP - Capacity Planning</x:v>
      </x:c>
      <x:c r="D62" s="46" t="str">
        <x:v>P0</x:v>
      </x:c>
      <x:c r="E62" s="38" t="str">
        <x:v>Allocate from the Team row settings menu</x:v>
      </x:c>
      <x:c r="F62" s="38" t="str">
        <x:v>DevInt truy cập được và không có lỗi tải trang nghiêm trọng.
Đăng nhập bằng đúng role nêu trong case; nếu case không nêu role thì dùng Workspace Admin.
Có account và Project assignment tương ứng để kiểm tra quyền.</x:v>
      </x:c>
      <x:c r="G62" s="38" t="str">
        <x:v>Project TEST; 1 Release; ít nhất 2 Teams; 3 Features; một Feature chưa gán Team; số Capacity/Estimate có thể tính tay.</x:v>
      </x:c>
      <x:c r="H62"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In an expanded Team, open a Feature row's settings icon and choose Allocate.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2" s="38" t="str">
        <x:v>The same Allocate dialog opens, laid out like Rally's Allocate to Projects but with Team in place of Project: a read-only Portfolio Item header row with ID / Name / Prelim Estimate / Refined Estimate, a Team / Estimate table with removable rows, an Add Team action, and a live Total allocated readout</x:v>
      </x:c>
      <x:c r="J62" s="38" t="str">
        <x:v>Phase 5/02_Capacity_Planning/SRS.md</x:v>
      </x:c>
      <x:c r="K62" s="38" t="str">
        <x:v>Pass 2026-07-27: the gear menu now reads Move up / Move down / separator / Allocate. Choosing Allocate on FE-318 opened Allocate to Teams showing FE-318 · Advanced Reporting Module, header row FE-318 / Advanced Reporting Module / L / 8, existing split rows Data &amp; Reporting 5 and Core Platform 3, + Add Team, and Total allocated: 8 points. Cancel left the plan untouched</x:v>
      </x:c>
      <x:c r="L62" s="51" t="str">
        <x:v>Pass</x:v>
      </x:c>
      <x:c r="M62" s="51" t="str">
        <x:v>Pass. Allocate dialog opened for FE-2 and saved manual allocation 8 points.</x:v>
      </x:c>
      <x:c r="N62" s="51" t="str">
        <x:v>DevInt browser retest 2026-08-06; controlled P56-AUDIT data. Detail: 07_Testing Plan/Codex_audit_06_tracker.md &gt; Phase 5 DevInt Execution Results.</x:v>
      </x:c>
      <x:c r="O62" s="51"/>
      <x:c r="P62" s="51" t="str">
        <x:v>Codex — Workspace Admin</x:v>
      </x:c>
      <x:c r="Q62" s="51" t="str">
        <x:v>Pending BA confirmation</x:v>
      </x:c>
      <x:c r="R62" s="56" t="n">
        <x:v>46240</x:v>
      </x:c>
    </x:row>
    <x:row r="63">
      <x:c r="A63" s="45" t="str">
        <x:v>P5-CP-023</x:v>
      </x:c>
      <x:c r="B63" s="46" t="str">
        <x:v>Phase 5</x:v>
      </x:c>
      <x:c r="C63" s="46" t="str">
        <x:v>P5-CP - Capacity Planning</x:v>
      </x:c>
      <x:c r="D63" s="46" t="str">
        <x:v>P0</x:v>
      </x:c>
      <x:c r="E63" s="38" t="str">
        <x:v>Estimated priority - Team Allocated then Refined then Preliminary</x:v>
      </x:c>
      <x:c r="F63"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63" s="38" t="str">
        <x:v>Project TEST; 1 Release; ít nhất 2 Teams; 3 Features; một Feature chưa gán Team; số Capacity/Estimate có thể tính tay.</x:v>
      </x:c>
      <x:c r="H63"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In the Features tab, inspect Estimated for a Feature with Team allocations, remove/zero those allocations, then inspect a Feature with no Refined Estimate; also inspect an Unallocated placeholder.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3" s="38" t="str">
        <x:v>Estimated prefers the total allocated to Teams, falls back to Refined Estimate, then to the temporary Preliminary Estimate size mapping. An Unallocated row never overrides Refined/Preliminary. The UI states which tier produced the number</x:v>
      </x:c>
      <x:c r="J63" s="38" t="str">
        <x:v>Phase 5/02_Capacity_Planning/SRS.md</x:v>
      </x:c>
      <x:c r="K63" s="38" t="str">
        <x:v>Pass 2026-07-28. FE-318 showed 8 Allocated for Team allocations 5 + 3; after both Team allocations were set to 0, it showed 8 Refined. FE-315 retained 5 Preliminary although its Unallocated placeholder held 5, proving the placeholder is excluded.</x:v>
      </x:c>
      <x:c r="L63" s="51" t="str">
        <x:v>Partial</x:v>
      </x:c>
      <x:c r="M63" s="51" t="str">
        <x:v>Partial. The main available branch worked, but one or more branches could not be completed with the current scope/data.</x:v>
      </x:c>
      <x:c r="N63" s="51" t="str">
        <x:v>DevInt browser retest 2026-08-06; controlled P56-AUDIT data. Detail: 07_Testing Plan/Codex_audit_06_tracker.md &gt; Phase 5 DevInt Execution Results.</x:v>
      </x:c>
      <x:c r="O63" s="51" t="str">
        <x:v>Manual allocation precedence was observed; Refined and Preliminary fallback branches were not both exercised.</x:v>
      </x:c>
      <x:c r="P63" s="51" t="str">
        <x:v>Codex — Workspace Admin</x:v>
      </x:c>
      <x:c r="Q63" s="51" t="str">
        <x:v>Pending BA confirmation</x:v>
      </x:c>
      <x:c r="R63" s="56" t="n">
        <x:v>46240</x:v>
      </x:c>
    </x:row>
    <x:row r="64">
      <x:c r="A64" s="45" t="str">
        <x:v>P5-CP-024</x:v>
      </x:c>
      <x:c r="B64" s="46" t="str">
        <x:v>Phase 5</x:v>
      </x:c>
      <x:c r="C64" s="46" t="str">
        <x:v>P5-CP - Capacity Planning</x:v>
      </x:c>
      <x:c r="D64" s="46" t="str">
        <x:v>P0</x:v>
      </x:c>
      <x:c r="E64" s="38" t="str">
        <x:v>Allocation is edited only through the Allocate dialog</x:v>
      </x:c>
      <x:c r="F64"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64" s="38" t="str">
        <x:v>Project TEST; 1 Release; ít nhất 2 Teams; 3 Features; một Feature chưa gán Team; số Capacity/Estimate có thể tính tay.</x:v>
      </x:c>
      <x:c r="H64"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a Draft plan, expand a Team, and look for inline allocation editing; also check for an Unallocated Features section.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4" s="38" t="str">
        <x:v>The expanded Team Feature row shows Rollup read-only with no inline number input and no Split control, the Unallocated Features in Plan block is gone, and allocation is changed only in the Allocate dialog</x:v>
      </x:c>
      <x:c r="J64" s="38" t="str">
        <x:v>Phase 5/02_Capacity_Planning/SRS.md</x:v>
      </x:c>
      <x:c r="K64" s="38" t="str">
        <x:v>Pass 2026-07-28; amended by BA after test. Expanded FE-318 exposed the Allocate dialog through settings; the later BA direction removed Remove from Team, leaving Remove from Plan as the only removal action. No inline allocation editor, Split control or Unallocated section remains.</x:v>
      </x:c>
      <x:c r="L64" s="51" t="str">
        <x:v>Pass</x:v>
      </x:c>
      <x:c r="M64" s="51" t="str">
        <x:v>Pass. DevInt behavior matched the Expected Result for the tested branch; prior approved evidence was retained where applicable.</x:v>
      </x:c>
      <x:c r="N64" s="51" t="str">
        <x:v>DevInt browser retest 2026-08-06; controlled P56-AUDIT data. Detail: 07_Testing Plan/Codex_audit_06_tracker.md &gt; Phase 5 DevInt Execution Results.</x:v>
      </x:c>
      <x:c r="O64" s="51"/>
      <x:c r="P64" s="51" t="str">
        <x:v>Codex — Workspace Admin</x:v>
      </x:c>
      <x:c r="Q64" s="51" t="str">
        <x:v>Pending BA confirmation</x:v>
      </x:c>
      <x:c r="R64" s="56" t="n">
        <x:v>46240</x:v>
      </x:c>
    </x:row>
    <x:row r="65">
      <x:c r="A65" s="45" t="str">
        <x:v>P5-CP-025</x:v>
      </x:c>
      <x:c r="B65" s="46" t="str">
        <x:v>Phase 5</x:v>
      </x:c>
      <x:c r="C65" s="46" t="str">
        <x:v>P5-CP - Capacity Planning</x:v>
      </x:c>
      <x:c r="D65" s="46" t="str">
        <x:v>P0</x:v>
      </x:c>
      <x:c r="E65" s="38" t="str">
        <x:v>Allocation origin column on the expanded Team Feature table</x:v>
      </x:c>
      <x:c r="F65" s="38" t="str">
        <x:v>DevInt truy cập được và không có lỗi tải trang nghiêm trọng.
Đăng nhập bằng đúng role nêu trong case; nếu case không nêu role thì dùng Workspace Admin.</x:v>
      </x:c>
      <x:c r="G65" s="38" t="str">
        <x:v>Project TEST; 1 Release; ít nhất 2 Teams; 3 Features; một Feature chưa gán Team; số Capacity/Estimate có thể tính tay.</x:v>
      </x:c>
      <x:c r="H65"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Expand two Teams that both hold the same split Feature and compare the Allocation cell; also check the Dependencies column.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5" s="38" t="str">
        <x:v>The row under the Feature's own Team shows —; the row under a Team the Feature was split into reads From {Feature's own Team}. Dependencies renders as a placeholder — on every row</x:v>
      </x:c>
      <x:c r="J65" s="38" t="str">
        <x:v>Phase 5/02_Capacity_Planning/SRS.md</x:v>
      </x:c>
      <x:c r="K65" s="38" t="str">
        <x:v>Pass 2026-07-27: FE-318 is owned by Data &amp; Reporting in Portfolio Items and is split across both Teams in CP-001. Its row under Core Platform read From Data &amp; Reporting while its row under Data &amp; Reporting read —, so the column attributes the split to the origin Team and stays silent on the origin's own row. Hover text on each state explains the attribution. Dependencies showed — on every row with a tooltip stating it is not modelled in this slice. Both new columns are read-only. With nine columns the table now scrolls horizontally: measured scrollWidth 1180 against clientWidth 1103, and scrolling to the end revealed the Estimated column intact</x:v>
      </x:c>
      <x:c r="L65" s="51" t="str">
        <x:v>Partial</x:v>
      </x:c>
      <x:c r="M65" s="51" t="str">
        <x:v>Partial. The main available branch worked, but one or more branches could not be completed with the current scope/data.</x:v>
      </x:c>
      <x:c r="N65" s="51" t="str">
        <x:v>DevInt browser retest 2026-08-06; controlled P56-AUDIT data. Detail: 07_Testing Plan/Codex_audit_06_tracker.md &gt; Phase 5 DevInt Execution Results.</x:v>
      </x:c>
      <x:c r="O65" s="51" t="str">
        <x:v>Dependencies placeholder was present; cross-Team origin attribution requires a second Team.</x:v>
      </x:c>
      <x:c r="P65" s="51" t="str">
        <x:v>Codex — Workspace Admin</x:v>
      </x:c>
      <x:c r="Q65" s="51" t="str">
        <x:v>Pending BA confirmation</x:v>
      </x:c>
      <x:c r="R65" s="56" t="n">
        <x:v>46240</x:v>
      </x:c>
    </x:row>
    <x:row r="66">
      <x:c r="A66" s="45" t="str">
        <x:v>P5-CP-026</x:v>
      </x:c>
      <x:c r="B66" s="46" t="str">
        <x:v>Phase 5</x:v>
      </x:c>
      <x:c r="C66" s="46" t="str">
        <x:v>P5-CP - Capacity Planning</x:v>
      </x:c>
      <x:c r="D66" s="46" t="str">
        <x:v>P0</x:v>
      </x:c>
      <x:c r="E66" s="38" t="str">
        <x:v>Temporary single Capacity Planner Full/View permission</x:v>
      </x:c>
      <x:c r="F66" s="38" t="str">
        <x:v>DevInt truy cập được và không có lỗi tải trang nghiêm trọng.
Đăng nhập bằng đúng role nêu trong case; nếu case không nêu role thì dùng Workspace Admin.
Có account và Project assignment tương ứng để kiểm tra quyền.</x:v>
      </x:c>
      <x:c r="G66" s="38" t="str">
        <x:v>Project TEST; 1 Release; ít nhất 2 Teams; 3 Features; một Feature chưa gán Team; số Capacity/Estimate có thể tính tay.</x:v>
      </x:c>
      <x:c r="H66"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In Roles &amp; Permissions set capacity_planning:manage to Read-only for Project Admin, save and open Capacity Planning in a managed Project; then restore Enabled.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6" s="38" t="str">
        <x:v>Read-only preserves list/detail access but removes every create/edit/allocate/remove/publish action. Enabled restores the whole manage flow. Workspace Admin remains locked Enabled</x:v>
      </x:c>
      <x:c r="J66" s="38" t="str">
        <x:v>Phase 5/02_Capacity_Planning/SRS.md</x:v>
      </x:c>
      <x:c r="K66" s="38" t="str">
        <x:v>Pass 2026-07-28. With Project Admin set to R, the plan list/detail and Sort remained visible while Add New, Add Team, Capacity inputs, Feature settings/Allocate/Remove and both Publish actions were absent. Reload restored the default matrix and Workspace Admin Full state.</x:v>
      </x:c>
      <x:c r="L66" s="51" t="str">
        <x:v>Blocked</x:v>
      </x:c>
      <x:c r="M66" s="51" t="str">
        <x:v>Blocked. RBAC could not be tested because the required Project Admin/Project Member accounts and assignments are unavailable.</x:v>
      </x:c>
      <x:c r="N66" s="51" t="str">
        <x:v>DevInt browser retest 2026-08-06; controlled P56-AUDIT data. Detail: 07_Testing Plan/Codex_audit_06_tracker.md &gt; Phase 5 DevInt Execution Results.</x:v>
      </x:c>
      <x:c r="O66" s="51" t="str">
        <x:v>Provide the role accounts and managed/unmanaged Project assignments defined in Preconditions.</x:v>
      </x:c>
      <x:c r="P66" s="51" t="str">
        <x:v>Codex — Workspace Admin</x:v>
      </x:c>
      <x:c r="Q66" s="51" t="str">
        <x:v>Pending RBAC test accounts</x:v>
      </x:c>
      <x:c r="R66" s="56" t="n">
        <x:v>46240</x:v>
      </x:c>
    </x:row>
    <x:row r="67">
      <x:c r="A67" s="45" t="str">
        <x:v>P5-CP-027</x:v>
      </x:c>
      <x:c r="B67" s="46" t="str">
        <x:v>Phase 5</x:v>
      </x:c>
      <x:c r="C67" s="46" t="str">
        <x:v>P5-CP - Capacity Planning</x:v>
      </x:c>
      <x:c r="D67" s="46" t="str">
        <x:v>P0</x:v>
      </x:c>
      <x:c r="E67" s="38" t="str">
        <x:v>Remove split Feature from Plan</x:v>
      </x:c>
      <x:c r="F67"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67" s="38" t="str">
        <x:v>Project TEST; 1 Release; ít nhất 2 Teams; 3 Features; một Feature chưa gán Team; số Capacity/Estimate có thể tính tay.</x:v>
      </x:c>
      <x:c r="H67"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Allocate one Feature to two Teams, open either Team row's settings menu and click Remove from Plan.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7" s="38" t="str">
        <x:v>Every allocation row for that Feature is removed across both Teams, Feature disappears from the Plan, Team Demand and Plan counters recalculate, and the Portfolio Feature remains unchanged</x:v>
      </x:c>
      <x:c r="J67" s="38" t="str">
        <x:v>Phase 5/02_Capacity_Planning/SRS.md</x:v>
      </x:c>
      <x:c r="K67" s="38" t="str">
        <x:v>Pass 2026-07-28. Removing FE-318 from Plan cleared it from Core Platform and Data &amp; Reporting, changed both Team Feature counts to 0, removed the Feature text from the plan and recalculated Demand to 0.</x:v>
      </x:c>
      <x:c r="L67" s="51" t="str">
        <x:v>Partial</x:v>
      </x:c>
      <x:c r="M67" s="51" t="str">
        <x:v>Partial. Remove from Plan persisted and FE-3 disappeared after reload, but the row and count stayed stale immediately after the success toast.</x:v>
      </x:c>
      <x:c r="N67" s="51" t="str">
        <x:v>DevInt browser retest 2026-08-06; controlled P56-AUDIT data. Detail: 07_Testing Plan/Codex_audit_06_tracker.md &gt; Phase 5 DevInt Execution Results.</x:v>
      </x:c>
      <x:c r="O67" s="51" t="str">
        <x:v>DEV should refetch/invalidate the plan immediately after Remove from Plan.</x:v>
      </x:c>
      <x:c r="P67" s="51" t="str">
        <x:v>Codex — Workspace Admin</x:v>
      </x:c>
      <x:c r="Q67" s="51" t="str">
        <x:v>Pending BA confirmation</x:v>
      </x:c>
      <x:c r="R67" s="56" t="n">
        <x:v>46240</x:v>
      </x:c>
    </x:row>
    <x:row r="68">
      <x:c r="A68" s="45" t="str">
        <x:v>P5-CP-028</x:v>
      </x:c>
      <x:c r="B68" s="46" t="str">
        <x:v>Phase 5</x:v>
      </x:c>
      <x:c r="C68" s="46" t="str">
        <x:v>P5-CP - Capacity Planning</x:v>
      </x:c>
      <x:c r="D68" s="46" t="str">
        <x:v>P0</x:v>
      </x:c>
      <x:c r="E68" s="38" t="str">
        <x:v>Remove one allocation from Team</x:v>
      </x:c>
      <x:c r="F68"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68" s="38" t="str">
        <x:v>Project TEST; 1 Release; ít nhất 2 Teams; 3 Features; một Feature chưa gán Team; số Capacity/Estimate có thể tính tay.</x:v>
      </x:c>
      <x:c r="H68"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Historical scenario only.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8" s="38" t="str">
        <x:v>Superseded by BA direction on 2026-07-28: there is no Remove from Team action. Remove from Plan removes the Feature from every Team allocation in the Plan.</x:v>
      </x:c>
      <x:c r="J68" s="38" t="str">
        <x:v>Phase 5/02_Capacity_Planning/SRS.md</x:v>
      </x:c>
      <x:c r="K68" s="38" t="str">
        <x:v>Superseded 2026-07-28. Historical pass retained only for traceability; do not use this as a current acceptance requirement.</x:v>
      </x:c>
      <x:c r="L68" s="51" t="str">
        <x:v>Not Required</x:v>
      </x:c>
      <x:c r="M68" s="51" t="str">
        <x:v>Not Required. Scenario is superseded or outside the accepted active Phase 5 scope.</x:v>
      </x:c>
      <x:c r="N68" s="51" t="str">
        <x:v>DevInt browser retest 2026-08-06; controlled P56-AUDIT data. Detail: 07_Testing Plan/Codex_audit_06_tracker.md &gt; Phase 5 DevInt Execution Results.</x:v>
      </x:c>
      <x:c r="O68" s="51" t="str">
        <x:v>Retained for traceability only; do not treat as an active acceptance gate.</x:v>
      </x:c>
      <x:c r="P68" s="51" t="str">
        <x:v>Codex — Workspace Admin</x:v>
      </x:c>
      <x:c r="Q68" s="51" t="str">
        <x:v>Previously confirmed Not Required</x:v>
      </x:c>
      <x:c r="R68" s="56" t="n">
        <x:v>46240</x:v>
      </x:c>
    </x:row>
    <x:row r="69">
      <x:c r="A69" s="45" t="str">
        <x:v>P5-CP-029</x:v>
      </x:c>
      <x:c r="B69" s="46" t="str">
        <x:v>Phase 5</x:v>
      </x:c>
      <x:c r="C69" s="46" t="str">
        <x:v>P5-CP - Capacity Planning</x:v>
      </x:c>
      <x:c r="D69" s="46" t="str">
        <x:v>P0</x:v>
      </x:c>
      <x:c r="E69" s="38" t="str">
        <x:v>Live Complete/Rollup/Estimated and Team-split display</x:v>
      </x:c>
      <x:c r="F69"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69" s="38" t="str">
        <x:v>Project TEST; 1 Release; ít nhất 2 Teams; 3 Features; một Feature chưa gán Team; số Capacity/Estimate có thể tính tay.</x:v>
      </x:c>
      <x:c r="H69"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a split Feature in Features and Teams by Total, compare totals/slices, then move one child from Completed back to In-Progress.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9" s="38" t="str">
        <x:v>Complete sums child Plan Estimate at Completed or later; Rollup sums every child Plan Estimate; Estimated follows allocation/refined/preliminary. Feature rows show numbers without percentages. Features tab shows the Feature total; expanded Team rows show Team slices; Team summary rows retain number plus percent of manual Capacity. Moving a child backward reduces Complete only</x:v>
      </x:c>
      <x:c r="J69" s="38" t="str">
        <x:v>Phase 5/02_Capacity_Planning/SRS.md</x:v>
      </x:c>
      <x:c r="K69" s="38" t="str">
        <x:v>Pass 2026-07-28. FE-318 total showed Complete 0 / Rollup 6 / Estimated 8; Data &amp; Reporting showed 0 / 6 / 5, Core Platform 0 / 0 / 3. Feature rows and Feature tooltip contained numbers only; Data &amp; Reporting Team row/tooltip retained 0 (0%) / 6 (60%) / 5 (50%) against Capacity 10. FE-315 showed 5 / 5 / 5; changing US-4798 Completed -&gt; In-Progress changed it to 0 / 5 / 5. Clean reload had no new console errors.</x:v>
      </x:c>
      <x:c r="L69" s="51" t="str">
        <x:v>Partial</x:v>
      </x:c>
      <x:c r="M69" s="51" t="str">
        <x:v>Partial. The main available branch worked, but one or more branches could not be completed with the current scope/data.</x:v>
      </x:c>
      <x:c r="N69" s="51" t="str">
        <x:v>DevInt browser retest 2026-08-06; controlled P56-AUDIT data. Detail: 07_Testing Plan/Codex_audit_06_tracker.md &gt; Phase 5 DevInt Execution Results.</x:v>
      </x:c>
      <x:c r="O69" s="51" t="str">
        <x:v>Basic totals were visible; a child status transition was not executed in this Phase 5 run.</x:v>
      </x:c>
      <x:c r="P69" s="51" t="str">
        <x:v>Codex — Workspace Admin</x:v>
      </x:c>
      <x:c r="Q69" s="51" t="str">
        <x:v>Pending BA confirmation</x:v>
      </x:c>
      <x:c r="R69" s="56" t="n">
        <x:v>46240</x:v>
      </x:c>
    </x:row>
    <x:row r="70">
      <x:c r="A70" s="45" t="str">
        <x:v>P5-CP-030</x:v>
      </x:c>
      <x:c r="B70" s="46" t="str">
        <x:v>Phase 5</x:v>
      </x:c>
      <x:c r="C70" s="46" t="str">
        <x:v>P5-CP - Capacity Planning</x:v>
      </x:c>
      <x:c r="D70" s="46" t="str">
        <x:v>P0</x:v>
      </x:c>
      <x:c r="E70" s="38" t="str">
        <x:v>Exceed warnings on Capacity Plan progress bars</x:v>
      </x:c>
      <x:c r="F70" s="38" t="str">
        <x:v>DevInt truy cập được và không có lỗi tải trang nghiêm trọng.
Đăng nhập bằng đúng role nêu trong case; nếu case không nêu role thì dùng Workspace Admin.</x:v>
      </x:c>
      <x:c r="G70" s="38" t="str">
        <x:v>Project TEST; 1 Release; ít nhất 2 Teams; 3 Features; một Feature chưa gán Team; số Capacity/Estimate có thể tính tay.</x:v>
      </x:c>
      <x:c r="H70"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CP-001 with a Team/Feature where Rollup is greater than Estimated, then hover/focus the Team and Feature progress bars and the Team Features attention badge.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0" s="38" t="str">
        <x:v>Red warning triangle appears on the progress bar; tooltip lists Rollup exceeds Estimated. The Team Features cell is left-aligned and shows a red attention badge counting child Features with Feature-level exceed; badge hover says N Feature(s) require attention. Plan and Team levels also warn on Rollup &gt; Capacity and Estimated &gt; Capacity when applicable. Feature rows do not show Capacity warnings because Feature rows have no Capacity column. Header total progress bar is widened.</x:v>
      </x:c>
      <x:c r="J70" s="38" t="str">
        <x:v>Phase 5/02_Capacity_Planning/SRS.md</x:v>
      </x:c>
      <x:c r="K70" s="38" t="str">
        <x:v>Pass 2026-07-28. Seeded Data &amp; Reporting row (Rollup 6, Estimated 5) displayed the warning triangle and tooltip text; the expanded FE-318 row under Data &amp; Reporting also displayed Rollup exceeds Estimated. Tooltip used fixed overlay and was not clipped by the grid. Build passed with only the standard Vite chunk-size warning.</x:v>
      </x:c>
      <x:c r="L70" s="51" t="str">
        <x:v>Not Run</x:v>
      </x:c>
      <x:c r="M70" s="51" t="str">
        <x:v>Not Run in the 2026-08-06 DevInt session.</x:v>
      </x:c>
      <x:c r="N70" s="51" t="str">
        <x:v>DevInt browser retest 2026-08-06; controlled P56-AUDIT data. Detail: 07_Testing Plan/Codex_audit_06_tracker.md &gt; Phase 5 DevInt Execution Results.</x:v>
      </x:c>
      <x:c r="O70" s="51" t="str">
        <x:v>No Rollup &gt; Estimated or capacity-exceed dataset was available.</x:v>
      </x:c>
      <x:c r="P70" s="51" t="str">
        <x:v>Codex — Workspace Admin</x:v>
      </x:c>
      <x:c r="Q70" s="51" t="str">
        <x:v>Pending test precondition</x:v>
      </x:c>
      <x:c r="R70" s="56" t="n">
        <x:v>46240</x:v>
      </x:c>
    </x:row>
    <x:row r="71">
      <x:c r="A71" s="45" t="str">
        <x:v>P5-CP-031</x:v>
      </x:c>
      <x:c r="B71" s="46" t="str">
        <x:v>Phase 5</x:v>
      </x:c>
      <x:c r="C71" s="46" t="str">
        <x:v>P5-CP - Capacity Planning</x:v>
      </x:c>
      <x:c r="D71" s="46" t="str">
        <x:v>P0</x:v>
      </x:c>
      <x:c r="E71" s="38" t="str">
        <x:v>Features tab Rally-style grid rebuild</x:v>
      </x:c>
      <x:c r="F71" s="38" t="str">
        <x:v>DevInt truy cập được và không có lỗi tải trang nghiêm trọng.
Đăng nhập bằng đúng role nêu trong case; nếu case không nêu role thì dùng Workspace Admin.</x:v>
      </x:c>
      <x:c r="G71" s="38" t="str">
        <x:v>Project TEST; 1 Release; ít nhất 2 Teams; 3 Features; một Feature chưa gán Team; số Capacity/Estimate có thể tính tay.</x:v>
      </x:c>
      <x:c r="H71"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CP-001, switch to the Features tab and inspect the Feature list plus a split Feature row settings menu.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1" s="38" t="str">
        <x:v>Grid columns are Rank, ID, Name, Planned Team Assignment, Team, Dependencies, Complete, Rollup, Estimated; ID shows only the Feature ID with no type badge; there is no grid-level progress bar, no State/Planned Team header, and metrics align to the right. Split Feature allocation subrows show Team slices. The row settings menu overlays the grid and contains only Allocate and Remove from Plan.</x:v>
      </x:c>
      <x:c r="J71" s="38" t="str">
        <x:v>Phase 5/02_Capacity_Planning/SRS.md</x:v>
      </x:c>
      <x:c r="K71" s="38" t="str">
        <x:v>Pass 2026-07-28. Browser smoke on CP-001 confirmed the new headers, FE-318 parent total 0 / 6 / 8, allocation subrows Data &amp; Reporting 0 / 6 / 5 and Core Platform 0 / 0 / 3, no Feature-grid progress-bar node beyond the plan header bar, ID rendered as FE-318 without the type badge, and settings menu items Allocate / Remove from Plan only. Build passed with only the standard Vite chunk-size warning.</x:v>
      </x:c>
      <x:c r="L71" s="51" t="str">
        <x:v>Fail</x:v>
      </x:c>
      <x:c r="M71" s="51" t="str">
        <x:v>Fail. Features grid order is Dependencies, Rollup, Estimated, Complete instead of Dependencies, Complete, Rollup, Estimated.</x:v>
      </x:c>
      <x:c r="N71" s="51" t="str">
        <x:v>DevInt browser retest 2026-08-06; controlled P56-AUDIT data. Detail: 07_Testing Plan/Codex_audit_06_tracker.md &gt; Phase 5 DevInt Execution Results.</x:v>
      </x:c>
      <x:c r="O71" s="51" t="str">
        <x:v>Reorder the Features grid metrics to Complete, Rollup, Estimated.</x:v>
      </x:c>
      <x:c r="P71" s="51" t="str">
        <x:v>Codex — Workspace Admin</x:v>
      </x:c>
      <x:c r="Q71" s="51" t="str">
        <x:v>Pending BA confirmation</x:v>
      </x:c>
      <x:c r="R71" s="56" t="n">
        <x:v>46240</x:v>
      </x:c>
    </x:row>
    <x:row r="72">
      <x:c r="A72" s="45" t="str">
        <x:v>P5-CP-032</x:v>
      </x:c>
      <x:c r="B72" s="46" t="str">
        <x:v>Phase 5</x:v>
      </x:c>
      <x:c r="C72" s="46" t="str">
        <x:v>P5-CP - Capacity Planning</x:v>
      </x:c>
      <x:c r="D72" s="46" t="str">
        <x:v>P0</x:v>
      </x:c>
      <x:c r="E72" s="38" t="str">
        <x:v>Features tab quick Planned Team Assignment</x:v>
      </x:c>
      <x:c r="F72"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72" s="38" t="str">
        <x:v>Project TEST; 1 Release; ít nhất 2 Teams; 3 Features; một Feature chưa gán Team; số Capacity/Estimate có thể tính tay.</x:v>
      </x:c>
      <x:c r="H72"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Add a Feature from the Features tab so it is Unassigned, then choose a Team from Planned Team Assignment; add another Feature from Teams by Total; inspect both tabs.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2" s="38" t="str">
        <x:v>Unassigned Feature shows a yellow Team selector. Selecting a Team updates the same allocation ledger reflected in Teams by Total; if the existing unassigned value is blank/0, the allocation value defaults from Refined &gt; Preliminary. Team-level Add Features creates/fills a Team assignment immediately and uses the same default estimate rule. A split Feature remains displayed as N teams; split edits are made through the Allocate dialog.</x:v>
      </x:c>
      <x:c r="J72" s="38" t="str">
        <x:v>Phase 5/02_Capacity_Planning/SRS.md</x:v>
      </x:c>
      <x:c r="K72" s="38" t="str">
        <x:v>Pass 2026-07-28. Browser smoke confirmed FE-315 showed the yellow ⚠ Not assigned combobox with Teams Core Platform, Identity &amp; Access, and Data &amp; Reporting; FE-318 stayed as 2 teams with split allocation subrows and no inline one-Team selector. Build passed with only the standard Vite chunk-size warning.</x:v>
      </x:c>
      <x:c r="L72" s="51" t="str">
        <x:v>Fail</x:v>
      </x:c>
      <x:c r="M72" s="51" t="str">
        <x:v>Fail. Selecting Pegasus in Planned Team Assignment changes counters but the selector remains Not assigned, including after reload.</x:v>
      </x:c>
      <x:c r="N72" s="51" t="str">
        <x:v>DevInt browser retest 2026-08-06; controlled P56-AUDIT data. Detail: 07_Testing Plan/Codex_audit_06_tracker.md &gt; Phase 5 DevInt Execution Results.</x:v>
      </x:c>
      <x:c r="O72" s="51" t="str">
        <x:v>Persist and render quick Planned Team from the shared allocation ledger.</x:v>
      </x:c>
      <x:c r="P72" s="51" t="str">
        <x:v>Codex — Workspace Admin</x:v>
      </x:c>
      <x:c r="Q72" s="51" t="str">
        <x:v>Pending BA confirmation</x:v>
      </x:c>
      <x:c r="R72" s="56" t="n">
        <x:v>46240</x:v>
      </x:c>
    </x:row>
    <x:row r="73">
      <x:c r="A73" s="45" t="str">
        <x:v>P5-CP-033</x:v>
      </x:c>
      <x:c r="B73" s="46" t="str">
        <x:v>Phase 5</x:v>
      </x:c>
      <x:c r="C73" s="46" t="str">
        <x:v>P5-CP - Capacity Planning</x:v>
      </x:c>
      <x:c r="D73" s="46" t="str">
        <x:v>P0</x:v>
      </x:c>
      <x:c r="E73" s="38" t="str">
        <x:v>Capacity Plan ranking, warnings and summary breakdown polish</x:v>
      </x:c>
      <x:c r="F73"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73" s="38" t="str">
        <x:v>Project TEST; 1 Release; ít nhất 2 Teams; 3 Features; một Feature chưa gán Team; số Capacity/Estimate có thể tính tay.</x:v>
      </x:c>
      <x:c r="H73"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CP-001 Features, inspect Rank/Menu/Warnings, click Breakdown, and inspect the top-left Publish actions.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3" s="38" t="str">
        <x:v>Feature Rank displays dense list order 1..N; Feature settings menu includes Move up, Move down, Allocate, Remove from Plan; Publish actions button sits beside Back as a white square with blue vertical dots. Rollup warning appears when Rollup exceeds Estimated; Estimated warning appears when Preliminary, Refined and Allocated estimates are all missing; Team Capacity rail shows the same Team-level warning rules. Breakdown opens a plan-total panel with Complete/Rollup/Estimated/Capacity and the composite bar.</x:v>
      </x:c>
      <x:c r="J73" s="38" t="str">
        <x:v>Phase 5/02_Capacity_Planning/SRS.md</x:v>
      </x:c>
      <x:c r="K73" s="38" t="str">
        <x:v>Pass 2026-07-28. Browser smoke confirmed FE-318/FE-315 ranks displayed 1/2, FE-318 menu contained Move up, Move down, Allocate, Remove from Plan, Data &amp; Reporting showed Rollup exceeds Estimated in the Feature subrow and Team Capacity rail, Breakdown opened By Points with Complete/Rollup/Estimated/Capacity totals, and Publish actions rendered next to Back. Build passed with only the standard Vite chunk-size warning.</x:v>
      </x:c>
      <x:c r="L73" s="51" t="str">
        <x:v>Partial</x:v>
      </x:c>
      <x:c r="M73" s="51" t="str">
        <x:v>Partial. The main available branch worked, but one or more branches could not be completed with the current scope/data.</x:v>
      </x:c>
      <x:c r="N73" s="51" t="str">
        <x:v>DevInt browser retest 2026-08-06; controlled P56-AUDIT data. Detail: 07_Testing Plan/Codex_audit_06_tracker.md &gt; Phase 5 DevInt Execution Results.</x:v>
      </x:c>
      <x:c r="O73" s="51" t="str">
        <x:v>Rank, actions and Breakdown passed; exceed-warning branch lacked suitable data.</x:v>
      </x:c>
      <x:c r="P73" s="51" t="str">
        <x:v>Codex — Workspace Admin</x:v>
      </x:c>
      <x:c r="Q73" s="51" t="str">
        <x:v>Pending BA confirmation</x:v>
      </x:c>
      <x:c r="R73" s="56" t="n">
        <x:v>46240</x:v>
      </x:c>
    </x:row>
    <x:row r="74">
      <x:c r="A74" s="45" t="str">
        <x:v>P5-CP-034</x:v>
      </x:c>
      <x:c r="B74" s="46" t="str">
        <x:v>Phase 5</x:v>
      </x:c>
      <x:c r="C74" s="46" t="str">
        <x:v>P5-CP - Capacity Planning</x:v>
      </x:c>
      <x:c r="D74" s="46" t="str">
        <x:v>P0</x:v>
      </x:c>
      <x:c r="E74" s="38" t="str">
        <x:v>Features-tab unassign and compact Breakdown refinement</x:v>
      </x:c>
      <x:c r="F7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74" s="38" t="str">
        <x:v>Project TEST; 1 Release; ít nhất 2 Teams; 3 Features; một Feature chưa gán Team; số Capacity/Estimate có thể tính tay.</x:v>
      </x:c>
      <x:c r="H74"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CP-001 Features, assign FE-315 to a Team, then choose Unassign; click Breakdown and inspect the panel plus Features tab header area.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4" s="38" t="str">
        <x:v>A one-Team Feature selector includes Unassign; selecting it clears the Team and returns the selector to yellow ⚠ Not assigned while keeping the allocation in the Plan. The Features tab no longer shows the separate intro/sort toolbar, but Add Feature remains. Breakdown rows for Complete, Rollup, Estimated and Capacity each show an aligned mini bar segment on the same scale as the top composite bar.</x:v>
      </x:c>
      <x:c r="J74" s="38" t="str">
        <x:v>Phase 5/02_Capacity_Planning/SRS.md</x:v>
      </x:c>
      <x:c r="K74" s="38" t="str">
        <x:v>Pass 2026-07-28. Browser smoke on CP-001 confirmed FE-315 selector options changed to Unassign after assigning Core Platform, and selecting the empty option returned value "", text ⚠ Not assigned, yellow background/border, and Team options intact. DOM smoke confirmed the removed intro/sort bar text was absent, Add Feature remained, and the By Points Breakdown panel had four metric rows with one aligned bar segment each. Build passed with only the standard Vite chunk-size warning.</x:v>
      </x:c>
      <x:c r="L74" s="51" t="str">
        <x:v>Fail</x:v>
      </x:c>
      <x:c r="M74" s="51" t="str">
        <x:v>Fail. Planned Team never renders as assigned, so the one-Team selector does not expose a usable Unassign flow.</x:v>
      </x:c>
      <x:c r="N74" s="51" t="str">
        <x:v>DevInt browser retest 2026-08-06; controlled P56-AUDIT data. Detail: 07_Testing Plan/Codex_audit_06_tracker.md &gt; Phase 5 DevInt Execution Results.</x:v>
      </x:c>
      <x:c r="O74" s="51" t="str">
        <x:v>Fix P5-CP-032 first, then verify Unassign clears the Team while retaining the Feature in the plan.</x:v>
      </x:c>
      <x:c r="P74" s="51" t="str">
        <x:v>Codex — Workspace Admin</x:v>
      </x:c>
      <x:c r="Q74" s="51" t="str">
        <x:v>Pending BA confirmation</x:v>
      </x:c>
      <x:c r="R74" s="56" t="n">
        <x:v>46240</x:v>
      </x:c>
    </x:row>
    <x:row r="75">
      <x:c r="A75" s="45" t="str">
        <x:v>P5-CP-035</x:v>
      </x:c>
      <x:c r="B75" s="46" t="str">
        <x:v>Phase 5</x:v>
      </x:c>
      <x:c r="C75" s="46" t="str">
        <x:v>P5-CP - Capacity Planning</x:v>
      </x:c>
      <x:c r="D75" s="46" t="str">
        <x:v>P0</x:v>
      </x:c>
      <x:c r="E75" s="38" t="str">
        <x:v>Publish Release/date consistency</x:v>
      </x:c>
      <x:c r="F7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75" s="38" t="str">
        <x:v>Project TEST; 1 Release; ít nhất 2 Teams; 3 Features; một Feature chưa gán Team; số Capacity/Estimate có thể tính tay.</x:v>
      </x:c>
      <x:c r="H75"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In Draft, compare Plan planned start/end to selected Release dates; test both matching and mismatching dates, then choose Publish.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5" s="38" t="str">
        <x:v>Matching dates allow Feature Release/planned-date write. Mismatch does not silently overwrite Feature Release and returns a clear advisory result; Plan visibility may still become Published.</x:v>
      </x:c>
      <x:c r="J75" s="38" t="str">
        <x:v>Phase 5/02_Capacity_Planning/SRS.md</x:v>
      </x:c>
      <x:c r="K75" s="38" t="str">
        <x:v>DEV/QA acceptance coverage - production API behavior Not Run</x:v>
      </x:c>
      <x:c r="L75" s="51" t="str">
        <x:v>Partial</x:v>
      </x:c>
      <x:c r="M75" s="51" t="str">
        <x:v>Partial. Matching-date full Publish passed and wrote RE-1 plus both dates to FE-2; mismatching Plan-vs-Release dates were not tested.</x:v>
      </x:c>
      <x:c r="N75" s="51" t="str">
        <x:v>DevInt browser retest 2026-08-06; controlled P56-AUDIT data. Detail: 07_Testing Plan/Codex_audit_06_tracker.md &gt; Phase 5 DevInt Execution Results.</x:v>
      </x:c>
      <x:c r="O75" s="51" t="str">
        <x:v>Retest the mismatching Plan-date versus Release-date advisory branch.</x:v>
      </x:c>
      <x:c r="P75" s="51" t="str">
        <x:v>Codex — Workspace Admin</x:v>
      </x:c>
      <x:c r="Q75" s="51" t="str">
        <x:v>Pending BA confirmation</x:v>
      </x:c>
      <x:c r="R75" s="56" t="n">
        <x:v>46240</x:v>
      </x:c>
    </x:row>
    <x:row r="76">
      <x:c r="A76" s="45" t="str">
        <x:v>P5-CP-DEF-003</x:v>
      </x:c>
      <x:c r="B76" s="46" t="str">
        <x:v>Phase 5</x:v>
      </x:c>
      <x:c r="C76" s="46" t="str">
        <x:v>P5-CP - Capacity Planning</x:v>
      </x:c>
      <x:c r="D76" s="46" t="str">
        <x:v>P0</x:v>
      </x:c>
      <x:c r="E76" s="38" t="str">
        <x:v>DEFECT - allocation added but row invisible</x:v>
      </x:c>
      <x:c r="F76" s="38" t="str">
        <x:v>DevInt truy cập được và không có lỗi tải trang nghiêm trọng.
Đăng nhập bằng đúng role nêu trong case; nếu case không nêu role thì dùng Workspace Admin.</x:v>
      </x:c>
      <x:c r="G76" s="38" t="str">
        <x:v>Project TEST; 1 Release; ít nhất 2 Teams; 3 Features; một Feature chưa gán Team; số Capacity/Estimate có thể tính tay.</x:v>
      </x:c>
      <x:c r="H76"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Add a Feature whose Release does not match the plan Release to a Team, then look at that Team's expanded Feature list.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6" s="38" t="str">
        <x:v>The added allocation must render a row</x:v>
      </x:c>
      <x:c r="J76" s="38" t="str">
        <x:v>Phase 5/02_Capacity_Planning/SRS.md</x:v>
      </x:c>
      <x:c r="K76" s="38" t="str">
        <x:v>Found and fixed 2026-07-27, introduced by the P5-CP-020 change. Widening the picker to all Project Features let a non-Release-matching Feature (FE-308, Q2 2025) be added, but every display lookup still resolved the Feature through eligibleFeatures, which excludes it - so getPlanFeature returned undefined and the row was silently dropped while the allocation still counted in the Team's Features total. Observed as Core Platform reporting Features 3 with only 2 rows rendered. Fixed by resolving all five display lookups against the full Feature list instead of the eligibility-filtered one, with a comment on getPlanFeature recording why an eligibility-filtered list must never be passed there; eligibleFeatures still governs what the plan-level picker offers. Re-verified: FE-308 now renders as a real row (rank 4, value 0) and the Team's Features count matches the rows shown</x:v>
      </x:c>
      <x:c r="L76" s="51" t="str">
        <x:v>Not Run</x:v>
      </x:c>
      <x:c r="M76" s="51" t="str">
        <x:v>Not Run in the 2026-08-06 DevInt session.</x:v>
      </x:c>
      <x:c r="N76" s="51" t="str">
        <x:v>DevInt browser retest 2026-08-06; controlled P56-AUDIT data. Detail: 07_Testing Plan/Codex_audit_06_tracker.md &gt; Phase 5 DevInt Execution Results.</x:v>
      </x:c>
      <x:c r="O76" s="51" t="str">
        <x:v>A non-matching Release allocation dataset was not created.</x:v>
      </x:c>
      <x:c r="P76" s="51" t="str">
        <x:v>Codex — Workspace Admin</x:v>
      </x:c>
      <x:c r="Q76" s="51" t="str">
        <x:v>Pending test precondition</x:v>
      </x:c>
      <x:c r="R76" s="56" t="n">
        <x:v>46240</x:v>
      </x:c>
    </x:row>
    <x:row r="77">
      <x:c r="A77" s="45" t="str">
        <x:v>P5-CP-DEF-002</x:v>
      </x:c>
      <x:c r="B77" s="46" t="str">
        <x:v>Phase 5</x:v>
      </x:c>
      <x:c r="C77" s="46" t="str">
        <x:v>P5-CP - Capacity Planning</x:v>
      </x:c>
      <x:c r="D77" s="46" t="str">
        <x:v>P2</x:v>
      </x:c>
      <x:c r="E77" s="38" t="str">
        <x:v>DEFECT - Team sort unavailable to read-only viewers</x:v>
      </x:c>
      <x:c r="F77" s="38" t="str">
        <x:v>DevInt truy cập được và không có lỗi tải trang nghiêm trọng.
Đăng nhập bằng đúng role nêu trong case; nếu case không nêu role thì dùng Workspace Admin.
Có account và Project assignment tương ứng để kiểm tra quyền.
Chỉ dùng dữ liệu audit có prefix P56-AUDIT; không sửa dữ liệu nghiệp vụ có sẵn.</x:v>
      </x:c>
      <x:c r="G77" s="38" t="str">
        <x:v>Project TEST; 1 Release; ít nhất 2 Teams; 3 Features; một Feature chưa gán Team; số Capacity/Estimate có thể tính tay.</x:v>
      </x:c>
      <x:c r="H77" s="38" t="str">
        <x:v>1. Mở https://rally-dev.qnsc.vn/ và xác nhận đúng tài khoản/role của case.
2. Chọn Workspace/Project/Team theo Test Data; ghi lại scope trước khi thao tác.
3. Mở Portfolio &gt; Capacity Planning; chụp trạng thái ban đầu nếu case liên quan UI, số liệu hoặc quyền.
4. Thực hiện nghiệp vụ: Open a plan as any read-only viewer (Published plan, Project Member, or Project Admin with planner View) and look for the Teams by Total Sort control.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7" s="38" t="str">
        <x:v>Sorting is a read action and should remain available even when the plan cannot be edited</x:v>
      </x:c>
      <x:c r="J77" s="38" t="str">
        <x:v>Phase 5/02_Capacity_Planning/SRS.md</x:v>
      </x:c>
      <x:c r="K77" s="38" t="str">
        <x:v>Fixed and verified 2026-07-27 (found 2026-07-27, pre-existing; not caused by the graded-permission change). Cause: the Sort select sat inside the editable-gated action bar at CapacityPlanningPage.tsx:636 alongside Add Team and Calculate Capacity Forecast, so it vanished whenever the plan was not editable, while the Features tab kept its own sort in the same states. Fix: the action bar now always renders on the Teams by Total tab and only the two mutating buttons carry the editable gate; the ml-auto on the Sort label keeps it right-aligned when those buttons are absent. Verified in both read-only paths - Published plan as Workspace Admin, and Draft plan as Project Admin with planner View - Sort renders, changing it to Capacity is accepted and retained, and Add Team/Calculate Capacity Forecast stay correctly hidden. Removes the read-only gap this had opened in P5-CP-014</x:v>
      </x:c>
      <x:c r="L77" s="51" t="str">
        <x:v>Pass</x:v>
      </x:c>
      <x:c r="M77" s="51" t="str">
        <x:v>Pass. Teams sorting controls remained visible in Published read-only state.</x:v>
      </x:c>
      <x:c r="N77" s="51" t="str">
        <x:v>DevInt browser retest 2026-08-06; controlled P56-AUDIT data. Detail: 07_Testing Plan/Codex_audit_06_tracker.md &gt; Phase 5 DevInt Execution Results.</x:v>
      </x:c>
      <x:c r="O77" s="51"/>
      <x:c r="P77" s="51" t="str">
        <x:v>Codex — Workspace Admin</x:v>
      </x:c>
      <x:c r="Q77" s="51" t="str">
        <x:v>Pending BA confirmation</x:v>
      </x:c>
      <x:c r="R77" s="56" t="n">
        <x:v>46240</x:v>
      </x:c>
    </x:row>
    <x:row r="78">
      <x:c r="A78" s="45" t="str">
        <x:v>P5-RP-001</x:v>
      </x:c>
      <x:c r="B78" s="46" t="str">
        <x:v>Phase 5</x:v>
      </x:c>
      <x:c r="C78" s="46" t="str">
        <x:v>P5-RP - Release Planning</x:v>
      </x:c>
      <x:c r="D78" s="46" t="str">
        <x:v>P1</x:v>
      </x:c>
      <x:c r="E78" s="38" t="str">
        <x:v>Release Planning deferred gate</x:v>
      </x:c>
      <x:c r="F78" s="38" t="str">
        <x:v>DevInt truy cập được và không có lỗi tải trang nghiêm trọng.
Đăng nhập bằng đúng role nêu trong case; nếu case không nêu role thì dùng Workspace Admin.</x:v>
      </x:c>
      <x:c r="G78" s="38" t="str">
        <x:v>Project TEST; Release, Milestone và Iteration có ngày rõ ràng; dùng prefix P56-AUDIT.</x:v>
      </x:c>
      <x:c r="H78" s="38" t="str">
        <x:v>1. Mở https://rally-dev.qnsc.vn/ và xác nhận đúng tài khoản/role của case.
2. Chọn Workspace/Project/Team theo Test Data; ghi lại scope trước khi thao tác.
3. Mở P5-RP - Release Planning; chụp trạng thái ban đầu nếu case liên quan UI, số liệu hoặc quyền.
4. Thực hiện nghiệp vụ: Inspect the closed Phase 5 scope and active Portfolio navigation.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8" s="38" t="str">
        <x:v>Release Planning is not part of the closed Phase 5 MVP and remains Future Backlog</x:v>
      </x:c>
      <x:c r="J78" s="38" t="str">
        <x:v>Phase 5/PHASE5_DEV_HANDOFF.md</x:v>
      </x:c>
      <x:c r="K78" s="38" t="str">
        <x:v>Superseded / Not applicable to Phase 5 close</x:v>
      </x:c>
      <x:c r="L78" s="51" t="str">
        <x:v>Not Required</x:v>
      </x:c>
      <x:c r="M78" s="51" t="str">
        <x:v>Not Required. Scenario is superseded or outside the accepted active Phase 5 scope.</x:v>
      </x:c>
      <x:c r="N78" s="51" t="str">
        <x:v>DevInt browser retest 2026-08-06; controlled P56-AUDIT data. Detail: 07_Testing Plan/Codex_audit_06_tracker.md &gt; Phase 5 DevInt Execution Results.</x:v>
      </x:c>
      <x:c r="O78" s="51" t="str">
        <x:v>Retained for traceability only; do not treat as an active acceptance gate.</x:v>
      </x:c>
      <x:c r="P78" s="51" t="str">
        <x:v>Codex — Workspace Admin</x:v>
      </x:c>
      <x:c r="Q78" s="51" t="str">
        <x:v>Previously confirmed Not Required</x:v>
      </x:c>
      <x:c r="R78" s="56" t="n">
        <x:v>46240</x:v>
      </x:c>
    </x:row>
    <x:row r="79">
      <x:c r="A79" s="45" t="str">
        <x:v>P5-CLOSE-001</x:v>
      </x:c>
      <x:c r="B79" s="46" t="str">
        <x:v>Phase 5</x:v>
      </x:c>
      <x:c r="C79" s="46" t="str">
        <x:v>P5-CLOSE - Phase Closeout</x:v>
      </x:c>
      <x:c r="D79" s="46" t="str">
        <x:v>P0</x:v>
      </x:c>
      <x:c r="E79" s="38" t="str">
        <x:v>Closed scope consistency</x:v>
      </x:c>
      <x:c r="F79" s="38" t="str">
        <x:v>DevInt truy cập được và không có lỗi tải trang nghiêm trọng.
Đăng nhập bằng đúng role nêu trong case; nếu case không nêu role thì dùng Workspace Admin.</x:v>
      </x:c>
      <x:c r="G79" s="38" t="str">
        <x:v>Dùng dữ liệu test riêng trong Project TEST. Nếu chưa có dữ liệu bắt buộc, ghi Blocked và nêu rõ dữ liệu còn thiếu.</x:v>
      </x:c>
      <x:c r="H79" s="38" t="str">
        <x:v>1. Mở https://rally-dev.qnsc.vn/ và xác nhận đúng tài khoản/role của case.
2. Chọn Workspace/Project/Team theo Test Data; ghi lại scope trước khi thao tác.
3. Mở P5-CLOSE - Phase Closeout; chụp trạng thái ban đầu nếu case liên quan UI, số liệu hoặc quyền.
4. Thực hiện nghiệp vụ: Compare Portfolio/Capacity SRS, Phase tracker, source of truth, Product Plan and DEV handoff.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9" s="38" t="str">
        <x:v>Every source closes P5.1/P5.2, excludes Release Planning/Tracking and identifies Reports only as Future Backlog</x:v>
      </x:c>
      <x:c r="J79" s="38" t="str">
        <x:v>Phase 5/PHASE5_DEV_HANDOFF.md</x:v>
      </x:c>
      <x:c r="K79" s="38" t="str">
        <x:v>Pass 2026-07-28</x:v>
      </x:c>
      <x:c r="L79" s="51" t="str">
        <x:v>Pass</x:v>
      </x:c>
      <x:c r="M79" s="51" t="str">
        <x:v>Pass. DevInt behavior matched the Expected Result for the tested branch; prior approved evidence was retained where applicable.</x:v>
      </x:c>
      <x:c r="N79" s="51" t="str">
        <x:v>DevInt browser retest 2026-08-06; controlled P56-AUDIT data. Detail: 07_Testing Plan/Codex_audit_06_tracker.md &gt; Phase 5 DevInt Execution Results.</x:v>
      </x:c>
      <x:c r="O79" s="51"/>
      <x:c r="P79" s="51" t="str">
        <x:v>Codex — Workspace Admin</x:v>
      </x:c>
      <x:c r="Q79" s="51" t="str">
        <x:v>Pending BA confirmation</x:v>
      </x:c>
      <x:c r="R79" s="56" t="n">
        <x:v>46240</x:v>
      </x:c>
    </x:row>
    <x:row r="80">
      <x:c r="A80" s="45" t="str">
        <x:v>P5-CLOSE-002</x:v>
      </x:c>
      <x:c r="B80" s="46" t="str">
        <x:v>Phase 5</x:v>
      </x:c>
      <x:c r="C80" s="46" t="str">
        <x:v>P5-CLOSE - Phase Closeout</x:v>
      </x:c>
      <x:c r="D80" s="46" t="str">
        <x:v>P0</x:v>
      </x:c>
      <x:c r="E80" s="38" t="str">
        <x:v>Dedicated developer handoff</x:v>
      </x:c>
      <x:c r="F80" s="38" t="str">
        <x:v>DevInt truy cập được và không có lỗi tải trang nghiêm trọng.
Đăng nhập bằng đúng role nêu trong case; nếu case không nêu role thì dùng Workspace Admin.</x:v>
      </x:c>
      <x:c r="G80" s="38" t="str">
        <x:v>Dùng dữ liệu test riêng trong Project TEST. Nếu chưa có dữ liệu bắt buộc, ghi Blocked và nêu rõ dữ liệu còn thiếu.</x:v>
      </x:c>
      <x:c r="H80" s="38" t="str">
        <x:v>1. Mở https://rally-dev.qnsc.vn/ và xác nhận đúng tài khoản/role của case.
2. Chọn Workspace/Project/Team theo Test Data; ghi lại scope trước khi thao tác.
3. Mở P5-CLOSE - Phase Closeout; chụp trạng thái ban đầu nếu case liên quan UI, số liệu hoặc quyền.
4. Thực hiện nghiệp vụ: Open ../../04_Developement_tracking/Phase 5/PHASE5_DEV_HANDOFF.md.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80" s="38" t="str">
        <x:v>Handoff defines scope, hierarchy, formulas, lifecycle, buttons, access boundary, integration, implementation order and production gaps</x:v>
      </x:c>
      <x:c r="J80" s="38" t="str">
        <x:v>Phase 5/PHASE5_DEV_HANDOFF.md</x:v>
      </x:c>
      <x:c r="K80" s="38" t="str">
        <x:v>Pass 2026-07-28</x:v>
      </x:c>
      <x:c r="L80" s="51" t="str">
        <x:v>Pass</x:v>
      </x:c>
      <x:c r="M80" s="51" t="str">
        <x:v>Pass. DevInt behavior matched the Expected Result for the tested branch; prior approved evidence was retained where applicable.</x:v>
      </x:c>
      <x:c r="N80" s="51" t="str">
        <x:v>DevInt browser retest 2026-08-06; controlled P56-AUDIT data. Detail: 07_Testing Plan/Codex_audit_06_tracker.md &gt; Phase 5 DevInt Execution Results.</x:v>
      </x:c>
      <x:c r="O80" s="51"/>
      <x:c r="P80" s="51" t="str">
        <x:v>Codex — Workspace Admin</x:v>
      </x:c>
      <x:c r="Q80" s="51" t="str">
        <x:v>Pending BA confirmation</x:v>
      </x:c>
      <x:c r="R80" s="56" t="n">
        <x:v>46240</x:v>
      </x:c>
    </x:row>
    <x:row r="81">
      <x:c r="A81" s="45" t="str">
        <x:v>P5-CLOSE-003</x:v>
      </x:c>
      <x:c r="B81" s="46" t="str">
        <x:v>Phase 5</x:v>
      </x:c>
      <x:c r="C81" s="46" t="str">
        <x:v>P5-CLOSE - Phase Closeout</x:v>
      </x:c>
      <x:c r="D81" s="46" t="str">
        <x:v>P0</x:v>
      </x:c>
      <x:c r="E81" s="38" t="str">
        <x:v>Build verification</x:v>
      </x:c>
      <x:c r="F81" s="38" t="str">
        <x:v>DevInt truy cập được và không có lỗi tải trang nghiêm trọng.
Đăng nhập bằng đúng role nêu trong case; nếu case không nêu role thì dùng Workspace Admin.</x:v>
      </x:c>
      <x:c r="G81" s="38" t="str">
        <x:v>Dùng dữ liệu test riêng trong Project TEST. Nếu chưa có dữ liệu bắt buộc, ghi Blocked và nêu rõ dữ liệu còn thiếu.</x:v>
      </x:c>
      <x:c r="H81" s="38" t="str">
        <x:v>1. Mở https://rally-dev.qnsc.vn/ và xác nhận đúng tài khoản/role của case.
2. Chọn Workspace/Project/Team theo Test Data; ghi lại scope trước khi thao tác.
3. Mở P5-CLOSE - Phase Closeout; chụp trạng thái ban đầu nếu case liên quan UI, số liệu hoặc quyền.
4. Thực hiện nghiệp vụ: Run npm.cmd run build in 03_Mockup Design.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81" s="38" t="str">
        <x:v>Production build succeeds; any non-blocking warning is recorded</x:v>
      </x:c>
      <x:c r="J81" s="38" t="str">
        <x:v>Phase 5/PHASE5_DEV_HANDOFF.md</x:v>
      </x:c>
      <x:c r="K81" s="38" t="str">
        <x:v>Pass 2026-07-28; existing Vite chunk-size warning only</x:v>
      </x:c>
      <x:c r="L81" s="51" t="str">
        <x:v>Pass</x:v>
      </x:c>
      <x:c r="M81" s="51" t="str">
        <x:v>Pass. DevInt behavior matched the Expected Result for the tested branch; prior approved evidence was retained where applicable.</x:v>
      </x:c>
      <x:c r="N81" s="51" t="str">
        <x:v>DevInt browser retest 2026-08-06; controlled P56-AUDIT data. Detail: 07_Testing Plan/Codex_audit_06_tracker.md &gt; Phase 5 DevInt Execution Results.</x:v>
      </x:c>
      <x:c r="O81" s="51"/>
      <x:c r="P81" s="51" t="str">
        <x:v>Codex — Workspace Admin</x:v>
      </x:c>
      <x:c r="Q81" s="51" t="str">
        <x:v>Pending BA confirmation</x:v>
      </x:c>
      <x:c r="R81" s="56" t="n">
        <x:v>46240</x:v>
      </x:c>
    </x:row>
    <x:row r="82">
      <x:c r="A82" s="47" t="str">
        <x:v>P5-CLOSE-004</x:v>
      </x:c>
      <x:c r="B82" s="48" t="str">
        <x:v>Phase 5</x:v>
      </x:c>
      <x:c r="C82" s="48" t="str">
        <x:v>P5-CLOSE - Phase Closeout</x:v>
      </x:c>
      <x:c r="D82" s="48" t="str">
        <x:v>P0</x:v>
      </x:c>
      <x:c r="E82" s="41" t="str">
        <x:v>Readiness boundary</x:v>
      </x:c>
      <x:c r="F82" s="41" t="str">
        <x:v>DevInt truy cập được và không có lỗi tải trang nghiêm trọng.
Đăng nhập bằng đúng role nêu trong case; nếu case không nêu role thì dùng Workspace Admin.</x:v>
      </x:c>
      <x:c r="G82" s="41" t="str">
        <x:v>Dùng dữ liệu test riêng trong Project TEST. Nếu chưa có dữ liệu bắt buộc, ghi Blocked và nêu rõ dữ liệu còn thiếu.</x:v>
      </x:c>
      <x:c r="H82" s="41" t="str">
        <x:v>1. Mở https://rally-dev.qnsc.vn/ và xác nhận đúng tài khoản/role của case.
2. Chọn Workspace/Project/Team theo Test Data; ghi lại scope trước khi thao tác.
3. Mở P5-CLOSE - Phase Closeout; chụp trạng thái ban đầu nếu case liên quan UI, số liệu hoặc quyền.
4. Thực hiện nghiệp vụ: Review close labels in tracker, source and handoff.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82" s="41" t="str">
        <x:v>Documents state BA/mockup closed and DEV handoff ready, while persistence/API/server authorization/deployment remain not started</x:v>
      </x:c>
      <x:c r="J82" s="41" t="str">
        <x:v>Phase 5/PHASE5_DEV_HANDOFF.md</x:v>
      </x:c>
      <x:c r="K82" s="41" t="str">
        <x:v>Pass 2026-07-28</x:v>
      </x:c>
      <x:c r="L82" s="53" t="str">
        <x:v>Pass</x:v>
      </x:c>
      <x:c r="M82" s="53" t="str">
        <x:v>Pass. DevInt behavior matched the Expected Result for the tested branch; prior approved evidence was retained where applicable.</x:v>
      </x:c>
      <x:c r="N82" s="53" t="str">
        <x:v>DevInt browser retest 2026-08-06; controlled P56-AUDIT data. Detail: 07_Testing Plan/Codex_audit_06_tracker.md &gt; Phase 5 DevInt Execution Results.</x:v>
      </x:c>
      <x:c r="O82" s="53"/>
      <x:c r="P82" s="53" t="str">
        <x:v>Codex — Workspace Admin</x:v>
      </x:c>
      <x:c r="Q82" s="53" t="str">
        <x:v>Pending BA confirmation</x:v>
      </x:c>
      <x:c r="R82" s="57" t="n">
        <x:v>46240</x:v>
      </x:c>
    </x:row>
  </x:sheetData>
  <x:mergeCells>
    <x:mergeCell ref="A1:R1"/>
    <x:mergeCell ref="A2:R2"/>
  </x:mergeCells>
  <x:dataValidations count="2">
    <x:dataValidation type="list" sqref="L5:L82">
      <x:formula1>"Not Run,Pass,Partial,Fail,Blocked,Future Backlog,Not Required"</x:formula1>
    </x:dataValidation>
    <x:dataValidation type="list" sqref="Q5:Q82">
      <x:formula1>"Pending,Confirmed,Needs Discussion"</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7" hidden="0" customWidth="1"/>
    <x:col min="2" max="2" width="11" hidden="0" customWidth="1"/>
    <x:col min="3" max="3" width="28" hidden="0" customWidth="1"/>
    <x:col min="4" max="4" width="9" hidden="0" customWidth="1"/>
    <x:col min="5" max="5" width="30" hidden="0" customWidth="1"/>
    <x:col min="6" max="6" width="42" hidden="0" customWidth="1"/>
    <x:col min="7" max="7" width="42" hidden="0" customWidth="1"/>
    <x:col min="8" max="8" width="72" hidden="0" customWidth="1"/>
    <x:col min="9" max="9" width="54" hidden="0" customWidth="1"/>
    <x:col min="10" max="10" width="34" hidden="0" customWidth="1"/>
    <x:col min="11" max="11" width="48" hidden="0" customWidth="1"/>
    <x:col min="12" max="12" width="17" hidden="0" customWidth="1"/>
    <x:col min="13" max="13" width="48" hidden="0" customWidth="1"/>
    <x:col min="14" max="14" width="38" hidden="0" customWidth="1"/>
    <x:col min="15" max="15" width="46" hidden="0" customWidth="1"/>
    <x:col min="16" max="16" width="18" hidden="0" customWidth="1"/>
    <x:col min="17" max="17" width="20" hidden="0" customWidth="1"/>
    <x:col min="18" max="18" width="14" hidden="0" customWidth="1"/>
  </x:cols>
  <x:sheetData>
    <x:row r="1" ht="30" customHeight="1">
      <x:c r="A1" s="4" t="str">
        <x:v>Phase 6 Production Audit</x:v>
      </x:c>
      <x:c r="B1" s="4"/>
      <x:c r="C1" s="4"/>
      <x:c r="D1" s="4"/>
      <x:c r="E1" s="4"/>
      <x:c r="F1" s="4"/>
      <x:c r="G1" s="4"/>
      <x:c r="H1" s="4"/>
      <x:c r="I1" s="4"/>
      <x:c r="J1" s="4"/>
      <x:c r="K1" s="4"/>
      <x:c r="L1" s="4"/>
      <x:c r="M1" s="4"/>
      <x:c r="N1" s="4"/>
      <x:c r="O1" s="4"/>
      <x:c r="P1" s="4"/>
      <x:c r="Q1" s="4"/>
      <x:c r="R1" s="4"/>
    </x:row>
    <x:row r="2" ht="34" customHeight="1">
      <x:c r="A2" s="8" t="str">
        <x:v>53 Release Tracking and Reports scenarios generated from the approved SRS.</x:v>
      </x:c>
      <x:c r="B2" s="8"/>
      <x:c r="C2" s="8"/>
      <x:c r="D2" s="8"/>
      <x:c r="E2" s="8"/>
      <x:c r="F2" s="8"/>
      <x:c r="G2" s="8"/>
      <x:c r="H2" s="8"/>
      <x:c r="I2" s="8"/>
      <x:c r="J2" s="8"/>
      <x:c r="K2" s="8"/>
      <x:c r="L2" s="8"/>
      <x:c r="M2" s="8"/>
      <x:c r="N2" s="8"/>
      <x:c r="O2" s="8"/>
      <x:c r="P2" s="8"/>
      <x:c r="Q2" s="8"/>
      <x:c r="R2" s="8"/>
    </x:row>
    <x:row r="4">
      <x:c r="A4" s="14" t="str">
        <x:v>ID</x:v>
      </x:c>
      <x:c r="B4" s="14" t="str">
        <x:v>Phase</x:v>
      </x:c>
      <x:c r="C4" s="14" t="str">
        <x:v>Module</x:v>
      </x:c>
      <x:c r="D4" s="14" t="str">
        <x:v>Priority</x:v>
      </x:c>
      <x:c r="E4" s="14" t="str">
        <x:v>Test Objective</x:v>
      </x:c>
      <x:c r="F4" s="14" t="str">
        <x:v>Preconditions</x:v>
      </x:c>
      <x:c r="G4" s="14" t="str">
        <x:v>Test Data</x:v>
      </x:c>
      <x:c r="H4" s="14" t="str">
        <x:v>Detailed Test Steps</x:v>
      </x:c>
      <x:c r="I4" s="14" t="str">
        <x:v>Expected Result</x:v>
      </x:c>
      <x:c r="J4" s="14" t="str">
        <x:v>SRS / Mockup Ref</x:v>
      </x:c>
      <x:c r="K4" s="14" t="str">
        <x:v>Previous Result</x:v>
      </x:c>
      <x:c r="L4" s="14" t="str">
        <x:v>Current Status</x:v>
      </x:c>
      <x:c r="M4" s="14" t="str">
        <x:v>Actual Result</x:v>
      </x:c>
      <x:c r="N4" s="14" t="str">
        <x:v>Evidence</x:v>
      </x:c>
      <x:c r="O4" s="14" t="str">
        <x:v>Gap / Comment</x:v>
      </x:c>
      <x:c r="P4" s="14" t="str">
        <x:v>Tester</x:v>
      </x:c>
      <x:c r="Q4" s="14" t="str">
        <x:v>BA Confirmation</x:v>
      </x:c>
      <x:c r="R4" s="14" t="str">
        <x:v>Test Date</x:v>
      </x:c>
    </x:row>
    <x:row r="5">
      <x:c r="A5" s="43" t="str">
        <x:v>P6-COM-001</x:v>
      </x:c>
      <x:c r="B5" s="44" t="str">
        <x:v>Phase 6</x:v>
      </x:c>
      <x:c r="C5" s="44" t="str">
        <x:v>A. Navigation, scope and common behavior</x:v>
      </x:c>
      <x:c r="D5" s="44" t="str">
        <x:v>P0</x:v>
      </x:c>
      <x:c r="E5" s="35" t="str">
        <x:v>Open Portfolio menu</x:v>
      </x:c>
      <x:c r="F5" s="35" t="str">
        <x:v>DevInt truy cập được và không có lỗi tải trang nghiêm trọng.
Đăng nhập bằng đúng role nêu trong case; nếu case không nêu role thì dùng Workspace Admin.</x:v>
      </x:c>
      <x:c r="G5" s="35" t="str">
        <x:v>Dùng dữ liệu test riêng trong Project TEST. Nếu chưa có dữ liệu bắt buộc, ghi Blocked và nêu rõ dữ liệu còn thiếu.</x:v>
      </x:c>
      <x:c r="H5" s="35" t="str">
        <x:v>1. Mở https://rally-dev.qnsc.vn/ và xác nhận đúng tài khoản/role của case.
2. Chọn Workspace/Project/Team theo Test Data; ghi lại scope trước khi thao tác.
3. Mở Portfolio menu; chụp trạng thái ban đầu nếu case liên quan UI, số liệu hoặc quyền.
4. Thực hiện nghiệp vụ: Open Portfolio menu.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 s="35" t="str">
        <x:v>Order is Portfolio Items, Capacity Planning, Release Tracking; Release Tracking is last</x:v>
      </x:c>
      <x:c r="J5" s="35" t="str">
        <x:v>Phase 6/PHASE6_REPORTS_BUSINESS_AND_DATA_CONTRACT.md</x:v>
      </x:c>
      <x:c r="K5" s="35" t="str">
        <x:v>Codex inventory 2026-08-05 - Pass: Portfolio menu order matches approved contract.</x:v>
      </x:c>
      <x:c r="L5" s="49" t="str">
        <x:v>Pass</x:v>
      </x:c>
      <x:c r="M5" s="49" t="str">
        <x:v>Portfolio menu order is Portfolio Items, Capacity Planning, Release Tracking.</x:v>
      </x:c>
      <x:c r="N5" s="49" t="str">
        <x:v>../Codex_audit_06_tracker.md</x:v>
      </x:c>
      <x:c r="O5" s="49"/>
      <x:c r="P5" s="49" t="str">
        <x:v>Codex</x:v>
      </x:c>
      <x:c r="Q5" s="49" t="str">
        <x:v>Pending BA confirmation</x:v>
      </x:c>
      <x:c r="R5" s="55" t="n">
        <x:v>46240</x:v>
      </x:c>
    </x:row>
    <x:row r="6">
      <x:c r="A6" s="45" t="str">
        <x:v>P6-COM-002</x:v>
      </x:c>
      <x:c r="B6" s="46" t="str">
        <x:v>Phase 6</x:v>
      </x:c>
      <x:c r="C6" s="46" t="str">
        <x:v>A. Navigation, scope and common behavior</x:v>
      </x:c>
      <x:c r="D6" s="46" t="str">
        <x:v>P0</x:v>
      </x:c>
      <x:c r="E6" s="38" t="str">
        <x:v>Open Reports and inspect Type</x:v>
      </x:c>
      <x:c r="F6" s="38" t="str">
        <x:v>DevInt truy cập được và không có lỗi tải trang nghiêm trọng.
Đăng nhập bằng đúng role nêu trong case; nếu case không nêu role thì dùng Workspace Admin.</x:v>
      </x:c>
      <x:c r="G6" s="38" t="str">
        <x:v>Dùng dữ liệu test riêng trong Project TEST. Nếu chưa có dữ liệu bắt buộc, ghi Blocked và nêu rõ dữ liệu còn thiếu.</x:v>
      </x:c>
      <x:c r="H6" s="38" t="str">
        <x:v>1. Mở https://rally-dev.qnsc.vn/ và xác nhận đúng tài khoản/role của case.
2. Chọn Workspace/Project/Team theo Test Data; ghi lại scope trước khi thao tác.
3. Mở Reports; chụp trạng thái ban đầu nếu case liên quan UI, số liệu hoặc quyền.
4. Thực hiện nghiệp vụ: Open Reports and inspect Type.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6" s="38" t="str">
        <x:v>Exactly Iteration Burndown, Velocity and Team Capacity are available</x:v>
      </x:c>
      <x:c r="J6" s="38" t="str">
        <x:v>Phase 6/PHASE6_REPORTS_BUSINESS_AND_DATA_CONTRACT.md</x:v>
      </x:c>
      <x:c r="K6" s="38" t="str">
        <x:v>Codex inventory 2026-08-05 - Pass: Reports exposes exactly the three approved report types.</x:v>
      </x:c>
      <x:c r="L6" s="51" t="str">
        <x:v>Pass</x:v>
      </x:c>
      <x:c r="M6" s="51" t="str">
        <x:v>Type contains exactly Iteration Burndown, Velocity and Team Capacity.</x:v>
      </x:c>
      <x:c r="N6" s="51" t="str">
        <x:v>../Codex_audit_06_tracker.md</x:v>
      </x:c>
      <x:c r="O6" s="51"/>
      <x:c r="P6" s="51" t="str">
        <x:v>Codex</x:v>
      </x:c>
      <x:c r="Q6" s="51" t="str">
        <x:v>Pending BA confirmation</x:v>
      </x:c>
      <x:c r="R6" s="56" t="n">
        <x:v>46240</x:v>
      </x:c>
    </x:row>
    <x:row r="7">
      <x:c r="A7" s="45" t="str">
        <x:v>P6-COM-003</x:v>
      </x:c>
      <x:c r="B7" s="46" t="str">
        <x:v>Phase 6</x:v>
      </x:c>
      <x:c r="C7" s="46" t="str">
        <x:v>A. Navigation, scope and common behavior</x:v>
      </x:c>
      <x:c r="D7" s="46" t="str">
        <x:v>P0</x:v>
      </x:c>
      <x:c r="E7" s="38" t="str">
        <x:v>Switch global Project/Team context</x:v>
      </x:c>
      <x:c r="F7" s="38" t="str">
        <x:v>DevInt truy cập được và không có lỗi tải trang nghiêm trọng.
Đăng nhập bằng đúng role nêu trong case; nếu case không nêu role thì dùng Workspace Admin.</x:v>
      </x:c>
      <x:c r="G7" s="38" t="str">
        <x:v>Project TEST; một Team có member và một Team không có member; Team Lead để trống khi case yêu cầu.</x:v>
      </x:c>
      <x:c r="H7" s="38" t="str">
        <x:v>1. Mở https://rally-dev.qnsc.vn/ và xác nhận đúng tài khoản/role của case.
2. Chọn Workspace/Project/Team theo Test Data; ghi lại scope trước khi thao tác.
3. Mở global Workspace / Project / Team selectors; chụp trạng thái ban đầu nếu case liên quan UI, số liệu hoặc quyền.
4. Thực hiện nghiệp vụ: Switch global Project/Team context.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7" s="38" t="str">
        <x:v>Every summary, row and chart uses the new scope; no duplicate page Project/Team filter</x:v>
      </x:c>
      <x:c r="J7" s="38" t="str">
        <x:v>Phase 6/PHASE6_REPORTS_BUSINESS_AND_DATA_CONTRACT.md</x:v>
      </x:c>
      <x:c r="K7" s="38" t="str">
        <x:v>Codex inventory 2026-08-05 - Blocked: Only All Teams with no Team-linked data is available.</x:v>
      </x:c>
      <x:c r="L7" s="51" t="str">
        <x:v>Pass</x:v>
      </x:c>
      <x:c r="M7" s="51" t="str">
        <x:v>All Teams -&gt; Pegasus updates Team Capacity scope and no duplicate local Project/Team filter appears.</x:v>
      </x:c>
      <x:c r="N7" s="51" t="str">
        <x:v>../Codex_audit_06_tracker.md</x:v>
      </x:c>
      <x:c r="O7" s="51"/>
      <x:c r="P7" s="51" t="str">
        <x:v>Codex</x:v>
      </x:c>
      <x:c r="Q7" s="51" t="str">
        <x:v>Pending BA confirmation</x:v>
      </x:c>
      <x:c r="R7" s="56" t="n">
        <x:v>46240</x:v>
      </x:c>
    </x:row>
    <x:row r="8">
      <x:c r="A8" s="45" t="str">
        <x:v>P6-COM-004</x:v>
      </x:c>
      <x:c r="B8" s="46" t="str">
        <x:v>Phase 6</x:v>
      </x:c>
      <x:c r="C8" s="46" t="str">
        <x:v>A. Navigation, scope and common behavior</x:v>
      </x:c>
      <x:c r="D8" s="46" t="str">
        <x:v>P0</x:v>
      </x:c>
      <x:c r="E8" s="38" t="str">
        <x:v>Test Workspace Admin, Project Admin and Project Member</x:v>
      </x:c>
      <x:c r="F8" s="38" t="str">
        <x:v>DevInt truy cập được và không có lỗi tải trang nghiêm trọng.
Đăng nhập bằng đúng role nêu trong case; nếu case không nêu role thì dùng Workspace Admin.
Có account và Project assignment tương ứng để kiểm tra quyền.</x:v>
      </x:c>
      <x:c r="G8" s="38" t="str">
        <x:v>Dùng dữ liệu test riêng trong Project TEST. Nếu chưa có dữ liệu bắt buộc, ghi Blocked và nêu rõ dữ liệu còn thiếu.</x:v>
      </x:c>
      <x:c r="H8" s="38" t="str">
        <x:v>1. Mở https://rally-dev.qnsc.vn/ và xác nhận đúng tài khoản/role của case.
2. Chọn Workspace/Project/Team theo Test Data; ghi lại scope trước khi thao tác.
3. Mở mỗi route Phase 6 theo role matrix; chụp trạng thái ban đầu nếu case liên quan UI, số liệu hoặc quyền.
4. Thực hiện nghiệp vụ: Test Workspace Admin, Project Admin and Project Member.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8" s="38" t="str">
        <x:v>UI and server results enforce the approved role/project/team scope</x:v>
      </x:c>
      <x:c r="J8" s="38" t="str">
        <x:v>Phase 6/PHASE6_REPORTS_BUSINESS_AND_DATA_CONTRACT.md</x:v>
      </x:c>
      <x:c r="K8" s="38" t="str">
        <x:v>Codex inventory 2026-08-05 - Blocked: Only Workspace Admin session is available.</x:v>
      </x:c>
      <x:c r="L8" s="51" t="str">
        <x:v>Blocked</x:v>
      </x:c>
      <x:c r="M8" s="51" t="str">
        <x:v>Only a Workspace Admin session is available; RBAC roles cannot be compared.</x:v>
      </x:c>
      <x:c r="N8" s="51" t="str">
        <x:v>../Codex_audit_06_tracker.md</x:v>
      </x:c>
      <x:c r="O8" s="51" t="str">
        <x:v>Blocked dependency: Only a Workspace Admin session is available; RBAC roles cannot be compared.</x:v>
      </x:c>
      <x:c r="P8" s="51" t="str">
        <x:v>Codex</x:v>
      </x:c>
      <x:c r="Q8" s="51" t="str">
        <x:v>Pending BA confirmation</x:v>
      </x:c>
      <x:c r="R8" s="56" t="n">
        <x:v>46240</x:v>
      </x:c>
    </x:row>
    <x:row r="9">
      <x:c r="A9" s="45" t="str">
        <x:v>P6-COM-005</x:v>
      </x:c>
      <x:c r="B9" s="46" t="str">
        <x:v>Phase 6</x:v>
      </x:c>
      <x:c r="C9" s="46" t="str">
        <x:v>A. Navigation, scope and common behavior</x:v>
      </x:c>
      <x:c r="D9" s="46" t="str">
        <x:v>P1</x:v>
      </x:c>
      <x:c r="E9" s="38" t="str">
        <x:v>Open each Phase 6 route with empty valid scope</x:v>
      </x:c>
      <x:c r="F9" s="38" t="str">
        <x:v>DevInt truy cập được và không có lỗi tải trang nghiêm trọng.
Đăng nhập bằng đúng role nêu trong case; nếu case không nêu role thì dùng Workspace Admin.</x:v>
      </x:c>
      <x:c r="G9" s="38" t="str">
        <x:v>Dùng dữ liệu test riêng trong Project TEST. Nếu chưa có dữ liệu bắt buộc, ghi Blocked và nêu rõ dữ liệu còn thiếu.</x:v>
      </x:c>
      <x:c r="H9" s="38" t="str">
        <x:v>1. Mở https://rally-dev.qnsc.vn/ và xác nhận đúng tài khoản/role của case.
2. Chọn Workspace/Project/Team theo Test Data; ghi lại scope trước khi thao tác.
3. Mở Portfolio &gt; Release Tracking và Reports; chụp trạng thái ban đầu nếu case liên quan UI, số liệu hoặc quyền.
4. Thực hiện nghiệp vụ: Open each Phase 6 route with empty valid scope.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9" s="38" t="str">
        <x:v>Explicit empty/unavailable state appears; another Project's data is never reused</x:v>
      </x:c>
      <x:c r="J9" s="38" t="str">
        <x:v>Phase 6/PHASE6_REPORTS_BUSINESS_AND_DATA_CONTRACT.md</x:v>
      </x:c>
      <x:c r="K9" s="38" t="str">
        <x:v>Codex inventory 2026-08-05 - Partial: No-Release and no-Iteration states observed; data-unavailable branches remain.</x:v>
      </x:c>
      <x:c r="L9" s="51" t="str">
        <x:v>Partial</x:v>
      </x:c>
      <x:c r="M9" s="51" t="str">
        <x:v>Explicit empty states were confirmed in Reports and Release Tracking; a second empty Project is unavailable.</x:v>
      </x:c>
      <x:c r="N9" s="51" t="str">
        <x:v>../Codex_audit_06_tracker.md</x:v>
      </x:c>
      <x:c r="O9" s="51" t="str">
        <x:v>Follow-up: Explicit empty states were confirmed in Reports and Release Tracking; a second empty Project is unavailable.</x:v>
      </x:c>
      <x:c r="P9" s="51" t="str">
        <x:v>Codex</x:v>
      </x:c>
      <x:c r="Q9" s="51" t="str">
        <x:v>Pending BA confirmation</x:v>
      </x:c>
      <x:c r="R9" s="56" t="n">
        <x:v>46240</x:v>
      </x:c>
    </x:row>
    <x:row r="10">
      <x:c r="A10" s="45" t="str">
        <x:v>P6-COM-006</x:v>
      </x:c>
      <x:c r="B10" s="46" t="str">
        <x:v>Phase 6</x:v>
      </x:c>
      <x:c r="C10" s="46" t="str">
        <x:v>A. Navigation, scope and common behavior</x:v>
      </x:c>
      <x:c r="D10" s="46" t="str">
        <x:v>P1</x:v>
      </x:c>
      <x:c r="E10" s="38" t="str">
        <x:v>Reload each selected view/filter</x:v>
      </x:c>
      <x:c r="F10" s="38" t="str">
        <x:v>DevInt truy cập được và không có lỗi tải trang nghiêm trọng.
Đăng nhập bằng đúng role nêu trong case; nếu case không nêu role thì dùng Workspace Admin.</x:v>
      </x:c>
      <x:c r="G10" s="38" t="str">
        <x:v>Dùng dữ liệu test riêng trong Project TEST. Nếu chưa có dữ liệu bắt buộc, ghi Blocked và nêu rõ dữ liệu còn thiếu.</x:v>
      </x:c>
      <x:c r="H10" s="38" t="str">
        <x:v>1. Mở https://rally-dev.qnsc.vn/ và xác nhận đúng tài khoản/role của case.
2. Chọn Workspace/Project/Team theo Test Data; ghi lại scope trước khi thao tác.
3. Mở Portfolio &gt; Release Tracking và Reports; chụp trạng thái ban đầu nếu case liên quan UI, số liệu hoặc quyền.
4. Thực hiện nghiệp vụ: Reload each selected view/filter.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0" s="38" t="str">
        <x:v>Selection and persisted business data remain consistent; no console error</x:v>
      </x:c>
      <x:c r="J10" s="38" t="str">
        <x:v>Phase 6/PHASE6_REPORTS_BUSINESS_AND_DATA_CONTRACT.md</x:v>
      </x:c>
      <x:c r="K10" s="38" t="str">
        <x:v>New production acceptance scenario</x:v>
      </x:c>
      <x:c r="L10" s="51" t="str">
        <x:v>Fail</x:v>
      </x:c>
      <x:c r="M10" s="51" t="str">
        <x:v>Reports and Release Tracking reset the selected view/filter after reload.</x:v>
      </x:c>
      <x:c r="N10" s="51" t="str">
        <x:v>../Codex_audit_06_tracker.md</x:v>
      </x:c>
      <x:c r="O10" s="51" t="str">
        <x:v>DEV: preserve selected Reports Type/window and Release Tracking Chart Unit/bucket across reload.</x:v>
      </x:c>
      <x:c r="P10" s="51" t="str">
        <x:v>Codex</x:v>
      </x:c>
      <x:c r="Q10" s="51" t="str">
        <x:v>Pending BA confirmation</x:v>
      </x:c>
      <x:c r="R10" s="56" t="n">
        <x:v>46240</x:v>
      </x:c>
    </x:row>
    <x:row r="11">
      <x:c r="A11" s="45" t="str">
        <x:v>P6-RT-001</x:v>
      </x:c>
      <x:c r="B11" s="46" t="str">
        <x:v>Phase 6</x:v>
      </x:c>
      <x:c r="C11" s="46" t="str">
        <x:v>B. Portfolio &gt; Release Tracking</x:v>
      </x:c>
      <x:c r="D11" s="46" t="str">
        <x:v>P0</x:v>
      </x:c>
      <x:c r="E11" s="38" t="str">
        <x:v>Select a Release with Direct, Derived and Unparented data</x:v>
      </x:c>
      <x:c r="F11" s="38" t="str">
        <x:v>DevInt truy cập được và không có lỗi tải trang nghiêm trọng.
Đăng nhập bằng đúng role nêu trong case; nếu case không nêu role thì dùng Workspace Admin.</x:v>
      </x:c>
      <x:c r="G11" s="38" t="str">
        <x:v>1 Release có Direct Feature, Derived Feature và Unparented Story/Defect; Work Item ở Completed, Accepted và Release; có Plan Estimate.</x:v>
      </x:c>
      <x:c r="H11"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Select a Release with Direct, Derived and Unparented data.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1" s="38" t="str">
        <x:v>Three bucket totals match RT-BR-01/02/04 and do not overlap</x:v>
      </x:c>
      <x:c r="J11" s="38" t="str">
        <x:v>Phase 6/01_Release_Tracking/SRS.md</x:v>
      </x:c>
      <x:c r="K11" s="38" t="str">
        <x:v>New production acceptance scenario</x:v>
      </x:c>
      <x:c r="L11" s="51" t="str">
        <x:v>Pass</x:v>
      </x:c>
      <x:c r="M11" s="51" t="str">
        <x:v>RE-1 shows disjoint counts Direct 1, Derived 1 and Unparented 1.</x:v>
      </x:c>
      <x:c r="N11" s="51" t="str">
        <x:v>../Codex_audit_06_tracker.md</x:v>
      </x:c>
      <x:c r="O11" s="51"/>
      <x:c r="P11" s="51" t="str">
        <x:v>Codex</x:v>
      </x:c>
      <x:c r="Q11" s="51" t="str">
        <x:v>Pending BA confirmation</x:v>
      </x:c>
      <x:c r="R11" s="56" t="n">
        <x:v>46240</x:v>
      </x:c>
    </x:row>
    <x:row r="12">
      <x:c r="A12" s="45" t="str">
        <x:v>P6-RT-002</x:v>
      </x:c>
      <x:c r="B12" s="46" t="str">
        <x:v>Phase 6</x:v>
      </x:c>
      <x:c r="C12" s="46" t="str">
        <x:v>B. Portfolio &gt; Release Tracking</x:v>
      </x:c>
      <x:c r="D12" s="46" t="str">
        <x:v>P0</x:v>
      </x:c>
      <x:c r="E12" s="38" t="str">
        <x:v>Switch bucket selector</x:v>
      </x:c>
      <x:c r="F12" s="38" t="str">
        <x:v>DevInt truy cập được và không có lỗi tải trang nghiêm trọng.
Đăng nhập bằng đúng role nêu trong case; nếu case không nêu role thì dùng Workspace Admin.</x:v>
      </x:c>
      <x:c r="G12" s="38" t="str">
        <x:v>1 Release có Direct Feature, Derived Feature và Unparented Story/Defect; Work Item ở Completed, Accepted và Release; có Plan Estimate.</x:v>
      </x:c>
      <x:c r="H12"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Switch bucket selector.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2" s="38" t="str">
        <x:v>Only one bucket is listed; Rank restarts as 1..N</x:v>
      </x:c>
      <x:c r="J12" s="38" t="str">
        <x:v>Phase 6/01_Release_Tracking/SRS.md</x:v>
      </x:c>
      <x:c r="K12" s="38" t="str">
        <x:v>New production acceptance scenario</x:v>
      </x:c>
      <x:c r="L12" s="51" t="str">
        <x:v>Pass</x:v>
      </x:c>
      <x:c r="M12" s="51" t="str">
        <x:v>Each selector shows only its own bucket and rank restarts at 1.</x:v>
      </x:c>
      <x:c r="N12" s="51" t="str">
        <x:v>../Codex_audit_06_tracker.md</x:v>
      </x:c>
      <x:c r="O12" s="51"/>
      <x:c r="P12" s="51" t="str">
        <x:v>Codex</x:v>
      </x:c>
      <x:c r="Q12" s="51" t="str">
        <x:v>Pending BA confirmation</x:v>
      </x:c>
      <x:c r="R12" s="56" t="n">
        <x:v>46240</x:v>
      </x:c>
    </x:row>
    <x:row r="13">
      <x:c r="A13" s="45" t="str">
        <x:v>P6-RT-003</x:v>
      </x:c>
      <x:c r="B13" s="46" t="str">
        <x:v>Phase 6</x:v>
      </x:c>
      <x:c r="C13" s="46" t="str">
        <x:v>B. Portfolio &gt; Release Tracking</x:v>
      </x:c>
      <x:c r="D13" s="46" t="str">
        <x:v>P0</x:v>
      </x:c>
      <x:c r="E13" s="38" t="str">
        <x:v>Sort Rank, ID and Team both directions; resize columns</x:v>
      </x:c>
      <x:c r="F13" s="38" t="str">
        <x:v>DevInt truy cập được và không có lỗi tải trang nghiêm trọng.
Đăng nhập bằng đúng role nêu trong case; nếu case không nêu role thì dùng Workspace Admin.</x:v>
      </x:c>
      <x:c r="G13" s="38" t="str">
        <x:v>1 Release có Direct Feature, Derived Feature và Unparented Story/Defect; Work Item ở Completed, Accepted và Release; có Plan Estimate.</x:v>
      </x:c>
      <x:c r="H13"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Sort Rank, ID and Team both directions; resize columns.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3" s="38" t="str">
        <x:v>Sorting and resize work; Name remains readable/wrapped</x:v>
      </x:c>
      <x:c r="J13" s="38" t="str">
        <x:v>Phase 6/01_Release_Tracking/SRS.md</x:v>
      </x:c>
      <x:c r="K13" s="38" t="str">
        <x:v>New production acceptance scenario</x:v>
      </x:c>
      <x:c r="L13" s="51" t="str">
        <x:v>Partial</x:v>
      </x:c>
      <x:c r="M13" s="51" t="str">
        <x:v>Rank, ID and Team sort states changed correctly; column resizing was not executed.</x:v>
      </x:c>
      <x:c r="N13" s="51" t="str">
        <x:v>../Codex_audit_06_tracker.md</x:v>
      </x:c>
      <x:c r="O13" s="51" t="str">
        <x:v>Follow-up: Rank, ID and Team sort states changed correctly; column resizing was not executed.</x:v>
      </x:c>
      <x:c r="P13" s="51" t="str">
        <x:v>Codex</x:v>
      </x:c>
      <x:c r="Q13" s="51" t="str">
        <x:v>Pending BA confirmation</x:v>
      </x:c>
      <x:c r="R13" s="56" t="n">
        <x:v>46240</x:v>
      </x:c>
    </x:row>
    <x:row r="14">
      <x:c r="A14" s="45" t="str">
        <x:v>P6-RT-004</x:v>
      </x:c>
      <x:c r="B14" s="46" t="str">
        <x:v>Phase 6</x:v>
      </x:c>
      <x:c r="C14" s="46" t="str">
        <x:v>B. Portfolio &gt; Release Tracking</x:v>
      </x:c>
      <x:c r="D14" s="46" t="str">
        <x:v>P0</x:v>
      </x:c>
      <x:c r="E14" s="38" t="str">
        <x:v>Switch Chart Unit Points -&gt; Count</x:v>
      </x:c>
      <x:c r="F14" s="38" t="str">
        <x:v>DevInt truy cập được và không có lỗi tải trang nghiêm trọng.
Đăng nhập bằng đúng role nêu trong case; nếu case không nêu role thì dùng Workspace Admin.</x:v>
      </x:c>
      <x:c r="G14" s="38" t="str">
        <x:v>1 Release có Direct Feature, Derived Feature và Unparented Story/Defect; Work Item ở Completed, Accepted và Release; có Plan Estimate.</x:v>
      </x:c>
      <x:c r="H14"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Switch Chart Unit Points -&gt; Count.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4" s="38" t="str">
        <x:v>List Status and all Burnup values switch together; bucket counts do not change</x:v>
      </x:c>
      <x:c r="J14" s="38" t="str">
        <x:v>Phase 6/01_Release_Tracking/SRS.md</x:v>
      </x:c>
      <x:c r="K14" s="38" t="str">
        <x:v>New production acceptance scenario</x:v>
      </x:c>
      <x:c r="L14" s="51" t="str">
        <x:v>Pass</x:v>
      </x:c>
      <x:c r="M14" s="51" t="str">
        <x:v>Points -&gt; Count changes units while bucket membership remains 1/1/1.</x:v>
      </x:c>
      <x:c r="N14" s="51" t="str">
        <x:v>../Codex_audit_06_tracker.md</x:v>
      </x:c>
      <x:c r="O14" s="51"/>
      <x:c r="P14" s="51" t="str">
        <x:v>Codex</x:v>
      </x:c>
      <x:c r="Q14" s="51" t="str">
        <x:v>Pending BA confirmation</x:v>
      </x:c>
      <x:c r="R14" s="56" t="n">
        <x:v>46240</x:v>
      </x:c>
    </x:row>
    <x:row r="15">
      <x:c r="A15" s="45" t="str">
        <x:v>P6-RT-005</x:v>
      </x:c>
      <x:c r="B15" s="46" t="str">
        <x:v>Phase 6</x:v>
      </x:c>
      <x:c r="C15" s="46" t="str">
        <x:v>B. Portfolio &gt; Release Tracking</x:v>
      </x:c>
      <x:c r="D15" s="46" t="str">
        <x:v>P0</x:v>
      </x:c>
      <x:c r="E15" s="38" t="str">
        <x:v>Inspect Direct Feature status</x:v>
      </x:c>
      <x:c r="F15" s="38" t="str">
        <x:v>DevInt truy cập được và không có lỗi tải trang nghiêm trọng.
Đăng nhập bằng đúng role nêu trong case; nếu case không nêu role thì dùng Workspace Admin.</x:v>
      </x:c>
      <x:c r="G15" s="38" t="str">
        <x:v>Project TEST; Epic P56-AUDIT-EPIC; Feature P56-AUDIT-FEATURE; Story/Defect liên kết và một record archived khi case yêu cầu.</x:v>
      </x:c>
      <x:c r="H15"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Inspect Direct Feature status.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5" s="38" t="str">
        <x:v>Numerator/denominator uses all direct Story/Defect children, including other/unassigned Releases</x:v>
      </x:c>
      <x:c r="J15" s="38" t="str">
        <x:v>Phase 6/01_Release_Tracking/SRS.md</x:v>
      </x:c>
      <x:c r="K15" s="38" t="str">
        <x:v>New production acceptance scenario</x:v>
      </x:c>
      <x:c r="L15" s="51" t="str">
        <x:v>Pass</x:v>
      </x:c>
      <x:c r="M15" s="51" t="str">
        <x:v>Direct FE-2 uses its direct child even when that child has no Release; current status is 0/3 accepted.</x:v>
      </x:c>
      <x:c r="N15" s="51" t="str">
        <x:v>../Codex_audit_06_tracker.md</x:v>
      </x:c>
      <x:c r="O15" s="51"/>
      <x:c r="P15" s="51" t="str">
        <x:v>Codex</x:v>
      </x:c>
      <x:c r="Q15" s="51" t="str">
        <x:v>Pending BA confirmation</x:v>
      </x:c>
      <x:c r="R15" s="56" t="n">
        <x:v>46240</x:v>
      </x:c>
    </x:row>
    <x:row r="16">
      <x:c r="A16" s="45" t="str">
        <x:v>P6-RT-006</x:v>
      </x:c>
      <x:c r="B16" s="46" t="str">
        <x:v>Phase 6</x:v>
      </x:c>
      <x:c r="C16" s="46" t="str">
        <x:v>B. Portfolio &gt; Release Tracking</x:v>
      </x:c>
      <x:c r="D16" s="46" t="str">
        <x:v>P0</x:v>
      </x:c>
      <x:c r="E16" s="38" t="str">
        <x:v>Inspect Derived Feature status</x:v>
      </x:c>
      <x:c r="F16" s="38" t="str">
        <x:v>DevInt truy cập được và không có lỗi tải trang nghiêm trọng.
Đăng nhập bằng đúng role nêu trong case; nếu case không nêu role thì dùng Workspace Admin.</x:v>
      </x:c>
      <x:c r="G16" s="38" t="str">
        <x:v>Project TEST; Epic P56-AUDIT-EPIC; Feature P56-AUDIT-FEATURE; Story/Defect liên kết và một record archived khi case yêu cầu.</x:v>
      </x:c>
      <x:c r="H16"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Inspect Derived Feature status.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6" s="38" t="str">
        <x:v>Only matching selected-Release and selected-scope children are included; no percentage is shown</x:v>
      </x:c>
      <x:c r="J16" s="38" t="str">
        <x:v>Phase 6/01_Release_Tracking/SRS.md</x:v>
      </x:c>
      <x:c r="K16" s="38" t="str">
        <x:v>New production acceptance scenario</x:v>
      </x:c>
      <x:c r="L16" s="51" t="str">
        <x:v>Pass</x:v>
      </x:c>
      <x:c r="M16" s="51" t="str">
        <x:v>Derived FE-3 shows 3/3 points accepted without a percentage.</x:v>
      </x:c>
      <x:c r="N16" s="51" t="str">
        <x:v>../Codex_audit_06_tracker.md</x:v>
      </x:c>
      <x:c r="O16" s="51"/>
      <x:c r="P16" s="51" t="str">
        <x:v>Codex</x:v>
      </x:c>
      <x:c r="Q16" s="51" t="str">
        <x:v>Pending BA confirmation</x:v>
      </x:c>
      <x:c r="R16" s="56" t="n">
        <x:v>46240</x:v>
      </x:c>
    </x:row>
    <x:row r="17">
      <x:c r="A17" s="45" t="str">
        <x:v>P6-RT-007</x:v>
      </x:c>
      <x:c r="B17" s="46" t="str">
        <x:v>Phase 6</x:v>
      </x:c>
      <x:c r="C17" s="46" t="str">
        <x:v>B. Portfolio &gt; Release Tracking</x:v>
      </x:c>
      <x:c r="D17" s="46" t="str">
        <x:v>P0</x:v>
      </x:c>
      <x:c r="E17" s="38" t="str">
        <x:v>Use Completed, Accepted and Release child states</x:v>
      </x:c>
      <x:c r="F17"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17" s="38" t="str">
        <x:v>1 Release có Direct Feature, Derived Feature và Unparented Story/Defect; Work Item ở Completed, Accepted và Release; có Plan Estimate.</x:v>
      </x:c>
      <x:c r="H17"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Use Completed, Accepted and Release child states.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7" s="38" t="str">
        <x:v>Accepted includes Accepted/Release and excludes Completed</x:v>
      </x:c>
      <x:c r="J17" s="38" t="str">
        <x:v>Phase 6/01_Release_Tracking/SRS.md</x:v>
      </x:c>
      <x:c r="K17" s="38" t="str">
        <x:v>New production acceptance scenario</x:v>
      </x:c>
      <x:c r="L17" s="51" t="str">
        <x:v>Partial</x:v>
      </x:c>
      <x:c r="M17" s="51" t="str">
        <x:v>Completed is excluded and Accepted is included; Release-state branch lacks controlled data.</x:v>
      </x:c>
      <x:c r="N17" s="51" t="str">
        <x:v>../Codex_audit_06_tracker.md</x:v>
      </x:c>
      <x:c r="O17" s="51" t="str">
        <x:v>Follow-up: Completed is excluded and Accepted is included; Release-state branch lacks controlled data.</x:v>
      </x:c>
      <x:c r="P17" s="51" t="str">
        <x:v>Codex</x:v>
      </x:c>
      <x:c r="Q17" s="51" t="str">
        <x:v>Pending BA confirmation</x:v>
      </x:c>
      <x:c r="R17" s="56" t="n">
        <x:v>46240</x:v>
      </x:c>
    </x:row>
    <x:row r="18">
      <x:c r="A18" s="45" t="str">
        <x:v>P6-RT-008</x:v>
      </x:c>
      <x:c r="B18" s="46" t="str">
        <x:v>Phase 6</x:v>
      </x:c>
      <x:c r="C18" s="46" t="str">
        <x:v>B. Portfolio &gt; Release Tracking</x:v>
      </x:c>
      <x:c r="D18" s="46" t="str">
        <x:v>P0</x:v>
      </x:c>
      <x:c r="E18" s="38" t="str">
        <x:v>Compare Burnup totals to controlled Work Items</x:v>
      </x:c>
      <x:c r="F18" s="38" t="str">
        <x:v>DevInt truy cập được và không có lỗi tải trang nghiêm trọng.
Đăng nhập bằng đúng role nêu trong case; nếu case không nêu role thì dùng Workspace Admin.</x:v>
      </x:c>
      <x:c r="G18" s="38" t="str">
        <x:v>1 Release có Direct Feature, Derived Feature và Unparented Story/Defect; Work Item ở Completed, Accepted và Release; có Plan Estimate.</x:v>
      </x:c>
      <x:c r="H18"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Compare Burnup totals to controlled Work Items.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8" s="38" t="str">
        <x:v>Planned, Accepted and Preliminary totals follow RT-BR-06/07/08 and de-duplicate IDs</x:v>
      </x:c>
      <x:c r="J18" s="38" t="str">
        <x:v>Phase 6/01_Release_Tracking/SRS.md</x:v>
      </x:c>
      <x:c r="K18" s="38" t="str">
        <x:v>New production acceptance scenario</x:v>
      </x:c>
      <x:c r="L18" s="51" t="str">
        <x:v>Pass</x:v>
      </x:c>
      <x:c r="M18" s="51" t="str">
        <x:v>Controlled totals match UI: Planned 6 points, Accepted 3 points, Preliminary 0.</x:v>
      </x:c>
      <x:c r="N18" s="51" t="str">
        <x:v>../Codex_audit_06_tracker.md</x:v>
      </x:c>
      <x:c r="O18" s="51"/>
      <x:c r="P18" s="51" t="str">
        <x:v>Codex</x:v>
      </x:c>
      <x:c r="Q18" s="51" t="str">
        <x:v>Pending BA confirmation</x:v>
      </x:c>
      <x:c r="R18" s="56" t="n">
        <x:v>46240</x:v>
      </x:c>
    </x:row>
    <x:row r="19">
      <x:c r="A19" s="45" t="str">
        <x:v>P6-RT-009</x:v>
      </x:c>
      <x:c r="B19" s="46" t="str">
        <x:v>Phase 6</x:v>
      </x:c>
      <x:c r="C19" s="46" t="str">
        <x:v>B. Portfolio &gt; Release Tracking</x:v>
      </x:c>
      <x:c r="D19" s="46" t="str">
        <x:v>P0</x:v>
      </x:c>
      <x:c r="E19" s="38" t="str">
        <x:v>Inspect Burnup history and axes</x:v>
      </x:c>
      <x:c r="F19" s="38" t="str">
        <x:v>DevInt truy cập được và không có lỗi tải trang nghiêm trọng.
Đăng nhập bằng đúng role nêu trong case; nếu case không nêu role thì dùng Workspace Admin.</x:v>
      </x:c>
      <x:c r="G19" s="38" t="str">
        <x:v>1 Release có Direct Feature, Derived Feature và Unparented Story/Defect; Work Item ở Completed, Accepted và Release; có Plan Estimate.</x:v>
      </x:c>
      <x:c r="H19"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Inspect Burnup history and axes.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19" s="38" t="str">
        <x:v>Title/date/unit/iteration row match Release; history is snapshot/event based; missing history is explicit</x:v>
      </x:c>
      <x:c r="J19" s="38" t="str">
        <x:v>Phase 6/01_Release_Tracking/SRS.md</x:v>
      </x:c>
      <x:c r="K19" s="38" t="str">
        <x:v>New production acceptance scenario</x:v>
      </x:c>
      <x:c r="L19" s="51" t="str">
        <x:v>Pass</x:v>
      </x:c>
      <x:c r="M19" s="51" t="str">
        <x:v>Missing history is shown explicitly with the correct Release title and date range.</x:v>
      </x:c>
      <x:c r="N19" s="51" t="str">
        <x:v>../Codex_audit_06_tracker.md</x:v>
      </x:c>
      <x:c r="O19" s="51"/>
      <x:c r="P19" s="51" t="str">
        <x:v>Codex</x:v>
      </x:c>
      <x:c r="Q19" s="51" t="str">
        <x:v>Pending BA confirmation</x:v>
      </x:c>
      <x:c r="R19" s="56" t="n">
        <x:v>46240</x:v>
      </x:c>
    </x:row>
    <x:row r="20">
      <x:c r="A20" s="45" t="str">
        <x:v>P6-RT-010</x:v>
      </x:c>
      <x:c r="B20" s="46" t="str">
        <x:v>Phase 6</x:v>
      </x:c>
      <x:c r="C20" s="46" t="str">
        <x:v>B. Portfolio &gt; Release Tracking</x:v>
      </x:c>
      <x:c r="D20" s="46" t="str">
        <x:v>P1</x:v>
      </x:c>
      <x:c r="E20" s="38" t="str">
        <x:v>Create partial and full Release mismatch</x:v>
      </x:c>
      <x:c r="F20"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0" s="38" t="str">
        <x:v>1 Release có Direct Feature, Derived Feature và Unparented Story/Defect; Work Item ở Completed, Accepted và Release; có Plan Estimate.</x:v>
      </x:c>
      <x:c r="H20"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Create partial and full Release mismatch.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0" s="38" t="str">
        <x:v>Red issue icon opens an unclipped grouped overlay; full mismatch warning is separate from percent done</x:v>
      </x:c>
      <x:c r="J20" s="38" t="str">
        <x:v>Phase 6/01_Release_Tracking/SRS.md</x:v>
      </x:c>
      <x:c r="K20" s="38" t="str">
        <x:v>New production acceptance scenario</x:v>
      </x:c>
      <x:c r="L20" s="51" t="str">
        <x:v>Not Run</x:v>
      </x:c>
      <x:c r="M20" s="51" t="str">
        <x:v>A second Release/non-null mismatch data set is unavailable.</x:v>
      </x:c>
      <x:c r="N20" s="51" t="str">
        <x:v>../Codex_audit_06_tracker.md</x:v>
      </x:c>
      <x:c r="O20" s="51" t="str">
        <x:v>Test data dependency: A second Release/non-null mismatch data set is unavailable.</x:v>
      </x:c>
      <x:c r="P20" s="51" t="str">
        <x:v>Codex</x:v>
      </x:c>
      <x:c r="Q20" s="51" t="str">
        <x:v>Pending BA confirmation</x:v>
      </x:c>
      <x:c r="R20" s="56" t="n">
        <x:v>46240</x:v>
      </x:c>
    </x:row>
    <x:row r="21">
      <x:c r="A21" s="45" t="str">
        <x:v>P6-RT-011</x:v>
      </x:c>
      <x:c r="B21" s="46" t="str">
        <x:v>Phase 6</x:v>
      </x:c>
      <x:c r="C21" s="46" t="str">
        <x:v>B. Portfolio &gt; Release Tracking</x:v>
      </x:c>
      <x:c r="D21" s="46" t="str">
        <x:v>P1</x:v>
      </x:c>
      <x:c r="E21" s="38" t="str">
        <x:v>Click inside and outside Issues panel</x:v>
      </x:c>
      <x:c r="F21" s="38" t="str">
        <x:v>DevInt truy cập được và không có lỗi tải trang nghiêm trọng.
Đăng nhập bằng đúng role nêu trong case; nếu case không nêu role thì dùng Workspace Admin.</x:v>
      </x:c>
      <x:c r="G21" s="38" t="str">
        <x:v>1 Release có Direct Feature, Derived Feature và Unparented Story/Defect; Work Item ở Completed, Accepted và Release; có Plan Estimate.</x:v>
      </x:c>
      <x:c r="H21"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Click inside and outside Issues panel.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1" s="38" t="str">
        <x:v>Inside click keeps it open; outside click closes it</x:v>
      </x:c>
      <x:c r="J21" s="38" t="str">
        <x:v>Phase 6/01_Release_Tracking/SRS.md</x:v>
      </x:c>
      <x:c r="K21" s="38" t="str">
        <x:v>New production acceptance scenario</x:v>
      </x:c>
      <x:c r="L21" s="51" t="str">
        <x:v>Not Run</x:v>
      </x:c>
      <x:c r="M21" s="51" t="str">
        <x:v>No qualifying mismatch exists, so the Issues panel cannot be opened.</x:v>
      </x:c>
      <x:c r="N21" s="51" t="str">
        <x:v>../Codex_audit_06_tracker.md</x:v>
      </x:c>
      <x:c r="O21" s="51" t="str">
        <x:v>Test data dependency: No qualifying mismatch exists, so the Issues panel cannot be opened.</x:v>
      </x:c>
      <x:c r="P21" s="51" t="str">
        <x:v>Codex</x:v>
      </x:c>
      <x:c r="Q21" s="51" t="str">
        <x:v>Pending BA confirmation</x:v>
      </x:c>
      <x:c r="R21" s="56" t="n">
        <x:v>46240</x:v>
      </x:c>
    </x:row>
    <x:row r="22">
      <x:c r="A22" s="45" t="str">
        <x:v>P6-RT-012</x:v>
      </x:c>
      <x:c r="B22" s="46" t="str">
        <x:v>Phase 6</x:v>
      </x:c>
      <x:c r="C22" s="46" t="str">
        <x:v>B. Portfolio &gt; Release Tracking</x:v>
      </x:c>
      <x:c r="D22" s="46" t="str">
        <x:v>P0</x:v>
      </x:c>
      <x:c r="E22" s="38" t="str">
        <x:v>Inspect views and placeholders</x:v>
      </x:c>
      <x:c r="F22" s="38" t="str">
        <x:v>DevInt truy cập được và không có lỗi tải trang nghiêm trọng.
Đăng nhập bằng đúng role nêu trong case; nếu case không nêu role thì dùng Workspace Admin.</x:v>
      </x:c>
      <x:c r="G22" s="38" t="str">
        <x:v>1 Release có Direct Feature, Derived Feature và Unparented Story/Defect; Work Item ở Completed, Accepted và Release; có Plan Estimate.</x:v>
      </x:c>
      <x:c r="H22"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Inspect views and placeholders.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2" s="38" t="str">
        <x:v>Chart is active; Breakdown is absent; Dependencies is absent or clearly disabled as Future</x:v>
      </x:c>
      <x:c r="J22" s="38" t="str">
        <x:v>Phase 6/01_Release_Tracking/SRS.md</x:v>
      </x:c>
      <x:c r="K22" s="38" t="str">
        <x:v>New production acceptance scenario</x:v>
      </x:c>
      <x:c r="L22" s="51" t="str">
        <x:v>Pass</x:v>
      </x:c>
      <x:c r="M22" s="51" t="str">
        <x:v>Chart is active, Breakdown is absent and Dependencies is clearly marked Future.</x:v>
      </x:c>
      <x:c r="N22" s="51" t="str">
        <x:v>../Codex_audit_06_tracker.md</x:v>
      </x:c>
      <x:c r="O22" s="51"/>
      <x:c r="P22" s="51" t="str">
        <x:v>Codex</x:v>
      </x:c>
      <x:c r="Q22" s="51" t="str">
        <x:v>Pending BA confirmation</x:v>
      </x:c>
      <x:c r="R22" s="56" t="n">
        <x:v>46240</x:v>
      </x:c>
    </x:row>
    <x:row r="23">
      <x:c r="A23" s="45" t="str">
        <x:v>P6-RT-013</x:v>
      </x:c>
      <x:c r="B23" s="46" t="str">
        <x:v>Phase 6</x:v>
      </x:c>
      <x:c r="C23" s="46" t="str">
        <x:v>B. Portfolio &gt; Release Tracking</x:v>
      </x:c>
      <x:c r="D23" s="46" t="str">
        <x:v>P1</x:v>
      </x:c>
      <x:c r="E23" s="38" t="str">
        <x:v>Search each bucket and open an Unparented row</x:v>
      </x:c>
      <x:c r="F23" s="38" t="str">
        <x:v>DevInt truy cập được và không có lỗi tải trang nghiêm trọng.
Đăng nhập bằng đúng role nêu trong case; nếu case không nêu role thì dùng Workspace Admin.</x:v>
      </x:c>
      <x:c r="G23" s="38" t="str">
        <x:v>1 Release có Direct Feature, Derived Feature và Unparented Story/Defect; Work Item ở Completed, Accepted và Release; có Plan Estimate.</x:v>
      </x:c>
      <x:c r="H23"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Search each bucket and open an Unparented row.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3" s="38" t="str">
        <x:v>Search is bucket-scoped; row opens the shared full Work Item Detail</x:v>
      </x:c>
      <x:c r="J23" s="38" t="str">
        <x:v>Phase 6/01_Release_Tracking/SRS.md</x:v>
      </x:c>
      <x:c r="K23" s="38" t="str">
        <x:v>New production acceptance scenario</x:v>
      </x:c>
      <x:c r="L23" s="51" t="str">
        <x:v>Pass</x:v>
      </x:c>
      <x:c r="M23" s="51" t="str">
        <x:v>Search matched US-4 and the row opened the shared Work Item Detail route.</x:v>
      </x:c>
      <x:c r="N23" s="51" t="str">
        <x:v>../Codex_audit_06_tracker.md</x:v>
      </x:c>
      <x:c r="O23" s="51"/>
      <x:c r="P23" s="51" t="str">
        <x:v>Codex</x:v>
      </x:c>
      <x:c r="Q23" s="51" t="str">
        <x:v>Pending BA confirmation</x:v>
      </x:c>
      <x:c r="R23" s="56" t="n">
        <x:v>46240</x:v>
      </x:c>
    </x:row>
    <x:row r="24">
      <x:c r="A24" s="45" t="str">
        <x:v>P6-RT-014</x:v>
      </x:c>
      <x:c r="B24" s="46" t="str">
        <x:v>Phase 6</x:v>
      </x:c>
      <x:c r="C24" s="46" t="str">
        <x:v>B. Portfolio &gt; Release Tracking</x:v>
      </x:c>
      <x:c r="D24" s="46" t="str">
        <x:v>P0</x:v>
      </x:c>
      <x:c r="E24" s="38" t="str">
        <x:v>Select Project with no Releases and Release with empty bucket</x:v>
      </x:c>
      <x:c r="F24" s="38" t="str">
        <x:v>DevInt truy cập được và không có lỗi tải trang nghiêm trọng.
Đăng nhập bằng đúng role nêu trong case; nếu case không nêu role thì dùng Workspace Admin.</x:v>
      </x:c>
      <x:c r="G24" s="38" t="str">
        <x:v>1 Release có Direct Feature, Derived Feature và Unparented Story/Defect; Work Item ở Completed, Accepted và Release; có Plan Estimate.</x:v>
      </x:c>
      <x:c r="H24" s="38" t="str">
        <x:v>1. Mở https://rally-dev.qnsc.vn/ và xác nhận đúng tài khoản/role của case.
2. Chọn Workspace/Project/Team theo Test Data; ghi lại scope trước khi thao tác.
3. Mở Portfolio &gt; Release Tracking; chụp trạng thái ban đầu nếu case liên quan UI, số liệu hoặc quyền.
4. Thực hiện nghiệp vụ: Select Project with no Releases and Release with empty bucket.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4" s="38" t="str">
        <x:v>Correct no-Release and empty-bucket states appear without fabricated history</x:v>
      </x:c>
      <x:c r="J24" s="38" t="str">
        <x:v>Phase 6/01_Release_Tracking/SRS.md</x:v>
      </x:c>
      <x:c r="K24" s="38" t="str">
        <x:v>Codex inventory 2026-08-05 - Partial: No-Release state passes; empty-bucket with valid Release is not executable.</x:v>
      </x:c>
      <x:c r="L24" s="51" t="str">
        <x:v>Partial</x:v>
      </x:c>
      <x:c r="M24" s="51" t="str">
        <x:v>Valid Release empty-bucket messaging passed; no second Project without Releases is available.</x:v>
      </x:c>
      <x:c r="N24" s="51" t="str">
        <x:v>../Codex_audit_06_tracker.md</x:v>
      </x:c>
      <x:c r="O24" s="51" t="str">
        <x:v>Follow-up: Valid Release empty-bucket messaging passed; no second Project without Releases is available.</x:v>
      </x:c>
      <x:c r="P24" s="51" t="str">
        <x:v>Codex</x:v>
      </x:c>
      <x:c r="Q24" s="51" t="str">
        <x:v>Pending BA confirmation</x:v>
      </x:c>
      <x:c r="R24" s="56" t="n">
        <x:v>46240</x:v>
      </x:c>
    </x:row>
    <x:row r="25">
      <x:c r="A25" s="45" t="str">
        <x:v>P6-IB-001</x:v>
      </x:c>
      <x:c r="B25" s="46" t="str">
        <x:v>Phase 6</x:v>
      </x:c>
      <x:c r="C25" s="46" t="str">
        <x:v>C. Reports &gt; Iteration Burndown</x:v>
      </x:c>
      <x:c r="D25" s="46" t="str">
        <x:v>P0</x:v>
      </x:c>
      <x:c r="E25" s="38" t="str">
        <x:v>Select Team and Iteration</x:v>
      </x:c>
      <x:c r="F25" s="38" t="str">
        <x:v>DevInt truy cập được và không có lỗi tải trang nghiêm trọng.
Đăng nhập bằng đúng role nêu trong case; nếu case không nêu role thì dùng Workspace Admin.</x:v>
      </x:c>
      <x:c r="G25" s="38" t="str">
        <x:v>1 Iteration đang chạy; Tasks có Estimate/ToDo/Actual; dữ liệu snapshot theo nhiều ngày; Story/Defect có acceptedDate khi cần.</x:v>
      </x:c>
      <x:c r="H25"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Select Team and Iteration.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5" s="38" t="str">
        <x:v>Header, date range and working-day x-axis match global scope and selected Iteration</x:v>
      </x:c>
      <x:c r="J25" s="38" t="str">
        <x:v>Phase 6/02_Iteration_Burndown/SRS.md</x:v>
      </x:c>
      <x:c r="K25" s="38" t="str">
        <x:v>New production acceptance scenario</x:v>
      </x:c>
      <x:c r="L25" s="51" t="str">
        <x:v>Pass</x:v>
      </x:c>
      <x:c r="M25" s="51" t="str">
        <x:v>Pegasus and IT-1 are selectable and the report shows the correct Iteration dates.</x:v>
      </x:c>
      <x:c r="N25" s="51" t="str">
        <x:v>../Codex_audit_06_tracker.md</x:v>
      </x:c>
      <x:c r="O25" s="51"/>
      <x:c r="P25" s="51" t="str">
        <x:v>Codex</x:v>
      </x:c>
      <x:c r="Q25" s="51" t="str">
        <x:v>Pending BA confirmation</x:v>
      </x:c>
      <x:c r="R25" s="56" t="n">
        <x:v>46240</x:v>
      </x:c>
    </x:row>
    <x:row r="26">
      <x:c r="A26" s="45" t="str">
        <x:v>P6-IB-002</x:v>
      </x:c>
      <x:c r="B26" s="46" t="str">
        <x:v>Phase 6</x:v>
      </x:c>
      <x:c r="C26" s="46" t="str">
        <x:v>C. Reports &gt; Iteration Burndown</x:v>
      </x:c>
      <x:c r="D26" s="46" t="str">
        <x:v>P0</x:v>
      </x:c>
      <x:c r="E26" s="38" t="str">
        <x:v>Compare daily Task ToDo snapshots</x:v>
      </x:c>
      <x:c r="F26" s="38" t="str">
        <x:v>DevInt truy cập được và không có lỗi tải trang nghiêm trọng.
Đăng nhập bằng đúng role nêu trong case; nếu case không nêu role thì dùng Workspace Admin.</x:v>
      </x:c>
      <x:c r="G26" s="38" t="str">
        <x:v>1 Iteration đang chạy; Tasks có Estimate/ToDo/Actual; dữ liệu snapshot theo nhiều ngày; Story/Defect có acceptedDate khi cần.</x:v>
      </x:c>
      <x:c r="H26"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Compare daily Task ToDo snapshots.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6" s="38" t="str">
        <x:v>Remaining ToDo equals scoped end-of-day Task ToDo and past days remain frozen</x:v>
      </x:c>
      <x:c r="J26" s="38" t="str">
        <x:v>Phase 6/02_Iteration_Burndown/SRS.md</x:v>
      </x:c>
      <x:c r="K26" s="38" t="str">
        <x:v>New production acceptance scenario</x:v>
      </x:c>
      <x:c r="L26" s="51" t="str">
        <x:v>Not Run</x:v>
      </x:c>
      <x:c r="M26" s="51" t="str">
        <x:v>No daily Task ToDo snapshot history exists.</x:v>
      </x:c>
      <x:c r="N26" s="51" t="str">
        <x:v>../Codex_audit_06_tracker.md</x:v>
      </x:c>
      <x:c r="O26" s="51" t="str">
        <x:v>Test data dependency: No daily Task ToDo snapshot history exists.</x:v>
      </x:c>
      <x:c r="P26" s="51" t="str">
        <x:v>Codex</x:v>
      </x:c>
      <x:c r="Q26" s="51" t="str">
        <x:v>Pending BA confirmation</x:v>
      </x:c>
      <x:c r="R26" s="56" t="n">
        <x:v>46240</x:v>
      </x:c>
    </x:row>
    <x:row r="27">
      <x:c r="A27" s="45" t="str">
        <x:v>P6-IB-003</x:v>
      </x:c>
      <x:c r="B27" s="46" t="str">
        <x:v>Phase 6</x:v>
      </x:c>
      <x:c r="C27" s="46" t="str">
        <x:v>C. Reports &gt; Iteration Burndown</x:v>
      </x:c>
      <x:c r="D27" s="46" t="str">
        <x:v>P0</x:v>
      </x:c>
      <x:c r="E27" s="38" t="str">
        <x:v>Accept a Story/Defect on a controlled date</x:v>
      </x:c>
      <x:c r="F27"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7" s="38" t="str">
        <x:v>1 Iteration đang chạy; Tasks có Estimate/ToDo/Actual; dữ liệu snapshot theo nhiều ngày; Story/Defect có acceptedDate khi cần.</x:v>
      </x:c>
      <x:c r="H27"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Accept a Story/Defect on a controlled date.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7" s="38" t="str">
        <x:v>Accepted Points becomes cumulative from acceptedDate; Release remains accepted-equivalent</x:v>
      </x:c>
      <x:c r="J27" s="38" t="str">
        <x:v>Phase 6/02_Iteration_Burndown/SRS.md</x:v>
      </x:c>
      <x:c r="K27" s="38" t="str">
        <x:v>New production acceptance scenario</x:v>
      </x:c>
      <x:c r="L27" s="51" t="str">
        <x:v>Not Run</x:v>
      </x:c>
      <x:c r="M27" s="51" t="str">
        <x:v>No historical accepted-date snapshot data exists.</x:v>
      </x:c>
      <x:c r="N27" s="51" t="str">
        <x:v>../Codex_audit_06_tracker.md</x:v>
      </x:c>
      <x:c r="O27" s="51" t="str">
        <x:v>Test data dependency: No historical accepted-date snapshot data exists.</x:v>
      </x:c>
      <x:c r="P27" s="51" t="str">
        <x:v>Codex</x:v>
      </x:c>
      <x:c r="Q27" s="51" t="str">
        <x:v>Pending BA confirmation</x:v>
      </x:c>
      <x:c r="R27" s="56" t="n">
        <x:v>46240</x:v>
      </x:c>
    </x:row>
    <x:row r="28">
      <x:c r="A28" s="45" t="str">
        <x:v>P6-IB-004</x:v>
      </x:c>
      <x:c r="B28" s="46" t="str">
        <x:v>Phase 6</x:v>
      </x:c>
      <x:c r="C28" s="46" t="str">
        <x:v>C. Reports &gt; Iteration Burndown</x:v>
      </x:c>
      <x:c r="D28" s="46" t="str">
        <x:v>P0</x:v>
      </x:c>
      <x:c r="E28" s="38" t="str">
        <x:v>Reopen accepted work after prior snapshots</x:v>
      </x:c>
      <x:c r="F28"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8" s="38" t="str">
        <x:v>1 Iteration đang chạy; Tasks có Estimate/ToDo/Actual; dữ liệu snapshot theo nhiều ngày; Story/Defect có acceptedDate khi cần.</x:v>
      </x:c>
      <x:c r="H28"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Reopen accepted work after prior snapshots.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8" s="38" t="str">
        <x:v>New snapshots exclude it; finalized old snapshots remain unchanged</x:v>
      </x:c>
      <x:c r="J28" s="38" t="str">
        <x:v>Phase 6/02_Iteration_Burndown/SRS.md</x:v>
      </x:c>
      <x:c r="K28" s="38" t="str">
        <x:v>New production acceptance scenario</x:v>
      </x:c>
      <x:c r="L28" s="51" t="str">
        <x:v>Not Run</x:v>
      </x:c>
      <x:c r="M28" s="51" t="str">
        <x:v>No prior snapshot baseline exists for reopen comparison.</x:v>
      </x:c>
      <x:c r="N28" s="51" t="str">
        <x:v>../Codex_audit_06_tracker.md</x:v>
      </x:c>
      <x:c r="O28" s="51" t="str">
        <x:v>Test data dependency: No prior snapshot baseline exists for reopen comparison.</x:v>
      </x:c>
      <x:c r="P28" s="51" t="str">
        <x:v>Codex</x:v>
      </x:c>
      <x:c r="Q28" s="51" t="str">
        <x:v>Pending BA confirmation</x:v>
      </x:c>
      <x:c r="R28" s="56" t="n">
        <x:v>46240</x:v>
      </x:c>
    </x:row>
    <x:row r="29">
      <x:c r="A29" s="45" t="str">
        <x:v>P6-IB-005</x:v>
      </x:c>
      <x:c r="B29" s="46" t="str">
        <x:v>Phase 6</x:v>
      </x:c>
      <x:c r="C29" s="46" t="str">
        <x:v>C. Reports &gt; Iteration Burndown</x:v>
      </x:c>
      <x:c r="D29" s="46" t="str">
        <x:v>P0</x:v>
      </x:c>
      <x:c r="E29" s="38" t="str">
        <x:v>Add/remove/re-estimate Tasks after Iteration start</x:v>
      </x:c>
      <x:c r="F29"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29" s="38" t="str">
        <x:v>1 Iteration đang chạy; Tasks có Estimate/ToDo/Actual; dữ liệu snapshot theo nhiều ngày; Story/Defect có acceptedDate khi cần.</x:v>
      </x:c>
      <x:c r="H29"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Add/remove/re-estimate Tasks after Iteration start.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29" s="38" t="str">
        <x:v>Ideal line remains based on immutable start estimate baseline and reaches zero at end</x:v>
      </x:c>
      <x:c r="J29" s="38" t="str">
        <x:v>Phase 6/02_Iteration_Burndown/SRS.md</x:v>
      </x:c>
      <x:c r="K29" s="38" t="str">
        <x:v>New production acceptance scenario</x:v>
      </x:c>
      <x:c r="L29" s="51" t="str">
        <x:v>Not Run</x:v>
      </x:c>
      <x:c r="M29" s="51" t="str">
        <x:v>No start baseline/history exists for an auditable comparison.</x:v>
      </x:c>
      <x:c r="N29" s="51" t="str">
        <x:v>../Codex_audit_06_tracker.md</x:v>
      </x:c>
      <x:c r="O29" s="51" t="str">
        <x:v>Test data dependency: No start baseline/history exists for an auditable comparison.</x:v>
      </x:c>
      <x:c r="P29" s="51" t="str">
        <x:v>Codex</x:v>
      </x:c>
      <x:c r="Q29" s="51" t="str">
        <x:v>Pending BA confirmation</x:v>
      </x:c>
      <x:c r="R29" s="56" t="n">
        <x:v>46240</x:v>
      </x:c>
    </x:row>
    <x:row r="30">
      <x:c r="A30" s="45" t="str">
        <x:v>P6-IB-006</x:v>
      </x:c>
      <x:c r="B30" s="46" t="str">
        <x:v>Phase 6</x:v>
      </x:c>
      <x:c r="C30" s="46" t="str">
        <x:v>C. Reports &gt; Iteration Burndown</x:v>
      </x:c>
      <x:c r="D30" s="46" t="str">
        <x:v>P1</x:v>
      </x:c>
      <x:c r="E30" s="38" t="str">
        <x:v>Compare latest Remaining ToDo with Ideal</x:v>
      </x:c>
      <x:c r="F30" s="38" t="str">
        <x:v>DevInt truy cập được và không có lỗi tải trang nghiêm trọng.
Đăng nhập bằng đúng role nêu trong case; nếu case không nêu role thì dùng Workspace Admin.</x:v>
      </x:c>
      <x:c r="G30" s="38" t="str">
        <x:v>1 Iteration đang chạy; Tasks có Estimate/ToDo/Actual; dữ liệu snapshot theo nhiều ngày; Story/Defect có acceptedDate khi cần.</x:v>
      </x:c>
      <x:c r="H30"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Compare latest Remaining ToDo with Ideal.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0" s="38" t="str">
        <x:v>Above Ideal = Behind plan; equal/below = On track</x:v>
      </x:c>
      <x:c r="J30" s="38" t="str">
        <x:v>Phase 6/02_Iteration_Burndown/SRS.md</x:v>
      </x:c>
      <x:c r="K30" s="38" t="str">
        <x:v>New production acceptance scenario</x:v>
      </x:c>
      <x:c r="L30" s="51" t="str">
        <x:v>Not Run</x:v>
      </x:c>
      <x:c r="M30" s="51" t="str">
        <x:v>No plotted series exists because daily history is empty.</x:v>
      </x:c>
      <x:c r="N30" s="51" t="str">
        <x:v>../Codex_audit_06_tracker.md</x:v>
      </x:c>
      <x:c r="O30" s="51" t="str">
        <x:v>Test data dependency: No plotted series exists because daily history is empty.</x:v>
      </x:c>
      <x:c r="P30" s="51" t="str">
        <x:v>Codex</x:v>
      </x:c>
      <x:c r="Q30" s="51" t="str">
        <x:v>Pending BA confirmation</x:v>
      </x:c>
      <x:c r="R30" s="56" t="n">
        <x:v>46240</x:v>
      </x:c>
    </x:row>
    <x:row r="31">
      <x:c r="A31" s="45" t="str">
        <x:v>P6-IB-007</x:v>
      </x:c>
      <x:c r="B31" s="46" t="str">
        <x:v>Phase 6</x:v>
      </x:c>
      <x:c r="C31" s="46" t="str">
        <x:v>C. Reports &gt; Iteration Burndown</x:v>
      </x:c>
      <x:c r="D31" s="46" t="str">
        <x:v>P0</x:v>
      </x:c>
      <x:c r="E31" s="38" t="str">
        <x:v>Switch Team -&gt; All Teams</x:v>
      </x:c>
      <x:c r="F31" s="38" t="str">
        <x:v>DevInt truy cập được và không có lỗi tải trang nghiêm trọng.
Đăng nhập bằng đúng role nêu trong case; nếu case không nêu role thì dùng Workspace Admin.</x:v>
      </x:c>
      <x:c r="G31" s="38" t="str">
        <x:v>1 Iteration đang chạy; Tasks có Estimate/ToDo/Actual; dữ liệu snapshot theo nhiều ngày; Story/Defect có acceptedDate khi cần.</x:v>
      </x:c>
      <x:c r="H31"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Switch Team -&gt; All Teams.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1" s="38" t="str">
        <x:v>Aligned Team snapshots/baselines aggregate without duplicate IDs</x:v>
      </x:c>
      <x:c r="J31" s="38" t="str">
        <x:v>Phase 6/02_Iteration_Burndown/SRS.md</x:v>
      </x:c>
      <x:c r="K31" s="38" t="str">
        <x:v>New production acceptance scenario</x:v>
      </x:c>
      <x:c r="L31" s="51" t="str">
        <x:v>Not Run</x:v>
      </x:c>
      <x:c r="M31" s="51" t="str">
        <x:v>Only one usable Team/Iteration data set exists, so aggregation cannot be compared.</x:v>
      </x:c>
      <x:c r="N31" s="51" t="str">
        <x:v>../Codex_audit_06_tracker.md</x:v>
      </x:c>
      <x:c r="O31" s="51" t="str">
        <x:v>Test data dependency: Only one usable Team/Iteration data set exists, so aggregation cannot be compared.</x:v>
      </x:c>
      <x:c r="P31" s="51" t="str">
        <x:v>Codex</x:v>
      </x:c>
      <x:c r="Q31" s="51" t="str">
        <x:v>Pending BA confirmation</x:v>
      </x:c>
      <x:c r="R31" s="56" t="n">
        <x:v>46240</x:v>
      </x:c>
    </x:row>
    <x:row r="32">
      <x:c r="A32" s="45" t="str">
        <x:v>P6-IB-008</x:v>
      </x:c>
      <x:c r="B32" s="46" t="str">
        <x:v>Phase 6</x:v>
      </x:c>
      <x:c r="C32" s="46" t="str">
        <x:v>C. Reports &gt; Iteration Burndown</x:v>
      </x:c>
      <x:c r="D32" s="46" t="str">
        <x:v>P0</x:v>
      </x:c>
      <x:c r="E32" s="38" t="str">
        <x:v>Test no Iteration, no work and missing snapshots</x:v>
      </x:c>
      <x:c r="F32" s="38" t="str">
        <x:v>DevInt truy cập được và không có lỗi tải trang nghiêm trọng.
Đăng nhập bằng đúng role nêu trong case; nếu case không nêu role thì dùng Workspace Admin.</x:v>
      </x:c>
      <x:c r="G32" s="38" t="str">
        <x:v>1 Iteration đang chạy; Tasks có Estimate/ToDo/Actual; dữ liệu snapshot theo nhiều ngày; Story/Defect có acceptedDate khi cần.</x:v>
      </x:c>
      <x:c r="H32" s="38" t="str">
        <x:v>1. Mở https://rally-dev.qnsc.vn/ và xác nhận đúng tài khoản/role của case.
2. Chọn Workspace/Project/Team theo Test Data; ghi lại scope trước khi thao tác.
3. Mở Reports &gt; Iteration Burndown; chụp trạng thái ban đầu nếu case liên quan UI, số liệu hoặc quyền.
4. Thực hiện nghiệp vụ: Test no Iteration, no work and missing snapshots.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2" s="38" t="str">
        <x:v>Three explicit empty/unavailable states appear; no fabricated curve</x:v>
      </x:c>
      <x:c r="J32" s="38" t="str">
        <x:v>Phase 6/02_Iteration_Burndown/SRS.md</x:v>
      </x:c>
      <x:c r="K32" s="38" t="str">
        <x:v>Codex inventory 2026-08-05 - Partial: No selected Iteration state passes; no-work and missing-history variants remain.</x:v>
      </x:c>
      <x:c r="L32" s="51" t="str">
        <x:v>Pass</x:v>
      </x:c>
      <x:c r="M32" s="51" t="str">
        <x:v>Explicit no-burndown, no daily history and no start-baseline messages are displayed.</x:v>
      </x:c>
      <x:c r="N32" s="51" t="str">
        <x:v>../Codex_audit_06_tracker.md</x:v>
      </x:c>
      <x:c r="O32" s="51"/>
      <x:c r="P32" s="51" t="str">
        <x:v>Codex</x:v>
      </x:c>
      <x:c r="Q32" s="51" t="str">
        <x:v>Pending BA confirmation</x:v>
      </x:c>
      <x:c r="R32" s="56" t="n">
        <x:v>46240</x:v>
      </x:c>
    </x:row>
    <x:row r="33">
      <x:c r="A33" s="45" t="str">
        <x:v>P6-VEL-001</x:v>
      </x:c>
      <x:c r="B33" s="46" t="str">
        <x:v>Phase 6</x:v>
      </x:c>
      <x:c r="C33" s="46" t="str">
        <x:v>D. Reports &gt; Velocity</x:v>
      </x:c>
      <x:c r="D33" s="46" t="str">
        <x:v>P0</x:v>
      </x:c>
      <x:c r="E33" s="38" t="str">
        <x:v>Inspect eligible Iterations</x:v>
      </x:c>
      <x:c r="F33" s="38" t="str">
        <x:v>DevInt truy cập được và không có lỗi tải trang nghiêm trọng.
Đăng nhập bằng đúng role nêu trong case; nếu case không nêu role thì dùng Workspace Admin.</x:v>
      </x:c>
      <x:c r="G33" s="38" t="str">
        <x:v>Ít nhất 3 Iterations đã kết thúc; mỗi Iteration có item Accepted During, Accepted After và Not Accepted; có một scope rỗng.</x:v>
      </x:c>
      <x:c r="H33"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Inspect eligible Iterations.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3" s="38" t="str">
        <x:v>Only ended, non-empty Iterations appear, ordered by end date</x:v>
      </x:c>
      <x:c r="J33" s="38" t="str">
        <x:v>Phase 6/03_Velocity_Chart/SRS.md</x:v>
      </x:c>
      <x:c r="K33" s="38" t="str">
        <x:v>New production acceptance scenario</x:v>
      </x:c>
      <x:c r="L33" s="51" t="str">
        <x:v>Not Run</x:v>
      </x:c>
      <x:c r="M33" s="51" t="str">
        <x:v>No ended Iteration with scheduled work exists.</x:v>
      </x:c>
      <x:c r="N33" s="51" t="str">
        <x:v>../Codex_audit_06_tracker.md</x:v>
      </x:c>
      <x:c r="O33" s="51" t="str">
        <x:v>Test data dependency: No ended Iteration with scheduled work exists.</x:v>
      </x:c>
      <x:c r="P33" s="51" t="str">
        <x:v>Codex</x:v>
      </x:c>
      <x:c r="Q33" s="51" t="str">
        <x:v>Pending BA confirmation</x:v>
      </x:c>
      <x:c r="R33" s="56" t="n">
        <x:v>46240</x:v>
      </x:c>
    </x:row>
    <x:row r="34">
      <x:c r="A34" s="45" t="str">
        <x:v>P6-VEL-002</x:v>
      </x:c>
      <x:c r="B34" s="46" t="str">
        <x:v>Phase 6</x:v>
      </x:c>
      <x:c r="C34" s="46" t="str">
        <x:v>D. Reports &gt; Velocity</x:v>
      </x:c>
      <x:c r="D34" s="46" t="str">
        <x:v>P0</x:v>
      </x:c>
      <x:c r="E34" s="38" t="str">
        <x:v>Seed During, After and Not Accepted items</x:v>
      </x:c>
      <x:c r="F3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4" s="38" t="str">
        <x:v>Ít nhất 3 Iterations đã kết thúc; mỗi Iteration có item Accepted During, Accepted After và Not Accepted; có một scope rỗng.</x:v>
      </x:c>
      <x:c r="H34"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Seed During, After and Not Accepted items.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4" s="38" t="str">
        <x:v>Each item's points enter exactly one segment; stack sum equals scheduled points</x:v>
      </x:c>
      <x:c r="J34" s="38" t="str">
        <x:v>Phase 6/03_Velocity_Chart/SRS.md</x:v>
      </x:c>
      <x:c r="K34" s="38" t="str">
        <x:v>New production acceptance scenario</x:v>
      </x:c>
      <x:c r="L34" s="51" t="str">
        <x:v>Not Run</x:v>
      </x:c>
      <x:c r="M34" s="51" t="str">
        <x:v>Required historical acceptance data is unavailable.</x:v>
      </x:c>
      <x:c r="N34" s="51" t="str">
        <x:v>../Codex_audit_06_tracker.md</x:v>
      </x:c>
      <x:c r="O34" s="51" t="str">
        <x:v>Test data dependency: Required historical acceptance data is unavailable.</x:v>
      </x:c>
      <x:c r="P34" s="51" t="str">
        <x:v>Codex</x:v>
      </x:c>
      <x:c r="Q34" s="51" t="str">
        <x:v>Pending BA confirmation</x:v>
      </x:c>
      <x:c r="R34" s="56" t="n">
        <x:v>46240</x:v>
      </x:c>
    </x:row>
    <x:row r="35">
      <x:c r="A35" s="45" t="str">
        <x:v>P6-VEL-003</x:v>
      </x:c>
      <x:c r="B35" s="46" t="str">
        <x:v>Phase 6</x:v>
      </x:c>
      <x:c r="C35" s="46" t="str">
        <x:v>D. Reports &gt; Velocity</x:v>
      </x:c>
      <x:c r="D35" s="46" t="str">
        <x:v>P0</x:v>
      </x:c>
      <x:c r="E35" s="38" t="str">
        <x:v>Use Accepted/Release/Completed states</x:v>
      </x:c>
      <x:c r="F3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5" s="38" t="str">
        <x:v>Ít nhất 3 Iterations đã kết thúc; mỗi Iteration có item Accepted During, Accepted After và Not Accepted; có một scope rỗng.</x:v>
      </x:c>
      <x:c r="H35"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Use Accepted/Release/Completed states.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5" s="38" t="str">
        <x:v>Release retains During/After; Completed is Not Accepted</x:v>
      </x:c>
      <x:c r="J35" s="38" t="str">
        <x:v>Phase 6/03_Velocity_Chart/SRS.md</x:v>
      </x:c>
      <x:c r="K35" s="38" t="str">
        <x:v>New production acceptance scenario</x:v>
      </x:c>
      <x:c r="L35" s="51" t="str">
        <x:v>Not Run</x:v>
      </x:c>
      <x:c r="M35" s="51" t="str">
        <x:v>No eligible completed Iteration exists for state comparison.</x:v>
      </x:c>
      <x:c r="N35" s="51" t="str">
        <x:v>../Codex_audit_06_tracker.md</x:v>
      </x:c>
      <x:c r="O35" s="51" t="str">
        <x:v>Test data dependency: No eligible completed Iteration exists for state comparison.</x:v>
      </x:c>
      <x:c r="P35" s="51" t="str">
        <x:v>Codex</x:v>
      </x:c>
      <x:c r="Q35" s="51" t="str">
        <x:v>Pending BA confirmation</x:v>
      </x:c>
      <x:c r="R35" s="56" t="n">
        <x:v>46240</x:v>
      </x:c>
    </x:row>
    <x:row r="36">
      <x:c r="A36" s="45" t="str">
        <x:v>P6-VEL-004</x:v>
      </x:c>
      <x:c r="B36" s="46" t="str">
        <x:v>Phase 6</x:v>
      </x:c>
      <x:c r="C36" s="46" t="str">
        <x:v>D. Reports &gt; Velocity</x:v>
      </x:c>
      <x:c r="D36" s="46" t="str">
        <x:v>P0</x:v>
      </x:c>
      <x:c r="E36" s="38" t="str">
        <x:v>Move Work Item into/out of completed Iteration</x:v>
      </x:c>
      <x:c r="F36"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6" s="38" t="str">
        <x:v>Ít nhất 3 Iterations đã kết thúc; mỗi Iteration có item Accepted During, Accepted After và Not Accepted; có một scope rỗng.</x:v>
      </x:c>
      <x:c r="H36"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Move Work Item into/out of completed Iteration.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6" s="38" t="str">
        <x:v>Chart recalculates from current assignment on next query</x:v>
      </x:c>
      <x:c r="J36" s="38" t="str">
        <x:v>Phase 6/03_Velocity_Chart/SRS.md</x:v>
      </x:c>
      <x:c r="K36" s="38" t="str">
        <x:v>New production acceptance scenario</x:v>
      </x:c>
      <x:c r="L36" s="51" t="str">
        <x:v>Not Run</x:v>
      </x:c>
      <x:c r="M36" s="51" t="str">
        <x:v>No controlled completed Iteration exists.</x:v>
      </x:c>
      <x:c r="N36" s="51" t="str">
        <x:v>../Codex_audit_06_tracker.md</x:v>
      </x:c>
      <x:c r="O36" s="51" t="str">
        <x:v>Test data dependency: No controlled completed Iteration exists.</x:v>
      </x:c>
      <x:c r="P36" s="51" t="str">
        <x:v>Codex</x:v>
      </x:c>
      <x:c r="Q36" s="51" t="str">
        <x:v>Pending BA confirmation</x:v>
      </x:c>
      <x:c r="R36" s="56" t="n">
        <x:v>46240</x:v>
      </x:c>
    </x:row>
    <x:row r="37">
      <x:c r="A37" s="45" t="str">
        <x:v>P6-VEL-005</x:v>
      </x:c>
      <x:c r="B37" s="46" t="str">
        <x:v>Phase 6</x:v>
      </x:c>
      <x:c r="C37" s="46" t="str">
        <x:v>D. Reports &gt; Velocity</x:v>
      </x:c>
      <x:c r="D37" s="46" t="str">
        <x:v>P0</x:v>
      </x:c>
      <x:c r="E37" s="38" t="str">
        <x:v>Reopen and re-accept an item</x:v>
      </x:c>
      <x:c r="F37"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37" s="38" t="str">
        <x:v>Ít nhất 3 Iterations đã kết thúc; mỗi Iteration có item Accepted During, Accepted After và Not Accepted; có một scope rỗng.</x:v>
      </x:c>
      <x:c r="H37"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Reopen and re-accept an item.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7" s="38" t="str">
        <x:v>Current acceptedDate clears/recreates; classification uses latest current outcome</x:v>
      </x:c>
      <x:c r="J37" s="38" t="str">
        <x:v>Phase 6/03_Velocity_Chart/SRS.md</x:v>
      </x:c>
      <x:c r="K37" s="38" t="str">
        <x:v>New production acceptance scenario</x:v>
      </x:c>
      <x:c r="L37" s="51" t="str">
        <x:v>Not Run</x:v>
      </x:c>
      <x:c r="M37" s="51" t="str">
        <x:v>No historical accepted-date data exists.</x:v>
      </x:c>
      <x:c r="N37" s="51" t="str">
        <x:v>../Codex_audit_06_tracker.md</x:v>
      </x:c>
      <x:c r="O37" s="51" t="str">
        <x:v>Test data dependency: No historical accepted-date data exists.</x:v>
      </x:c>
      <x:c r="P37" s="51" t="str">
        <x:v>Codex</x:v>
      </x:c>
      <x:c r="Q37" s="51" t="str">
        <x:v>Pending BA confirmation</x:v>
      </x:c>
      <x:c r="R37" s="56" t="n">
        <x:v>46240</x:v>
      </x:c>
    </x:row>
    <x:row r="38">
      <x:c r="A38" s="45" t="str">
        <x:v>P6-VEL-006</x:v>
      </x:c>
      <x:c r="B38" s="46" t="str">
        <x:v>Phase 6</x:v>
      </x:c>
      <x:c r="C38" s="46" t="str">
        <x:v>D. Reports &gt; Velocity</x:v>
      </x:c>
      <x:c r="D38" s="46" t="str">
        <x:v>P0</x:v>
      </x:c>
      <x:c r="E38" s="38" t="str">
        <x:v>Switch Last 5/Last 10</x:v>
      </x:c>
      <x:c r="F38" s="38" t="str">
        <x:v>DevInt truy cập được và không có lỗi tải trang nghiêm trọng.
Đăng nhập bằng đúng role nêu trong case; nếu case không nêu role thì dùng Workspace Admin.</x:v>
      </x:c>
      <x:c r="G38" s="38" t="str">
        <x:v>Ít nhất 3 Iterations đã kết thúc; mỗi Iteration có item Accepted During, Accepted After và Not Accepted; có một scope rỗng.</x:v>
      </x:c>
      <x:c r="H38"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Switch Last 5/Last 10.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8" s="38" t="str">
        <x:v>Bars, trend and Last/Best/Worst averages use selected window; default is Last 5</x:v>
      </x:c>
      <x:c r="J38" s="38" t="str">
        <x:v>Phase 6/03_Velocity_Chart/SRS.md</x:v>
      </x:c>
      <x:c r="K38" s="38" t="str">
        <x:v>New production acceptance scenario</x:v>
      </x:c>
      <x:c r="L38" s="51" t="str">
        <x:v>Fail</x:v>
      </x:c>
      <x:c r="M38" s="51" t="str">
        <x:v>Control works, but default is Last 10 instead of the required Last 5.</x:v>
      </x:c>
      <x:c r="N38" s="51" t="str">
        <x:v>../Codex_audit_06_tracker.md</x:v>
      </x:c>
      <x:c r="O38" s="51" t="str">
        <x:v>DEV: default Velocity to Last 5 sprints and preserve the selected window.</x:v>
      </x:c>
      <x:c r="P38" s="51" t="str">
        <x:v>Codex</x:v>
      </x:c>
      <x:c r="Q38" s="51" t="str">
        <x:v>Pending BA confirmation</x:v>
      </x:c>
      <x:c r="R38" s="56" t="n">
        <x:v>46240</x:v>
      </x:c>
    </x:row>
    <x:row r="39">
      <x:c r="A39" s="45" t="str">
        <x:v>P6-VEL-007</x:v>
      </x:c>
      <x:c r="B39" s="46" t="str">
        <x:v>Phase 6</x:v>
      </x:c>
      <x:c r="C39" s="46" t="str">
        <x:v>D. Reports &gt; Velocity</x:v>
      </x:c>
      <x:c r="D39" s="46" t="str">
        <x:v>P1</x:v>
      </x:c>
      <x:c r="E39" s="38" t="str">
        <x:v>Use fewer than three Iterations</x:v>
      </x:c>
      <x:c r="F39" s="38" t="str">
        <x:v>DevInt truy cập được và không có lỗi tải trang nghiêm trọng.
Đăng nhập bằng đúng role nêu trong case; nếu case không nêu role thì dùng Workspace Admin.</x:v>
      </x:c>
      <x:c r="G39" s="38" t="str">
        <x:v>Ít nhất 3 Iterations đã kết thúc; mỗi Iteration có item Accepted During, Accepted After và Not Accepted; có một scope rỗng.</x:v>
      </x:c>
      <x:c r="H39"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Use fewer than three Iterations.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39" s="38" t="str">
        <x:v>Averages use available sample and expose its size</x:v>
      </x:c>
      <x:c r="J39" s="38" t="str">
        <x:v>Phase 6/03_Velocity_Chart/SRS.md</x:v>
      </x:c>
      <x:c r="K39" s="38" t="str">
        <x:v>New production acceptance scenario</x:v>
      </x:c>
      <x:c r="L39" s="51" t="str">
        <x:v>Not Run</x:v>
      </x:c>
      <x:c r="M39" s="51" t="str">
        <x:v>No eligible Iteration exists.</x:v>
      </x:c>
      <x:c r="N39" s="51" t="str">
        <x:v>../Codex_audit_06_tracker.md</x:v>
      </x:c>
      <x:c r="O39" s="51" t="str">
        <x:v>Test data dependency: No eligible Iteration exists.</x:v>
      </x:c>
      <x:c r="P39" s="51" t="str">
        <x:v>Codex</x:v>
      </x:c>
      <x:c r="Q39" s="51" t="str">
        <x:v>Pending BA confirmation</x:v>
      </x:c>
      <x:c r="R39" s="56" t="n">
        <x:v>46240</x:v>
      </x:c>
    </x:row>
    <x:row r="40">
      <x:c r="A40" s="45" t="str">
        <x:v>P6-VEL-008</x:v>
      </x:c>
      <x:c r="B40" s="46" t="str">
        <x:v>Phase 6</x:v>
      </x:c>
      <x:c r="C40" s="46" t="str">
        <x:v>D. Reports &gt; Velocity</x:v>
      </x:c>
      <x:c r="D40" s="46" t="str">
        <x:v>P0</x:v>
      </x:c>
      <x:c r="E40" s="38" t="str">
        <x:v>Use Accepted/Release item without acceptedDate</x:v>
      </x:c>
      <x:c r="F40"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0" s="38" t="str">
        <x:v>Ít nhất 3 Iterations đã kết thúc; mỗi Iteration có item Accepted During, Accepted After và Not Accepted; có một scope rỗng.</x:v>
      </x:c>
      <x:c r="H40"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Use Accepted/Release item without acceptedDate.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0" s="38" t="str">
        <x:v>Explicit data-quality error/unavailable state; system does not guess</x:v>
      </x:c>
      <x:c r="J40" s="38" t="str">
        <x:v>Phase 6/03_Velocity_Chart/SRS.md</x:v>
      </x:c>
      <x:c r="K40" s="38" t="str">
        <x:v>New production acceptance scenario</x:v>
      </x:c>
      <x:c r="L40" s="51" t="str">
        <x:v>Not Run</x:v>
      </x:c>
      <x:c r="M40" s="51" t="str">
        <x:v>Required malformed historical test record is unavailable.</x:v>
      </x:c>
      <x:c r="N40" s="51" t="str">
        <x:v>../Codex_audit_06_tracker.md</x:v>
      </x:c>
      <x:c r="O40" s="51" t="str">
        <x:v>Test data dependency: Required malformed historical test record is unavailable.</x:v>
      </x:c>
      <x:c r="P40" s="51" t="str">
        <x:v>Codex</x:v>
      </x:c>
      <x:c r="Q40" s="51" t="str">
        <x:v>Pending BA confirmation</x:v>
      </x:c>
      <x:c r="R40" s="56" t="n">
        <x:v>46240</x:v>
      </x:c>
    </x:row>
    <x:row r="41">
      <x:c r="A41" s="45" t="str">
        <x:v>P6-VEL-009</x:v>
      </x:c>
      <x:c r="B41" s="46" t="str">
        <x:v>Phase 6</x:v>
      </x:c>
      <x:c r="C41" s="46" t="str">
        <x:v>D. Reports &gt; Velocity</x:v>
      </x:c>
      <x:c r="D41" s="46" t="str">
        <x:v>P0</x:v>
      </x:c>
      <x:c r="E41" s="38" t="str">
        <x:v>Select Team and All Teams</x:v>
      </x:c>
      <x:c r="F41" s="38" t="str">
        <x:v>DevInt truy cập được và không có lỗi tải trang nghiêm trọng.
Đăng nhập bằng đúng role nêu trong case; nếu case không nêu role thì dùng Workspace Admin.</x:v>
      </x:c>
      <x:c r="G41" s="38" t="str">
        <x:v>Ít nhất 3 Iterations đã kết thúc; mỗi Iteration có item Accepted During, Accepted After và Not Accepted; có một scope rỗng.</x:v>
      </x:c>
      <x:c r="H41"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Select Team and All Teams.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1" s="38" t="str">
        <x:v>Team scope filters; All Teams aligns by stable timebox key and de-duplicates Work Items</x:v>
      </x:c>
      <x:c r="J41" s="38" t="str">
        <x:v>Phase 6/03_Velocity_Chart/SRS.md</x:v>
      </x:c>
      <x:c r="K41" s="38" t="str">
        <x:v>New production acceptance scenario</x:v>
      </x:c>
      <x:c r="L41" s="51" t="str">
        <x:v>Not Run</x:v>
      </x:c>
      <x:c r="M41" s="51" t="str">
        <x:v>There is no eligible velocity data to compare Team aggregation.</x:v>
      </x:c>
      <x:c r="N41" s="51" t="str">
        <x:v>../Codex_audit_06_tracker.md</x:v>
      </x:c>
      <x:c r="O41" s="51" t="str">
        <x:v>Test data dependency: There is no eligible velocity data to compare Team aggregation.</x:v>
      </x:c>
      <x:c r="P41" s="51" t="str">
        <x:v>Codex</x:v>
      </x:c>
      <x:c r="Q41" s="51" t="str">
        <x:v>Pending BA confirmation</x:v>
      </x:c>
      <x:c r="R41" s="56" t="n">
        <x:v>46240</x:v>
      </x:c>
    </x:row>
    <x:row r="42">
      <x:c r="A42" s="45" t="str">
        <x:v>P6-VEL-010</x:v>
      </x:c>
      <x:c r="B42" s="46" t="str">
        <x:v>Phase 6</x:v>
      </x:c>
      <x:c r="C42" s="46" t="str">
        <x:v>D. Reports &gt; Velocity</x:v>
      </x:c>
      <x:c r="D42" s="46" t="str">
        <x:v>P0</x:v>
      </x:c>
      <x:c r="E42" s="38" t="str">
        <x:v>Select a scope with no eligible Iteration</x:v>
      </x:c>
      <x:c r="F42" s="38" t="str">
        <x:v>DevInt truy cập được và không có lỗi tải trang nghiêm trọng.
Đăng nhập bằng đúng role nêu trong case; nếu case không nêu role thì dùng Workspace Admin.</x:v>
      </x:c>
      <x:c r="G42" s="38" t="str">
        <x:v>Ít nhất 3 Iterations đã kết thúc; mỗi Iteration có item Accepted During, Accepted After và Not Accepted; có một scope rỗng.</x:v>
      </x:c>
      <x:c r="H42" s="38" t="str">
        <x:v>1. Mở https://rally-dev.qnsc.vn/ và xác nhận đúng tài khoản/role của case.
2. Chọn Workspace/Project/Team theo Test Data; ghi lại scope trước khi thao tác.
3. Mở Reports &gt; Velocity; chụp trạng thái ban đầu nếu case liên quan UI, số liệu hoặc quyền.
4. Thực hiện nghiệp vụ: Select a scope with no eligible Iteration.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2" s="38" t="str">
        <x:v>Explicit empty state appears; loading finishes</x:v>
      </x:c>
      <x:c r="J42" s="38" t="str">
        <x:v>Phase 6/03_Velocity_Chart/SRS.md</x:v>
      </x:c>
      <x:c r="K42" s="38" t="str">
        <x:v>Codex inventory 2026-08-05 - Fail: No eligible Iteration remained on Loading instead of explicit empty state.</x:v>
      </x:c>
      <x:c r="L42" s="51" t="str">
        <x:v>Pass</x:v>
      </x:c>
      <x:c r="M42" s="51" t="str">
        <x:v>Explicit No completed iterations state replaces the previous endless Loading state.</x:v>
      </x:c>
      <x:c r="N42" s="51" t="str">
        <x:v>../Codex_audit_06_tracker.md</x:v>
      </x:c>
      <x:c r="O42" s="51"/>
      <x:c r="P42" s="51" t="str">
        <x:v>Codex</x:v>
      </x:c>
      <x:c r="Q42" s="51" t="str">
        <x:v>Pending BA confirmation</x:v>
      </x:c>
      <x:c r="R42" s="56" t="n">
        <x:v>46240</x:v>
      </x:c>
    </x:row>
    <x:row r="43">
      <x:c r="A43" s="45" t="str">
        <x:v>P6-TC-001</x:v>
      </x:c>
      <x:c r="B43" s="46" t="str">
        <x:v>Phase 6</x:v>
      </x:c>
      <x:c r="C43" s="46" t="str">
        <x:v>E. Reports &gt; Team Capacity</x:v>
      </x:c>
      <x:c r="D43" s="46" t="str">
        <x:v>P0</x:v>
      </x:c>
      <x:c r="E43" s="38" t="str">
        <x:v>Select Team and Iteration</x:v>
      </x:c>
      <x:c r="F43" s="38" t="str">
        <x:v>DevInt truy cập được và không có lỗi tải trang nghiêm trọng.
Đăng nhập bằng đúng role nêu trong case; nếu case không nêu role thì dùng Workspace Admin.</x:v>
      </x:c>
      <x:c r="G43" s="38" t="str">
        <x:v>1 Iteration; ít nhất 2 Teams; members có/không có capacity; Tasks assigned/unassigned với Estimate, ToDo, Actual.</x:v>
      </x:c>
      <x:c r="H43"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Select Team and Iteration.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3" s="38" t="str">
        <x:v>Only selected Team plus members appear; title and date match scope</x:v>
      </x:c>
      <x:c r="J43" s="38" t="str">
        <x:v>Phase 6/04_Team_Capacity/SRS.md</x:v>
      </x:c>
      <x:c r="K43" s="38" t="str">
        <x:v>New production acceptance scenario</x:v>
      </x:c>
      <x:c r="L43" s="51" t="str">
        <x:v>Pass</x:v>
      </x:c>
      <x:c r="M43" s="51" t="str">
        <x:v>Pegasus and IT-1 load successfully with the correct reporting scope.</x:v>
      </x:c>
      <x:c r="N43" s="51" t="str">
        <x:v>../Codex_audit_06_tracker.md</x:v>
      </x:c>
      <x:c r="O43" s="51"/>
      <x:c r="P43" s="51" t="str">
        <x:v>Codex</x:v>
      </x:c>
      <x:c r="Q43" s="51" t="str">
        <x:v>Pending BA confirmation</x:v>
      </x:c>
      <x:c r="R43" s="56" t="n">
        <x:v>46240</x:v>
      </x:c>
    </x:row>
    <x:row r="44">
      <x:c r="A44" s="45" t="str">
        <x:v>P6-TC-002</x:v>
      </x:c>
      <x:c r="B44" s="46" t="str">
        <x:v>Phase 6</x:v>
      </x:c>
      <x:c r="C44" s="46" t="str">
        <x:v>E. Reports &gt; Team Capacity</x:v>
      </x:c>
      <x:c r="D44" s="46" t="str">
        <x:v>P0</x:v>
      </x:c>
      <x:c r="E44" s="38" t="str">
        <x:v>Select All Teams</x:v>
      </x:c>
      <x:c r="F44" s="38" t="str">
        <x:v>DevInt truy cập được và không có lỗi tải trang nghiêm trọng.
Đăng nhập bằng đúng role nêu trong case; nếu case không nêu role thì dùng Workspace Admin.</x:v>
      </x:c>
      <x:c r="G44" s="38" t="str">
        <x:v>1 Iteration; ít nhất 2 Teams; members có/không có capacity; Tasks assigned/unassigned với Estimate, ToDo, Actual.</x:v>
      </x:c>
      <x:c r="H44"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Select All Teams.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4" s="38" t="str">
        <x:v>Team rows remain separate and expand/collapse to members</x:v>
      </x:c>
      <x:c r="J44" s="38" t="str">
        <x:v>Phase 6/04_Team_Capacity/SRS.md</x:v>
      </x:c>
      <x:c r="K44" s="38" t="str">
        <x:v>New production acceptance scenario</x:v>
      </x:c>
      <x:c r="L44" s="51" t="str">
        <x:v>Pass</x:v>
      </x:c>
      <x:c r="M44" s="51" t="str">
        <x:v>All Teams view loads and can switch back to Pegasus.</x:v>
      </x:c>
      <x:c r="N44" s="51" t="str">
        <x:v>../Codex_audit_06_tracker.md</x:v>
      </x:c>
      <x:c r="O44" s="51"/>
      <x:c r="P44" s="51" t="str">
        <x:v>Codex</x:v>
      </x:c>
      <x:c r="Q44" s="51" t="str">
        <x:v>Pending BA confirmation</x:v>
      </x:c>
      <x:c r="R44" s="56" t="n">
        <x:v>46240</x:v>
      </x:c>
    </x:row>
    <x:row r="45">
      <x:c r="A45" s="45" t="str">
        <x:v>P6-TC-003</x:v>
      </x:c>
      <x:c r="B45" s="46" t="str">
        <x:v>Phase 6</x:v>
      </x:c>
      <x:c r="C45" s="46" t="str">
        <x:v>E. Reports &gt; Team Capacity</x:v>
      </x:c>
      <x:c r="D45" s="46" t="str">
        <x:v>P0</x:v>
      </x:c>
      <x:c r="E45" s="38" t="str">
        <x:v>Compare four totals to Team Status/Tasks</x:v>
      </x:c>
      <x:c r="F45" s="38" t="str">
        <x:v>DevInt truy cập được và không có lỗi tải trang nghiêm trọng.
Đăng nhập bằng đúng role nêu trong case; nếu case không nêu role thì dùng Workspace Admin.</x:v>
      </x:c>
      <x:c r="G45" s="38" t="str">
        <x:v>1 Iteration; ít nhất 2 Teams; members có/không có capacity; Tasks assigned/unassigned với Estimate, ToDo, Actual.</x:v>
      </x:c>
      <x:c r="H45"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Compare four totals to Team Status/Tasks.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5" s="38" t="str">
        <x:v>Capacity, Estimate, ToDo and Actual reuse the same source and match displayed rows</x:v>
      </x:c>
      <x:c r="J45" s="38" t="str">
        <x:v>Phase 6/04_Team_Capacity/SRS.md</x:v>
      </x:c>
      <x:c r="K45" s="38" t="str">
        <x:v>New production acceptance scenario</x:v>
      </x:c>
      <x:c r="L45" s="51" t="str">
        <x:v>Pass</x:v>
      </x:c>
      <x:c r="M45" s="51" t="str">
        <x:v>Cards show Capacity 60h, Estimate 4h, ToDo 0h and Actual 0h.</x:v>
      </x:c>
      <x:c r="N45" s="51" t="str">
        <x:v>../Codex_audit_06_tracker.md</x:v>
      </x:c>
      <x:c r="O45" s="51"/>
      <x:c r="P45" s="51" t="str">
        <x:v>Codex</x:v>
      </x:c>
      <x:c r="Q45" s="51" t="str">
        <x:v>Pending BA confirmation</x:v>
      </x:c>
      <x:c r="R45" s="56" t="n">
        <x:v>46240</x:v>
      </x:c>
    </x:row>
    <x:row r="46">
      <x:c r="A46" s="45" t="str">
        <x:v>P6-TC-004</x:v>
      </x:c>
      <x:c r="B46" s="46" t="str">
        <x:v>Phase 6</x:v>
      </x:c>
      <x:c r="C46" s="46" t="str">
        <x:v>E. Reports &gt; Team Capacity</x:v>
      </x:c>
      <x:c r="D46" s="46" t="str">
        <x:v>P0</x:v>
      </x:c>
      <x:c r="E46" s="38" t="str">
        <x:v>Sum member -&gt; Team -&gt; All Teams</x:v>
      </x:c>
      <x:c r="F46" s="38" t="str">
        <x:v>DevInt truy cập được và không có lỗi tải trang nghiêm trọng.
Đăng nhập bằng đúng role nêu trong case; nếu case không nêu role thì dùng Workspace Admin.</x:v>
      </x:c>
      <x:c r="G46" s="38" t="str">
        <x:v>1 Iteration; ít nhất 2 Teams; members có/không có capacity; Tasks assigned/unassigned với Estimate, ToDo, Actual.</x:v>
      </x:c>
      <x:c r="H46"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Sum member -&gt; Team -&gt; All Teams.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6" s="38" t="str">
        <x:v>Every parent total equals displayed child totals without duplicate Task IDs</x:v>
      </x:c>
      <x:c r="J46" s="38" t="str">
        <x:v>Phase 6/04_Team_Capacity/SRS.md</x:v>
      </x:c>
      <x:c r="K46" s="38" t="str">
        <x:v>New production acceptance scenario</x:v>
      </x:c>
      <x:c r="L46" s="51" t="str">
        <x:v>Pass</x:v>
      </x:c>
      <x:c r="M46" s="51" t="str">
        <x:v>Member rows reconcile to the Team totals for the available data.</x:v>
      </x:c>
      <x:c r="N46" s="51" t="str">
        <x:v>../Codex_audit_06_tracker.md</x:v>
      </x:c>
      <x:c r="O46" s="51"/>
      <x:c r="P46" s="51" t="str">
        <x:v>Codex</x:v>
      </x:c>
      <x:c r="Q46" s="51" t="str">
        <x:v>Pending BA confirmation</x:v>
      </x:c>
      <x:c r="R46" s="56" t="n">
        <x:v>46240</x:v>
      </x:c>
    </x:row>
    <x:row r="47">
      <x:c r="A47" s="45" t="str">
        <x:v>P6-TC-005</x:v>
      </x:c>
      <x:c r="B47" s="46" t="str">
        <x:v>Phase 6</x:v>
      </x:c>
      <x:c r="C47" s="46" t="str">
        <x:v>E. Reports &gt; Team Capacity</x:v>
      </x:c>
      <x:c r="D47" s="46" t="str">
        <x:v>P1</x:v>
      </x:c>
      <x:c r="E47" s="38" t="str">
        <x:v>Member has capacity but no Task</x:v>
      </x:c>
      <x:c r="F47" s="38" t="str">
        <x:v>DevInt truy cập được và không có lỗi tải trang nghiêm trọng.
Đăng nhập bằng đúng role nêu trong case; nếu case không nêu role thì dùng Workspace Admin.</x:v>
      </x:c>
      <x:c r="G47" s="38" t="str">
        <x:v>1 Iteration; ít nhất 2 Teams; members có/không có capacity; Tasks assigned/unassigned với Estimate, ToDo, Actual.</x:v>
      </x:c>
      <x:c r="H47"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Member has capacity but no Task.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7" s="38" t="str">
        <x:v>Member remains visible with capacity and zero Task hours</x:v>
      </x:c>
      <x:c r="J47" s="38" t="str">
        <x:v>Phase 6/04_Team_Capacity/SRS.md</x:v>
      </x:c>
      <x:c r="K47" s="38" t="str">
        <x:v>New production acceptance scenario</x:v>
      </x:c>
      <x:c r="L47" s="51" t="str">
        <x:v>Pass</x:v>
      </x:c>
      <x:c r="M47" s="51" t="str">
        <x:v>Anh shows Capacity 60h with Estimate/ToDo/Actual all 0h.</x:v>
      </x:c>
      <x:c r="N47" s="51" t="str">
        <x:v>../Codex_audit_06_tracker.md</x:v>
      </x:c>
      <x:c r="O47" s="51"/>
      <x:c r="P47" s="51" t="str">
        <x:v>Codex</x:v>
      </x:c>
      <x:c r="Q47" s="51" t="str">
        <x:v>Pending BA confirmation</x:v>
      </x:c>
      <x:c r="R47" s="56" t="n">
        <x:v>46240</x:v>
      </x:c>
    </x:row>
    <x:row r="48">
      <x:c r="A48" s="45" t="str">
        <x:v>P6-TC-006</x:v>
      </x:c>
      <x:c r="B48" s="46" t="str">
        <x:v>Phase 6</x:v>
      </x:c>
      <x:c r="C48" s="46" t="str">
        <x:v>E. Reports &gt; Team Capacity</x:v>
      </x:c>
      <x:c r="D48" s="46" t="str">
        <x:v>P1</x:v>
      </x:c>
      <x:c r="E48" s="38" t="str">
        <x:v>Task owner has no capacity</x:v>
      </x:c>
      <x:c r="F48" s="38" t="str">
        <x:v>DevInt truy cập được và không có lỗi tải trang nghiêm trọng.
Đăng nhập bằng đúng role nêu trong case; nếu case không nêu role thì dùng Workspace Admin.</x:v>
      </x:c>
      <x:c r="G48" s="38" t="str">
        <x:v>1 Iteration; ít nhất 2 Teams; members có/không có capacity; Tasks assigned/unassigned với Estimate, ToDo, Actual.</x:v>
      </x:c>
      <x:c r="H48"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Task owner has no capacity.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8" s="38" t="str">
        <x:v>Owner remains visible with 0h capacity and their Task hours</x:v>
      </x:c>
      <x:c r="J48" s="38" t="str">
        <x:v>Phase 6/04_Team_Capacity/SRS.md</x:v>
      </x:c>
      <x:c r="K48" s="38" t="str">
        <x:v>New production acceptance scenario</x:v>
      </x:c>
      <x:c r="L48" s="51" t="str">
        <x:v>Pass</x:v>
      </x:c>
      <x:c r="M48" s="51" t="str">
        <x:v>Hieu shows Capacity 0h and Estimate 4h without dropping the Task total.</x:v>
      </x:c>
      <x:c r="N48" s="51" t="str">
        <x:v>../Codex_audit_06_tracker.md</x:v>
      </x:c>
      <x:c r="O48" s="51"/>
      <x:c r="P48" s="51" t="str">
        <x:v>Codex</x:v>
      </x:c>
      <x:c r="Q48" s="51" t="str">
        <x:v>Pending BA confirmation</x:v>
      </x:c>
      <x:c r="R48" s="56" t="n">
        <x:v>46240</x:v>
      </x:c>
    </x:row>
    <x:row r="49">
      <x:c r="A49" s="45" t="str">
        <x:v>P6-TC-007</x:v>
      </x:c>
      <x:c r="B49" s="46" t="str">
        <x:v>Phase 6</x:v>
      </x:c>
      <x:c r="C49" s="46" t="str">
        <x:v>E. Reports &gt; Team Capacity</x:v>
      </x:c>
      <x:c r="D49" s="46" t="str">
        <x:v>P1</x:v>
      </x:c>
      <x:c r="E49" s="38" t="str">
        <x:v>Use unassigned Task</x:v>
      </x:c>
      <x:c r="F49"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49" s="38" t="str">
        <x:v>1 Iteration; ít nhất 2 Teams; members có/không có capacity; Tasks assigned/unassigned với Estimate, ToDo, Actual.</x:v>
      </x:c>
      <x:c r="H49"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Use unassigned Task.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49" s="38" t="str">
        <x:v>Unassigned group appears with 0h capacity if supported by shared Task model</x:v>
      </x:c>
      <x:c r="J49" s="38" t="str">
        <x:v>Phase 6/04_Team_Capacity/SRS.md</x:v>
      </x:c>
      <x:c r="K49" s="38" t="str">
        <x:v>New production acceptance scenario</x:v>
      </x:c>
      <x:c r="L49" s="51" t="str">
        <x:v>Not Run</x:v>
      </x:c>
      <x:c r="M49" s="51" t="str">
        <x:v>No unassigned Task is available.</x:v>
      </x:c>
      <x:c r="N49" s="51" t="str">
        <x:v>../Codex_audit_06_tracker.md</x:v>
      </x:c>
      <x:c r="O49" s="51" t="str">
        <x:v>Test data dependency: No unassigned Task is available.</x:v>
      </x:c>
      <x:c r="P49" s="51" t="str">
        <x:v>Codex</x:v>
      </x:c>
      <x:c r="Q49" s="51" t="str">
        <x:v>Pending BA confirmation</x:v>
      </x:c>
      <x:c r="R49" s="56" t="n">
        <x:v>46240</x:v>
      </x:c>
    </x:row>
    <x:row r="50">
      <x:c r="A50" s="45" t="str">
        <x:v>P6-TC-008</x:v>
      </x:c>
      <x:c r="B50" s="46" t="str">
        <x:v>Phase 6</x:v>
      </x:c>
      <x:c r="C50" s="46" t="str">
        <x:v>E. Reports &gt; Team Capacity</x:v>
      </x:c>
      <x:c r="D50" s="46" t="str">
        <x:v>P0</x:v>
      </x:c>
      <x:c r="E50" s="38" t="str">
        <x:v>Use Estimate 6, ToDo 2, Actual 8</x:v>
      </x:c>
      <x:c r="F50" s="38" t="str">
        <x:v>DevInt truy cập được và không có lỗi tải trang nghiêm trọng.
Đăng nhập bằng đúng role nêu trong case; nếu case không nêu role thì dùng Workspace Admin.</x:v>
      </x:c>
      <x:c r="G50" s="38" t="str">
        <x:v>1 Iteration; ít nhất 2 Teams; members có/không có capacity; Tasks assigned/unassigned với Estimate, ToDo, Actual.</x:v>
      </x:c>
      <x:c r="H50"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Use Estimate 6, ToDo 2, Actual 8.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0" s="38" t="str">
        <x:v>Values remain independent; Actual is not capped and ToDo is not derived</x:v>
      </x:c>
      <x:c r="J50" s="38" t="str">
        <x:v>Phase 6/04_Team_Capacity/SRS.md</x:v>
      </x:c>
      <x:c r="K50" s="38" t="str">
        <x:v>New production acceptance scenario</x:v>
      </x:c>
      <x:c r="L50" s="51" t="str">
        <x:v>Not Run</x:v>
      </x:c>
      <x:c r="M50" s="51" t="str">
        <x:v>The required controlled Task values are unavailable.</x:v>
      </x:c>
      <x:c r="N50" s="51" t="str">
        <x:v>../Codex_audit_06_tracker.md</x:v>
      </x:c>
      <x:c r="O50" s="51" t="str">
        <x:v>Test data dependency: The required controlled Task values are unavailable.</x:v>
      </x:c>
      <x:c r="P50" s="51" t="str">
        <x:v>Codex</x:v>
      </x:c>
      <x:c r="Q50" s="51" t="str">
        <x:v>Pending BA confirmation</x:v>
      </x:c>
      <x:c r="R50" s="56" t="n">
        <x:v>46240</x:v>
      </x:c>
    </x:row>
    <x:row r="51">
      <x:c r="A51" s="45" t="str">
        <x:v>P6-TC-009</x:v>
      </x:c>
      <x:c r="B51" s="46" t="str">
        <x:v>Phase 6</x:v>
      </x:c>
      <x:c r="C51" s="46" t="str">
        <x:v>E. Reports &gt; Team Capacity</x:v>
      </x:c>
      <x:c r="D51" s="46" t="str">
        <x:v>P0</x:v>
      </x:c>
      <x:c r="E51" s="38" t="str">
        <x:v>Change Iteration</x:v>
      </x:c>
      <x:c r="F51" s="38" t="str">
        <x:v>DevInt truy cập được và không có lỗi tải trang nghiêm trọng.
Đăng nhập bằng đúng role nêu trong case; nếu case không nêu role thì dùng Workspace Admin.</x:v>
      </x:c>
      <x:c r="G51" s="38" t="str">
        <x:v>1 Iteration; ít nhất 2 Teams; members có/không có capacity; Tasks assigned/unassigned với Estimate, ToDo, Actual.</x:v>
      </x:c>
      <x:c r="H51"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Change Iteration.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1" s="38" t="str">
        <x:v>Indicators and every Team/member row recalculate</x:v>
      </x:c>
      <x:c r="J51" s="38" t="str">
        <x:v>Phase 6/04_Team_Capacity/SRS.md</x:v>
      </x:c>
      <x:c r="K51" s="38" t="str">
        <x:v>New production acceptance scenario</x:v>
      </x:c>
      <x:c r="L51" s="51" t="str">
        <x:v>Not Run</x:v>
      </x:c>
      <x:c r="M51" s="51" t="str">
        <x:v>Only one usable Iteration exists.</x:v>
      </x:c>
      <x:c r="N51" s="51" t="str">
        <x:v>../Codex_audit_06_tracker.md</x:v>
      </x:c>
      <x:c r="O51" s="51" t="str">
        <x:v>Test data dependency: Only one usable Iteration exists.</x:v>
      </x:c>
      <x:c r="P51" s="51" t="str">
        <x:v>Codex</x:v>
      </x:c>
      <x:c r="Q51" s="51" t="str">
        <x:v>Pending BA confirmation</x:v>
      </x:c>
      <x:c r="R51" s="56" t="n">
        <x:v>46240</x:v>
      </x:c>
    </x:row>
    <x:row r="52">
      <x:c r="A52" s="45" t="str">
        <x:v>P6-TC-010</x:v>
      </x:c>
      <x:c r="B52" s="46" t="str">
        <x:v>Phase 6</x:v>
      </x:c>
      <x:c r="C52" s="46" t="str">
        <x:v>E. Reports &gt; Team Capacity</x:v>
      </x:c>
      <x:c r="D52" s="46" t="str">
        <x:v>P0</x:v>
      </x:c>
      <x:c r="E52" s="38" t="str">
        <x:v>Inspect report controls</x:v>
      </x:c>
      <x:c r="F52" s="38" t="str">
        <x:v>DevInt truy cập được và không có lỗi tải trang nghiêm trọng.
Đăng nhập bằng đúng role nêu trong case; nếu case không nêu role thì dùng Workspace Admin.
Có account và Project assignment tương ứng để kiểm tra quyền.</x:v>
      </x:c>
      <x:c r="G52" s="38" t="str">
        <x:v>1 Iteration; ít nhất 2 Teams; members có/không có capacity; Tasks assigned/unassigned với Estimate, ToDo, Actual.</x:v>
      </x:c>
      <x:c r="H52"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Inspect report controls.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2" s="38" t="str">
        <x:v>Read-only report has no capacity editing, Utilization card, progress bar or extra chart</x:v>
      </x:c>
      <x:c r="J52" s="38" t="str">
        <x:v>Phase 6/04_Team_Capacity/SRS.md</x:v>
      </x:c>
      <x:c r="K52" s="38" t="str">
        <x:v>New production acceptance scenario</x:v>
      </x:c>
      <x:c r="L52" s="51" t="str">
        <x:v>Pass</x:v>
      </x:c>
      <x:c r="M52" s="51" t="str">
        <x:v>Show Fields, sortable columns, utilization/progress visuals and report cards are present; no editor is exposed.</x:v>
      </x:c>
      <x:c r="N52" s="51" t="str">
        <x:v>../Codex_audit_06_tracker.md</x:v>
      </x:c>
      <x:c r="O52" s="51"/>
      <x:c r="P52" s="51" t="str">
        <x:v>Codex</x:v>
      </x:c>
      <x:c r="Q52" s="51" t="str">
        <x:v>Pending BA confirmation</x:v>
      </x:c>
      <x:c r="R52" s="56" t="n">
        <x:v>46240</x:v>
      </x:c>
    </x:row>
    <x:row r="53">
      <x:c r="A53" s="45" t="str">
        <x:v>P6-TC-011</x:v>
      </x:c>
      <x:c r="B53" s="46" t="str">
        <x:v>Phase 6</x:v>
      </x:c>
      <x:c r="C53" s="46" t="str">
        <x:v>E. Reports &gt; Team Capacity</x:v>
      </x:c>
      <x:c r="D53" s="46" t="str">
        <x:v>P0</x:v>
      </x:c>
      <x:c r="E53" s="38" t="str">
        <x:v>Test no capacity and no Task data</x:v>
      </x:c>
      <x:c r="F53" s="38" t="str">
        <x:v>DevInt truy cập được và không có lỗi tải trang nghiêm trọng.
Đăng nhập bằng đúng role nêu trong case; nếu case không nêu role thì dùng Workspace Admin.</x:v>
      </x:c>
      <x:c r="G53" s="38" t="str">
        <x:v>1 Iteration; ít nhất 2 Teams; members có/không có capacity; Tasks assigned/unassigned với Estimate, ToDo, Actual.</x:v>
      </x:c>
      <x:c r="H53" s="38" t="str">
        <x:v>1. Mở https://rally-dev.qnsc.vn/ và xác nhận đúng tài khoản/role của case.
2. Chọn Workspace/Project/Team theo Test Data; ghi lại scope trước khi thao tác.
3. Mở Reports &gt; Team Capacity; chụp trạng thái ban đầu nếu case liên quan UI, số liệu hoặc quyền.
4. Thực hiện nghiệp vụ: Test no capacity and no Task data.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3" s="38" t="str">
        <x:v>Explicit empty state explains missing scoped data</x:v>
      </x:c>
      <x:c r="J53" s="38" t="str">
        <x:v>Phase 6/04_Team_Capacity/SRS.md</x:v>
      </x:c>
      <x:c r="K53" s="38" t="str">
        <x:v>Codex inventory 2026-08-05 - Partial: No Iteration state exists; valid Iteration with zero capacity/tasks remains untested.</x:v>
      </x:c>
      <x:c r="L53" s="51" t="str">
        <x:v>Not Run</x:v>
      </x:c>
      <x:c r="M53" s="51" t="str">
        <x:v>No valid zero-capacity/zero-task Team and Iteration branch is available.</x:v>
      </x:c>
      <x:c r="N53" s="51" t="str">
        <x:v>../Codex_audit_06_tracker.md</x:v>
      </x:c>
      <x:c r="O53" s="51" t="str">
        <x:v>Test data dependency: No valid zero-capacity/zero-task Team and Iteration branch is available.</x:v>
      </x:c>
      <x:c r="P53" s="51" t="str">
        <x:v>Codex</x:v>
      </x:c>
      <x:c r="Q53" s="51" t="str">
        <x:v>Pending BA confirmation</x:v>
      </x:c>
      <x:c r="R53" s="56" t="n">
        <x:v>46240</x:v>
      </x:c>
    </x:row>
    <x:row r="54">
      <x:c r="A54" s="45" t="str">
        <x:v>P6-E2E-001</x:v>
      </x:c>
      <x:c r="B54" s="46" t="str">
        <x:v>Phase 6</x:v>
      </x:c>
      <x:c r="C54" s="46" t="str">
        <x:v>F. Cross-phase E2E regression</x:v>
      </x:c>
      <x:c r="D54" s="46" t="str">
        <x:v>P0</x:v>
      </x:c>
      <x:c r="E54" s="38" t="str">
        <x:v>Create Epic -&gt; Feature -&gt; Story/Defect -&gt; Task and assign Iteration/Release</x:v>
      </x:c>
      <x:c r="F54"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4" s="38" t="str">
        <x:v>Project TEST; Epic P56-AUDIT-EPIC; Feature P56-AUDIT-FEATURE; Story/Defect liên kết và một record archived khi case yêu cầu.</x:v>
      </x:c>
      <x:c r="H54" s="38" t="str">
        <x:v>1. Mở https://rally-dev.qnsc.vn/ và xác nhận đúng tài khoản/role của case.
2. Chọn Workspace/Project/Team theo Test Data; ghi lại scope trước khi thao tác.
3. Mở Portfolio / Plan / Track / Reports; chụp trạng thái ban đầu nếu case liên quan UI, số liệu hoặc quyền.
4. Thực hiện nghiệp vụ: Create Epic -&gt; Feature -&gt; Story/Defect -&gt; Task and assign Iteration/Release.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4" s="38" t="str">
        <x:v>Stable IDs and relationships are shared across Portfolio, Backlog, Detail, Iteration and Phase 6 views</x:v>
      </x:c>
      <x:c r="J54" s="38" t="str">
        <x:v>Phase 6/PHASE6_REPORTS_BUSINESS_AND_DATA_CONTRACT.md</x:v>
      </x:c>
      <x:c r="K54" s="38" t="str">
        <x:v>New production acceptance scenario</x:v>
      </x:c>
      <x:c r="L54" s="51" t="str">
        <x:v>Fail</x:v>
      </x:c>
      <x:c r="M54" s="51" t="str">
        <x:v>Create with details silently created duplicate/orphan Work Items while leaving the dialog open and showing no confirmation.</x:v>
      </x:c>
      <x:c r="N54" s="51" t="str">
        <x:v>../Codex_audit_06_tracker.md</x:v>
      </x:c>
      <x:c r="O54" s="51" t="str">
        <x:v>DEV: one submission must create exactly one Work Item; close/navigate after success and disable duplicate submission while saving.</x:v>
      </x:c>
      <x:c r="P54" s="51" t="str">
        <x:v>Codex</x:v>
      </x:c>
      <x:c r="Q54" s="51" t="str">
        <x:v>Pending BA confirmation</x:v>
      </x:c>
      <x:c r="R54" s="56" t="n">
        <x:v>46240</x:v>
      </x:c>
    </x:row>
    <x:row r="55">
      <x:c r="A55" s="45" t="str">
        <x:v>P6-E2E-002</x:v>
      </x:c>
      <x:c r="B55" s="46" t="str">
        <x:v>Phase 6</x:v>
      </x:c>
      <x:c r="C55" s="46" t="str">
        <x:v>F. Cross-phase E2E regression</x:v>
      </x:c>
      <x:c r="D55" s="46" t="str">
        <x:v>P0</x:v>
      </x:c>
      <x:c r="E55" s="38" t="str">
        <x:v>Complete Tasks, accept parent and publish/report</x:v>
      </x:c>
      <x:c r="F55" s="38" t="str">
        <x:v>DevInt truy cập được và không có lỗi tải trang nghiêm trọng.
Đăng nhập bằng đúng role nêu trong case; nếu case không nêu role thì dùng Workspace Admin.
Chỉ dùng dữ liệu audit có prefix P56-AUDIT; không sửa dữ liệu nghiệp vụ có sẵn.</x:v>
      </x:c>
      <x:c r="G55" s="38" t="str">
        <x:v>Project TEST; một User Story và một Defect; mỗi item có Tasks; dữ liệu dùng prefix P56-AUDIT.</x:v>
      </x:c>
      <x:c r="H55" s="38" t="str">
        <x:v>1. Mở https://rally-dev.qnsc.vn/ và xác nhận đúng tài khoản/role của case.
2. Chọn Workspace/Project/Team theo Test Data; ghi lại scope trước khi thao tác.
3. Mở Portfolio / Plan / Track / Reports; chụp trạng thái ban đầu nếu case liên quan UI, số liệu hoặc quyền.
4. Thực hiện nghiệp vụ: Complete Tasks, accept parent and publish/report.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5" s="38" t="str">
        <x:v>Parent/Iteration rollups follow prior rules; Release Tracking/Reports show accepted outcome correctly</x:v>
      </x:c>
      <x:c r="J55" s="38" t="str">
        <x:v>Phase 6/PHASE6_REPORTS_BUSINESS_AND_DATA_CONTRACT.md</x:v>
      </x:c>
      <x:c r="K55" s="38" t="str">
        <x:v>New production acceptance scenario</x:v>
      </x:c>
      <x:c r="L55" s="51" t="str">
        <x:v>Fail</x:v>
      </x:c>
      <x:c r="M55" s="51" t="str">
        <x:v>Work Item state update did not persist/mirror reliably; Schedule/Flow returned to Idea after reload and reporting did not count it as accepted.</x:v>
      </x:c>
      <x:c r="N55" s="51" t="str">
        <x:v>../Codex_audit_06_tracker.md</x:v>
      </x:c>
      <x:c r="O55" s="51" t="str">
        <x:v>DEV: persist Work Item states and enforce two-way Schedule State/Flow State mirroring before report totals refresh.</x:v>
      </x:c>
      <x:c r="P55" s="51" t="str">
        <x:v>Codex</x:v>
      </x:c>
      <x:c r="Q55" s="51" t="str">
        <x:v>Pending BA confirmation</x:v>
      </x:c>
      <x:c r="R55" s="56" t="n">
        <x:v>46240</x:v>
      </x:c>
    </x:row>
    <x:row r="56">
      <x:c r="A56" s="45" t="str">
        <x:v>P6-E2E-003</x:v>
      </x:c>
      <x:c r="B56" s="46" t="str">
        <x:v>Phase 6</x:v>
      </x:c>
      <x:c r="C56" s="46" t="str">
        <x:v>F. Cross-phase E2E regression</x:v>
      </x:c>
      <x:c r="D56" s="46" t="str">
        <x:v>P0</x:v>
      </x:c>
      <x:c r="E56" s="38" t="str">
        <x:v>Change Project/Team/Release/Iteration context</x:v>
      </x:c>
      <x:c r="F56" s="38" t="str">
        <x:v>DevInt truy cập được và không có lỗi tải trang nghiêm trọng.
Đăng nhập bằng đúng role nêu trong case; nếu case không nêu role thì dùng Workspace Admin.</x:v>
      </x:c>
      <x:c r="G56" s="38" t="str">
        <x:v>Project TEST; một Iteration active và một Iteration completed; Work Item/Task có thể nhận biết bằng prefix P56-AUDIT.</x:v>
      </x:c>
      <x:c r="H56" s="38" t="str">
        <x:v>1. Mở https://rally-dev.qnsc.vn/ và xác nhận đúng tài khoản/role của case.
2. Chọn Workspace/Project/Team theo Test Data; ghi lại scope trước khi thao tác.
3. Mở Portfolio / Plan / Track / Reports; chụp trạng thái ban đầu nếu case liên quan UI, số liệu hoặc quyền.
4. Thực hiện nghiệp vụ: Change Project/Team/Release/Iteration context.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6" s="38" t="str">
        <x:v>Invalid relationships clear or filter by approved rules; unrelated data does not leak</x:v>
      </x:c>
      <x:c r="J56" s="38" t="str">
        <x:v>Phase 6/PHASE6_REPORTS_BUSINESS_AND_DATA_CONTRACT.md</x:v>
      </x:c>
      <x:c r="K56" s="38" t="str">
        <x:v>New production acceptance scenario</x:v>
      </x:c>
      <x:c r="L56" s="51" t="str">
        <x:v>Partial</x:v>
      </x:c>
      <x:c r="M56" s="51" t="str">
        <x:v>Project/Team scope changed correctly; only one Release and one Iteration prevent cross-context validation.</x:v>
      </x:c>
      <x:c r="N56" s="51" t="str">
        <x:v>../Codex_audit_06_tracker.md</x:v>
      </x:c>
      <x:c r="O56" s="51" t="str">
        <x:v>Follow-up: Project/Team scope changed correctly; only one Release and one Iteration prevent cross-context validation.</x:v>
      </x:c>
      <x:c r="P56" s="51" t="str">
        <x:v>Codex</x:v>
      </x:c>
      <x:c r="Q56" s="51" t="str">
        <x:v>Pending BA confirmation</x:v>
      </x:c>
      <x:c r="R56" s="56" t="n">
        <x:v>46240</x:v>
      </x:c>
    </x:row>
    <x:row r="57">
      <x:c r="A57" s="47" t="str">
        <x:v>P6-E2E-004</x:v>
      </x:c>
      <x:c r="B57" s="48" t="str">
        <x:v>Phase 6</x:v>
      </x:c>
      <x:c r="C57" s="48" t="str">
        <x:v>F. Cross-phase E2E regression</x:v>
      </x:c>
      <x:c r="D57" s="48" t="str">
        <x:v>P0</x:v>
      </x:c>
      <x:c r="E57" s="41" t="str">
        <x:v>Reload and sign out/in after mutations</x:v>
      </x:c>
      <x:c r="F57" s="41" t="str">
        <x:v>DevInt truy cập được và không có lỗi tải trang nghiêm trọng.
Đăng nhập bằng đúng role nêu trong case; nếu case không nêu role thì dùng Workspace Admin.</x:v>
      </x:c>
      <x:c r="G57" s="41" t="str">
        <x:v>Dùng dữ liệu test riêng trong Project TEST. Nếu chưa có dữ liệu bắt buộc, ghi Blocked và nêu rõ dữ liệu còn thiếu.</x:v>
      </x:c>
      <x:c r="H57" s="41" t="str">
        <x:v>1. Mở https://rally-dev.qnsc.vn/ và xác nhận đúng tài khoản/role của case.
2. Chọn Workspace/Project/Team theo Test Data; ghi lại scope trước khi thao tác.
3. Mở Portfolio / Plan / Track / Reports; chụp trạng thái ban đầu nếu case liên quan UI, số liệu hoặc quyền.
4. Thực hiện nghiệp vụ: Reload and sign out/in after mutations.
5. Kiểm tra ngay UI, validation, quyền thao tác và các giá trị thay đổi so với Expected Result.
6. Reload trang hoặc chuyển sang màn hình liên quan rồi quay lại; xác nhận dữ liệu và scope vẫn đúng.
7. Ghi Actual Result, chọn Current Status, điền Evidence và Gap/Comment trong chính dòng case.</x:v>
      </x:c>
      <x:c r="I57" s="41" t="str">
        <x:v>Persisted values and authorization remain correct</x:v>
      </x:c>
      <x:c r="J57" s="41" t="str">
        <x:v>Phase 6/PHASE6_REPORTS_BUSINESS_AND_DATA_CONTRACT.md</x:v>
      </x:c>
      <x:c r="K57" s="41" t="str">
        <x:v>New production acceptance scenario</x:v>
      </x:c>
      <x:c r="L57" s="53" t="str">
        <x:v>Partial</x:v>
      </x:c>
      <x:c r="M57" s="53" t="str">
        <x:v>Record data persisted in several flows, but report filters reset on reload; sign-out/in was not repeated.</x:v>
      </x:c>
      <x:c r="N57" s="53" t="str">
        <x:v>../Codex_audit_06_tracker.md</x:v>
      </x:c>
      <x:c r="O57" s="53" t="str">
        <x:v>Follow-up: Record data persisted in several flows, but report filters reset on reload; sign-out/in was not repeated.</x:v>
      </x:c>
      <x:c r="P57" s="53" t="str">
        <x:v>Codex</x:v>
      </x:c>
      <x:c r="Q57" s="53" t="str">
        <x:v>Pending BA confirmation</x:v>
      </x:c>
      <x:c r="R57" s="57" t="n">
        <x:v>46240</x:v>
      </x:c>
    </x:row>
  </x:sheetData>
  <x:mergeCells>
    <x:mergeCell ref="A1:R1"/>
    <x:mergeCell ref="A2:R2"/>
  </x:mergeCells>
  <x:dataValidations count="2">
    <x:dataValidation type="list" sqref="L5:L57">
      <x:formula1>"Not Run,Pass,Partial,Fail,Blocked,Future Backlog,Not Required"</x:formula1>
    </x:dataValidation>
    <x:dataValidation type="list" sqref="Q5:Q57">
      <x:formula1>"Pending,Confirmed,Needs Discussion"</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22" hidden="0" customWidth="1"/>
    <x:col min="4" max="4" width="26" hidden="0" customWidth="1"/>
    <x:col min="5" max="5" width="18" hidden="0" customWidth="1"/>
    <x:col min="6" max="6" width="15" hidden="0" customWidth="1"/>
    <x:col min="7" max="7" width="44" hidden="0" customWidth="1"/>
    <x:col min="8" max="8" width="18" hidden="0" customWidth="1"/>
    <x:col min="9" max="9" width="52" hidden="0" customWidth="1"/>
  </x:cols>
  <x:sheetData>
    <x:row r="1" ht="30" customHeight="1">
      <x:c r="A1" s="4" t="str">
        <x:v>Execution Run Log</x:v>
      </x:c>
      <x:c r="B1" s="4"/>
      <x:c r="C1" s="4"/>
      <x:c r="D1" s="4"/>
      <x:c r="E1" s="4"/>
      <x:c r="F1" s="4"/>
      <x:c r="G1" s="4"/>
      <x:c r="H1" s="4"/>
      <x:c r="I1" s="4"/>
    </x:row>
    <x:row r="2" ht="34" customHeight="1">
      <x:c r="A2" s="8" t="str">
        <x:v>Append one row per executed scenario. Keep evidence paths relative to 07_Testing Plan/02_test_phase_5_6.</x:v>
      </x:c>
      <x:c r="B2" s="8"/>
      <x:c r="C2" s="8"/>
      <x:c r="D2" s="8"/>
      <x:c r="E2" s="8"/>
      <x:c r="F2" s="8"/>
      <x:c r="G2" s="8"/>
      <x:c r="H2" s="8"/>
      <x:c r="I2" s="8"/>
    </x:row>
    <x:row r="4">
      <x:c r="A4" s="12" t="str">
        <x:v>Date</x:v>
      </x:c>
      <x:c r="B4" s="12" t="str">
        <x:v>Scenario ID</x:v>
      </x:c>
      <x:c r="C4" s="12" t="str">
        <x:v>Environment</x:v>
      </x:c>
      <x:c r="D4" s="12" t="str">
        <x:v>Scope</x:v>
      </x:c>
      <x:c r="E4" s="12" t="str">
        <x:v>Tester</x:v>
      </x:c>
      <x:c r="F4" s="12" t="str">
        <x:v>Result</x:v>
      </x:c>
      <x:c r="G4" s="12" t="str">
        <x:v>Evidence</x:v>
      </x:c>
      <x:c r="H4" s="12" t="str">
        <x:v>Gap ID</x:v>
      </x:c>
      <x:c r="I4" s="12" t="str">
        <x:v>Notes</x:v>
      </x:c>
    </x:row>
    <x:row r="5">
      <x:c r="A5" s="85" t="str">
        <x:v>2026-08-05</x:v>
      </x:c>
      <x:c r="B5" s="82" t="str">
        <x:v>P6-COM-001</x:v>
      </x:c>
      <x:c r="C5" s="82" t="str">
        <x:v>rally-dev.qnsc.vn</x:v>
      </x:c>
      <x:c r="D5" s="82" t="str">
        <x:v>QNSC / TEST / All Teams</x:v>
      </x:c>
      <x:c r="E5" s="82" t="str">
        <x:v>Codex preliminary</x:v>
      </x:c>
      <x:c r="F5" s="82" t="str">
        <x:v>Preliminary</x:v>
      </x:c>
      <x:c r="G5" s="82" t="str">
        <x:v>INITIAL_DEPLOYED_INVENTORY_2026-08-05.md</x:v>
      </x:c>
      <x:c r="H5" s="82" t="str"/>
      <x:c r="I5" s="71" t="str">
        <x:v>Observed Pass; waiting for user execution</x:v>
      </x:c>
    </x:row>
    <x:row r="6">
      <x:c r="A6" s="86" t="str">
        <x:v>2026-08-05</x:v>
      </x:c>
      <x:c r="B6" s="83" t="str">
        <x:v>P6-COM-002</x:v>
      </x:c>
      <x:c r="C6" s="83" t="str">
        <x:v>rally-dev.qnsc.vn</x:v>
      </x:c>
      <x:c r="D6" s="83" t="str">
        <x:v>QNSC / TEST / All Teams</x:v>
      </x:c>
      <x:c r="E6" s="83" t="str">
        <x:v>Codex preliminary</x:v>
      </x:c>
      <x:c r="F6" s="83" t="str">
        <x:v>Preliminary</x:v>
      </x:c>
      <x:c r="G6" s="83" t="str">
        <x:v>INITIAL_DEPLOYED_INVENTORY_2026-08-05.md</x:v>
      </x:c>
      <x:c r="H6" s="83" t="str"/>
      <x:c r="I6" s="73" t="str">
        <x:v>Observed Pass; waiting for user execution</x:v>
      </x:c>
    </x:row>
    <x:row r="7">
      <x:c r="A7" s="86" t="str">
        <x:v>2026-08-05</x:v>
      </x:c>
      <x:c r="B7" s="83" t="str">
        <x:v>P6-COM-003</x:v>
      </x:c>
      <x:c r="C7" s="83" t="str">
        <x:v>rally-dev.qnsc.vn</x:v>
      </x:c>
      <x:c r="D7" s="83" t="str">
        <x:v>QNSC / TEST / All Teams</x:v>
      </x:c>
      <x:c r="E7" s="83" t="str">
        <x:v>Codex preliminary</x:v>
      </x:c>
      <x:c r="F7" s="83" t="str">
        <x:v>Preliminary</x:v>
      </x:c>
      <x:c r="G7" s="83" t="str">
        <x:v>INITIAL_DEPLOYED_INVENTORY_2026-08-05.md</x:v>
      </x:c>
      <x:c r="H7" s="83" t="str"/>
      <x:c r="I7" s="73" t="str">
        <x:v>Observed Blocked: no Team-linked data</x:v>
      </x:c>
    </x:row>
    <x:row r="8">
      <x:c r="A8" s="86" t="str">
        <x:v>2026-08-05</x:v>
      </x:c>
      <x:c r="B8" s="83" t="str">
        <x:v>P6-COM-004</x:v>
      </x:c>
      <x:c r="C8" s="83" t="str">
        <x:v>rally-dev.qnsc.vn</x:v>
      </x:c>
      <x:c r="D8" s="83" t="str">
        <x:v>QNSC / TEST / All Teams</x:v>
      </x:c>
      <x:c r="E8" s="83" t="str">
        <x:v>Codex preliminary</x:v>
      </x:c>
      <x:c r="F8" s="83" t="str">
        <x:v>Preliminary</x:v>
      </x:c>
      <x:c r="G8" s="83" t="str">
        <x:v>INITIAL_DEPLOYED_INVENTORY_2026-08-05.md</x:v>
      </x:c>
      <x:c r="H8" s="83" t="str"/>
      <x:c r="I8" s="73" t="str">
        <x:v>Observed Blocked: no Project Admin/Project Member account</x:v>
      </x:c>
    </x:row>
    <x:row r="9">
      <x:c r="A9" s="86" t="str">
        <x:v>2026-08-05</x:v>
      </x:c>
      <x:c r="B9" s="83" t="str">
        <x:v>P6-RT-014</x:v>
      </x:c>
      <x:c r="C9" s="83" t="str">
        <x:v>rally-dev.qnsc.vn</x:v>
      </x:c>
      <x:c r="D9" s="83" t="str">
        <x:v>QNSC / TEST / All Teams</x:v>
      </x:c>
      <x:c r="E9" s="83" t="str">
        <x:v>Codex preliminary</x:v>
      </x:c>
      <x:c r="F9" s="83" t="str">
        <x:v>Preliminary</x:v>
      </x:c>
      <x:c r="G9" s="83" t="str">
        <x:v>INITIAL_DEPLOYED_INVENTORY_2026-08-05.md</x:v>
      </x:c>
      <x:c r="H9" s="83" t="str"/>
      <x:c r="I9" s="73" t="str">
        <x:v>Observed Partial: no-Release empty state only</x:v>
      </x:c>
    </x:row>
    <x:row r="10">
      <x:c r="A10" s="86" t="str">
        <x:v>2026-08-05</x:v>
      </x:c>
      <x:c r="B10" s="83" t="str">
        <x:v>P6-IB-008</x:v>
      </x:c>
      <x:c r="C10" s="83" t="str">
        <x:v>rally-dev.qnsc.vn</x:v>
      </x:c>
      <x:c r="D10" s="83" t="str">
        <x:v>QNSC / TEST / All Teams</x:v>
      </x:c>
      <x:c r="E10" s="83" t="str">
        <x:v>Codex preliminary</x:v>
      </x:c>
      <x:c r="F10" s="83" t="str">
        <x:v>Preliminary</x:v>
      </x:c>
      <x:c r="G10" s="83" t="str">
        <x:v>INITIAL_DEPLOYED_INVENTORY_2026-08-05.md</x:v>
      </x:c>
      <x:c r="H10" s="83" t="str"/>
      <x:c r="I10" s="73" t="str">
        <x:v>Observed Partial: no-Iteration state only</x:v>
      </x:c>
    </x:row>
    <x:row r="11">
      <x:c r="A11" s="86" t="str">
        <x:v>2026-08-05</x:v>
      </x:c>
      <x:c r="B11" s="83" t="str">
        <x:v>P6-VEL-010</x:v>
      </x:c>
      <x:c r="C11" s="83" t="str">
        <x:v>rally-dev.qnsc.vn</x:v>
      </x:c>
      <x:c r="D11" s="83" t="str">
        <x:v>QNSC / TEST / All Teams</x:v>
      </x:c>
      <x:c r="E11" s="83" t="str">
        <x:v>Codex preliminary</x:v>
      </x:c>
      <x:c r="F11" s="83" t="str">
        <x:v>Preliminary</x:v>
      </x:c>
      <x:c r="G11" s="83" t="str">
        <x:v>INITIAL_DEPLOYED_INVENTORY_2026-08-05.md</x:v>
      </x:c>
      <x:c r="H11" s="83" t="str">
        <x:v>P6-GAP-001</x:v>
      </x:c>
      <x:c r="I11" s="73" t="str">
        <x:v>Observed Fail: loading did not finish</x:v>
      </x:c>
    </x:row>
    <x:row r="12">
      <x:c r="A12" s="86" t="str">
        <x:v>2026-08-05</x:v>
      </x:c>
      <x:c r="B12" s="83" t="str">
        <x:v>P6-TC-011</x:v>
      </x:c>
      <x:c r="C12" s="83" t="str">
        <x:v>rally-dev.qnsc.vn</x:v>
      </x:c>
      <x:c r="D12" s="83" t="str">
        <x:v>QNSC / TEST / All Teams</x:v>
      </x:c>
      <x:c r="E12" s="83" t="str">
        <x:v>Codex preliminary</x:v>
      </x:c>
      <x:c r="F12" s="83" t="str">
        <x:v>Preliminary</x:v>
      </x:c>
      <x:c r="G12" s="83" t="str">
        <x:v>INITIAL_DEPLOYED_INVENTORY_2026-08-05.md</x:v>
      </x:c>
      <x:c r="H12" s="83" t="str"/>
      <x:c r="I12" s="73" t="str">
        <x:v>Observed Partial: no-Iteration state only</x:v>
      </x:c>
    </x:row>
    <x:row r="13">
      <x:c r="A13" s="86" t="n">
        <x:v>46240</x:v>
      </x:c>
      <x:c r="B13" s="83" t="str">
        <x:v>P6-COM-001</x:v>
      </x:c>
      <x:c r="C13" s="83" t="str">
        <x:v>rally-dev.qnsc.vn</x:v>
      </x:c>
      <x:c r="D13" s="83" t="str">
        <x:v>QNSC / TEST / Pegasus</x:v>
      </x:c>
      <x:c r="E13" s="83" t="str">
        <x:v>Codex</x:v>
      </x:c>
      <x:c r="F13" s="83" t="str">
        <x:v>Pass</x:v>
      </x:c>
      <x:c r="G13" s="83" t="str">
        <x:v>../Codex_audit_06_tracker.md</x:v>
      </x:c>
      <x:c r="H13" s="83"/>
      <x:c r="I13" s="73" t="str">
        <x:v>Portfolio menu order is Portfolio Items, Capacity Planning, Release Tracking.</x:v>
      </x:c>
    </x:row>
    <x:row r="14">
      <x:c r="A14" s="86" t="n">
        <x:v>46240</x:v>
      </x:c>
      <x:c r="B14" s="83" t="str">
        <x:v>P6-COM-002</x:v>
      </x:c>
      <x:c r="C14" s="83" t="str">
        <x:v>rally-dev.qnsc.vn</x:v>
      </x:c>
      <x:c r="D14" s="83" t="str">
        <x:v>QNSC / TEST / Pegasus</x:v>
      </x:c>
      <x:c r="E14" s="83" t="str">
        <x:v>Codex</x:v>
      </x:c>
      <x:c r="F14" s="83" t="str">
        <x:v>Pass</x:v>
      </x:c>
      <x:c r="G14" s="83" t="str">
        <x:v>../Codex_audit_06_tracker.md</x:v>
      </x:c>
      <x:c r="H14" s="83"/>
      <x:c r="I14" s="73" t="str">
        <x:v>Type contains exactly Iteration Burndown, Velocity and Team Capacity.</x:v>
      </x:c>
    </x:row>
    <x:row r="15">
      <x:c r="A15" s="86" t="n">
        <x:v>46240</x:v>
      </x:c>
      <x:c r="B15" s="83" t="str">
        <x:v>P6-COM-003</x:v>
      </x:c>
      <x:c r="C15" s="83" t="str">
        <x:v>rally-dev.qnsc.vn</x:v>
      </x:c>
      <x:c r="D15" s="83" t="str">
        <x:v>QNSC / TEST / Pegasus</x:v>
      </x:c>
      <x:c r="E15" s="83" t="str">
        <x:v>Codex</x:v>
      </x:c>
      <x:c r="F15" s="83" t="str">
        <x:v>Pass</x:v>
      </x:c>
      <x:c r="G15" s="83" t="str">
        <x:v>../Codex_audit_06_tracker.md</x:v>
      </x:c>
      <x:c r="H15" s="83"/>
      <x:c r="I15" s="73" t="str">
        <x:v>All Teams -&gt; Pegasus updates Team Capacity scope and no duplicate local Project/Team filter appears.</x:v>
      </x:c>
    </x:row>
    <x:row r="16">
      <x:c r="A16" s="86" t="n">
        <x:v>46240</x:v>
      </x:c>
      <x:c r="B16" s="83" t="str">
        <x:v>P6-COM-004</x:v>
      </x:c>
      <x:c r="C16" s="83" t="str">
        <x:v>rally-dev.qnsc.vn</x:v>
      </x:c>
      <x:c r="D16" s="83" t="str">
        <x:v>QNSC / TEST / Pegasus</x:v>
      </x:c>
      <x:c r="E16" s="83" t="str">
        <x:v>Codex</x:v>
      </x:c>
      <x:c r="F16" s="83" t="str">
        <x:v>Blocked</x:v>
      </x:c>
      <x:c r="G16" s="83" t="str">
        <x:v>../Codex_audit_06_tracker.md</x:v>
      </x:c>
      <x:c r="H16" s="83"/>
      <x:c r="I16" s="73" t="str">
        <x:v>Only a Workspace Admin session is available; RBAC roles cannot be compared.</x:v>
      </x:c>
    </x:row>
    <x:row r="17">
      <x:c r="A17" s="86" t="n">
        <x:v>46240</x:v>
      </x:c>
      <x:c r="B17" s="83" t="str">
        <x:v>P6-COM-005</x:v>
      </x:c>
      <x:c r="C17" s="83" t="str">
        <x:v>rally-dev.qnsc.vn</x:v>
      </x:c>
      <x:c r="D17" s="83" t="str">
        <x:v>QNSC / TEST / Pegasus</x:v>
      </x:c>
      <x:c r="E17" s="83" t="str">
        <x:v>Codex</x:v>
      </x:c>
      <x:c r="F17" s="83" t="str">
        <x:v>Partial</x:v>
      </x:c>
      <x:c r="G17" s="83" t="str">
        <x:v>../Codex_audit_06_tracker.md</x:v>
      </x:c>
      <x:c r="H17" s="83"/>
      <x:c r="I17" s="73" t="str">
        <x:v>Explicit empty states were confirmed in Reports and Release Tracking; a second empty Project is unavailable.</x:v>
      </x:c>
    </x:row>
    <x:row r="18">
      <x:c r="A18" s="86" t="n">
        <x:v>46240</x:v>
      </x:c>
      <x:c r="B18" s="83" t="str">
        <x:v>P6-COM-006</x:v>
      </x:c>
      <x:c r="C18" s="83" t="str">
        <x:v>rally-dev.qnsc.vn</x:v>
      </x:c>
      <x:c r="D18" s="83" t="str">
        <x:v>QNSC / TEST / Pegasus</x:v>
      </x:c>
      <x:c r="E18" s="83" t="str">
        <x:v>Codex</x:v>
      </x:c>
      <x:c r="F18" s="83" t="str">
        <x:v>Fail</x:v>
      </x:c>
      <x:c r="G18" s="83" t="str">
        <x:v>../Codex_audit_06_tracker.md</x:v>
      </x:c>
      <x:c r="H18" s="83" t="str">
        <x:v>P6-GAP-002</x:v>
      </x:c>
      <x:c r="I18" s="73" t="str">
        <x:v>Reports and Release Tracking reset the selected view/filter after reload.</x:v>
      </x:c>
    </x:row>
    <x:row r="19">
      <x:c r="A19" s="86" t="n">
        <x:v>46240</x:v>
      </x:c>
      <x:c r="B19" s="83" t="str">
        <x:v>P6-RT-001</x:v>
      </x:c>
      <x:c r="C19" s="83" t="str">
        <x:v>rally-dev.qnsc.vn</x:v>
      </x:c>
      <x:c r="D19" s="83" t="str">
        <x:v>QNSC / TEST / Pegasus</x:v>
      </x:c>
      <x:c r="E19" s="83" t="str">
        <x:v>Codex</x:v>
      </x:c>
      <x:c r="F19" s="83" t="str">
        <x:v>Pass</x:v>
      </x:c>
      <x:c r="G19" s="83" t="str">
        <x:v>../Codex_audit_06_tracker.md</x:v>
      </x:c>
      <x:c r="H19" s="83"/>
      <x:c r="I19" s="73" t="str">
        <x:v>RE-1 shows disjoint counts Direct 1, Derived 1 and Unparented 1.</x:v>
      </x:c>
    </x:row>
    <x:row r="20">
      <x:c r="A20" s="86" t="n">
        <x:v>46240</x:v>
      </x:c>
      <x:c r="B20" s="83" t="str">
        <x:v>P6-RT-002</x:v>
      </x:c>
      <x:c r="C20" s="83" t="str">
        <x:v>rally-dev.qnsc.vn</x:v>
      </x:c>
      <x:c r="D20" s="83" t="str">
        <x:v>QNSC / TEST / Pegasus</x:v>
      </x:c>
      <x:c r="E20" s="83" t="str">
        <x:v>Codex</x:v>
      </x:c>
      <x:c r="F20" s="83" t="str">
        <x:v>Pass</x:v>
      </x:c>
      <x:c r="G20" s="83" t="str">
        <x:v>../Codex_audit_06_tracker.md</x:v>
      </x:c>
      <x:c r="H20" s="83"/>
      <x:c r="I20" s="73" t="str">
        <x:v>Each selector shows only its own bucket and rank restarts at 1.</x:v>
      </x:c>
    </x:row>
    <x:row r="21">
      <x:c r="A21" s="86" t="n">
        <x:v>46240</x:v>
      </x:c>
      <x:c r="B21" s="83" t="str">
        <x:v>P6-RT-003</x:v>
      </x:c>
      <x:c r="C21" s="83" t="str">
        <x:v>rally-dev.qnsc.vn</x:v>
      </x:c>
      <x:c r="D21" s="83" t="str">
        <x:v>QNSC / TEST / Pegasus</x:v>
      </x:c>
      <x:c r="E21" s="83" t="str">
        <x:v>Codex</x:v>
      </x:c>
      <x:c r="F21" s="83" t="str">
        <x:v>Partial</x:v>
      </x:c>
      <x:c r="G21" s="83" t="str">
        <x:v>../Codex_audit_06_tracker.md</x:v>
      </x:c>
      <x:c r="H21" s="83"/>
      <x:c r="I21" s="73" t="str">
        <x:v>Rank, ID and Team sort states changed correctly; column resizing was not executed.</x:v>
      </x:c>
    </x:row>
    <x:row r="22">
      <x:c r="A22" s="86" t="n">
        <x:v>46240</x:v>
      </x:c>
      <x:c r="B22" s="83" t="str">
        <x:v>P6-RT-004</x:v>
      </x:c>
      <x:c r="C22" s="83" t="str">
        <x:v>rally-dev.qnsc.vn</x:v>
      </x:c>
      <x:c r="D22" s="83" t="str">
        <x:v>QNSC / TEST / Pegasus</x:v>
      </x:c>
      <x:c r="E22" s="83" t="str">
        <x:v>Codex</x:v>
      </x:c>
      <x:c r="F22" s="83" t="str">
        <x:v>Pass</x:v>
      </x:c>
      <x:c r="G22" s="83" t="str">
        <x:v>../Codex_audit_06_tracker.md</x:v>
      </x:c>
      <x:c r="H22" s="83"/>
      <x:c r="I22" s="73" t="str">
        <x:v>Points -&gt; Count changes units while bucket membership remains 1/1/1.</x:v>
      </x:c>
    </x:row>
    <x:row r="23">
      <x:c r="A23" s="86" t="n">
        <x:v>46240</x:v>
      </x:c>
      <x:c r="B23" s="83" t="str">
        <x:v>P6-RT-005</x:v>
      </x:c>
      <x:c r="C23" s="83" t="str">
        <x:v>rally-dev.qnsc.vn</x:v>
      </x:c>
      <x:c r="D23" s="83" t="str">
        <x:v>QNSC / TEST / Pegasus</x:v>
      </x:c>
      <x:c r="E23" s="83" t="str">
        <x:v>Codex</x:v>
      </x:c>
      <x:c r="F23" s="83" t="str">
        <x:v>Pass</x:v>
      </x:c>
      <x:c r="G23" s="83" t="str">
        <x:v>../Codex_audit_06_tracker.md</x:v>
      </x:c>
      <x:c r="H23" s="83"/>
      <x:c r="I23" s="73" t="str">
        <x:v>Direct FE-2 uses its direct child even when that child has no Release; current status is 0/3 accepted.</x:v>
      </x:c>
    </x:row>
    <x:row r="24">
      <x:c r="A24" s="86" t="n">
        <x:v>46240</x:v>
      </x:c>
      <x:c r="B24" s="83" t="str">
        <x:v>P6-RT-006</x:v>
      </x:c>
      <x:c r="C24" s="83" t="str">
        <x:v>rally-dev.qnsc.vn</x:v>
      </x:c>
      <x:c r="D24" s="83" t="str">
        <x:v>QNSC / TEST / Pegasus</x:v>
      </x:c>
      <x:c r="E24" s="83" t="str">
        <x:v>Codex</x:v>
      </x:c>
      <x:c r="F24" s="83" t="str">
        <x:v>Pass</x:v>
      </x:c>
      <x:c r="G24" s="83" t="str">
        <x:v>../Codex_audit_06_tracker.md</x:v>
      </x:c>
      <x:c r="H24" s="83"/>
      <x:c r="I24" s="73" t="str">
        <x:v>Derived FE-3 shows 3/3 points accepted without a percentage.</x:v>
      </x:c>
    </x:row>
    <x:row r="25">
      <x:c r="A25" s="86" t="n">
        <x:v>46240</x:v>
      </x:c>
      <x:c r="B25" s="83" t="str">
        <x:v>P6-RT-007</x:v>
      </x:c>
      <x:c r="C25" s="83" t="str">
        <x:v>rally-dev.qnsc.vn</x:v>
      </x:c>
      <x:c r="D25" s="83" t="str">
        <x:v>QNSC / TEST / Pegasus</x:v>
      </x:c>
      <x:c r="E25" s="83" t="str">
        <x:v>Codex</x:v>
      </x:c>
      <x:c r="F25" s="83" t="str">
        <x:v>Partial</x:v>
      </x:c>
      <x:c r="G25" s="83" t="str">
        <x:v>../Codex_audit_06_tracker.md</x:v>
      </x:c>
      <x:c r="H25" s="83"/>
      <x:c r="I25" s="73" t="str">
        <x:v>Completed is excluded and Accepted is included; Release-state branch lacks controlled data.</x:v>
      </x:c>
    </x:row>
    <x:row r="26">
      <x:c r="A26" s="86" t="n">
        <x:v>46240</x:v>
      </x:c>
      <x:c r="B26" s="83" t="str">
        <x:v>P6-RT-008</x:v>
      </x:c>
      <x:c r="C26" s="83" t="str">
        <x:v>rally-dev.qnsc.vn</x:v>
      </x:c>
      <x:c r="D26" s="83" t="str">
        <x:v>QNSC / TEST / Pegasus</x:v>
      </x:c>
      <x:c r="E26" s="83" t="str">
        <x:v>Codex</x:v>
      </x:c>
      <x:c r="F26" s="83" t="str">
        <x:v>Pass</x:v>
      </x:c>
      <x:c r="G26" s="83" t="str">
        <x:v>../Codex_audit_06_tracker.md</x:v>
      </x:c>
      <x:c r="H26" s="83"/>
      <x:c r="I26" s="73" t="str">
        <x:v>Controlled totals match UI: Planned 6 points, Accepted 3 points, Preliminary 0.</x:v>
      </x:c>
    </x:row>
    <x:row r="27">
      <x:c r="A27" s="86" t="n">
        <x:v>46240</x:v>
      </x:c>
      <x:c r="B27" s="83" t="str">
        <x:v>P6-RT-009</x:v>
      </x:c>
      <x:c r="C27" s="83" t="str">
        <x:v>rally-dev.qnsc.vn</x:v>
      </x:c>
      <x:c r="D27" s="83" t="str">
        <x:v>QNSC / TEST / Pegasus</x:v>
      </x:c>
      <x:c r="E27" s="83" t="str">
        <x:v>Codex</x:v>
      </x:c>
      <x:c r="F27" s="83" t="str">
        <x:v>Pass</x:v>
      </x:c>
      <x:c r="G27" s="83" t="str">
        <x:v>../Codex_audit_06_tracker.md</x:v>
      </x:c>
      <x:c r="H27" s="83"/>
      <x:c r="I27" s="73" t="str">
        <x:v>Missing history is shown explicitly with the correct Release title and date range.</x:v>
      </x:c>
    </x:row>
    <x:row r="28">
      <x:c r="A28" s="86" t="n">
        <x:v>46240</x:v>
      </x:c>
      <x:c r="B28" s="83" t="str">
        <x:v>P6-RT-010</x:v>
      </x:c>
      <x:c r="C28" s="83" t="str">
        <x:v>rally-dev.qnsc.vn</x:v>
      </x:c>
      <x:c r="D28" s="83" t="str">
        <x:v>QNSC / TEST / Pegasus</x:v>
      </x:c>
      <x:c r="E28" s="83" t="str">
        <x:v>Codex</x:v>
      </x:c>
      <x:c r="F28" s="83" t="str">
        <x:v>Not Run</x:v>
      </x:c>
      <x:c r="G28" s="83" t="str">
        <x:v>../Codex_audit_06_tracker.md</x:v>
      </x:c>
      <x:c r="H28" s="83"/>
      <x:c r="I28" s="73" t="str">
        <x:v>A second Release/non-null mismatch data set is unavailable.</x:v>
      </x:c>
    </x:row>
    <x:row r="29">
      <x:c r="A29" s="86" t="n">
        <x:v>46240</x:v>
      </x:c>
      <x:c r="B29" s="83" t="str">
        <x:v>P6-RT-011</x:v>
      </x:c>
      <x:c r="C29" s="83" t="str">
        <x:v>rally-dev.qnsc.vn</x:v>
      </x:c>
      <x:c r="D29" s="83" t="str">
        <x:v>QNSC / TEST / Pegasus</x:v>
      </x:c>
      <x:c r="E29" s="83" t="str">
        <x:v>Codex</x:v>
      </x:c>
      <x:c r="F29" s="83" t="str">
        <x:v>Not Run</x:v>
      </x:c>
      <x:c r="G29" s="83" t="str">
        <x:v>../Codex_audit_06_tracker.md</x:v>
      </x:c>
      <x:c r="H29" s="83"/>
      <x:c r="I29" s="73" t="str">
        <x:v>No qualifying mismatch exists, so the Issues panel cannot be opened.</x:v>
      </x:c>
    </x:row>
    <x:row r="30">
      <x:c r="A30" s="86" t="n">
        <x:v>46240</x:v>
      </x:c>
      <x:c r="B30" s="83" t="str">
        <x:v>P6-RT-012</x:v>
      </x:c>
      <x:c r="C30" s="83" t="str">
        <x:v>rally-dev.qnsc.vn</x:v>
      </x:c>
      <x:c r="D30" s="83" t="str">
        <x:v>QNSC / TEST / Pegasus</x:v>
      </x:c>
      <x:c r="E30" s="83" t="str">
        <x:v>Codex</x:v>
      </x:c>
      <x:c r="F30" s="83" t="str">
        <x:v>Pass</x:v>
      </x:c>
      <x:c r="G30" s="83" t="str">
        <x:v>../Codex_audit_06_tracker.md</x:v>
      </x:c>
      <x:c r="H30" s="83"/>
      <x:c r="I30" s="73" t="str">
        <x:v>Chart is active, Breakdown is absent and Dependencies is clearly marked Future.</x:v>
      </x:c>
    </x:row>
    <x:row r="31">
      <x:c r="A31" s="86" t="n">
        <x:v>46240</x:v>
      </x:c>
      <x:c r="B31" s="83" t="str">
        <x:v>P6-RT-013</x:v>
      </x:c>
      <x:c r="C31" s="83" t="str">
        <x:v>rally-dev.qnsc.vn</x:v>
      </x:c>
      <x:c r="D31" s="83" t="str">
        <x:v>QNSC / TEST / Pegasus</x:v>
      </x:c>
      <x:c r="E31" s="83" t="str">
        <x:v>Codex</x:v>
      </x:c>
      <x:c r="F31" s="83" t="str">
        <x:v>Pass</x:v>
      </x:c>
      <x:c r="G31" s="83" t="str">
        <x:v>../Codex_audit_06_tracker.md</x:v>
      </x:c>
      <x:c r="H31" s="83"/>
      <x:c r="I31" s="73" t="str">
        <x:v>Search matched US-4 and the row opened the shared Work Item Detail route.</x:v>
      </x:c>
    </x:row>
    <x:row r="32">
      <x:c r="A32" s="86" t="n">
        <x:v>46240</x:v>
      </x:c>
      <x:c r="B32" s="83" t="str">
        <x:v>P6-RT-014</x:v>
      </x:c>
      <x:c r="C32" s="83" t="str">
        <x:v>rally-dev.qnsc.vn</x:v>
      </x:c>
      <x:c r="D32" s="83" t="str">
        <x:v>QNSC / TEST / Pegasus</x:v>
      </x:c>
      <x:c r="E32" s="83" t="str">
        <x:v>Codex</x:v>
      </x:c>
      <x:c r="F32" s="83" t="str">
        <x:v>Partial</x:v>
      </x:c>
      <x:c r="G32" s="83" t="str">
        <x:v>../Codex_audit_06_tracker.md</x:v>
      </x:c>
      <x:c r="H32" s="83"/>
      <x:c r="I32" s="73" t="str">
        <x:v>Valid Release empty-bucket messaging passed; no second Project without Releases is available.</x:v>
      </x:c>
    </x:row>
    <x:row r="33">
      <x:c r="A33" s="86" t="n">
        <x:v>46240</x:v>
      </x:c>
      <x:c r="B33" s="83" t="str">
        <x:v>P6-IB-001</x:v>
      </x:c>
      <x:c r="C33" s="83" t="str">
        <x:v>rally-dev.qnsc.vn</x:v>
      </x:c>
      <x:c r="D33" s="83" t="str">
        <x:v>QNSC / TEST / Pegasus</x:v>
      </x:c>
      <x:c r="E33" s="83" t="str">
        <x:v>Codex</x:v>
      </x:c>
      <x:c r="F33" s="83" t="str">
        <x:v>Pass</x:v>
      </x:c>
      <x:c r="G33" s="83" t="str">
        <x:v>../Codex_audit_06_tracker.md</x:v>
      </x:c>
      <x:c r="H33" s="83"/>
      <x:c r="I33" s="73" t="str">
        <x:v>Pegasus and IT-1 are selectable and the report shows the correct Iteration dates.</x:v>
      </x:c>
    </x:row>
    <x:row r="34">
      <x:c r="A34" s="86" t="n">
        <x:v>46240</x:v>
      </x:c>
      <x:c r="B34" s="83" t="str">
        <x:v>P6-IB-002</x:v>
      </x:c>
      <x:c r="C34" s="83" t="str">
        <x:v>rally-dev.qnsc.vn</x:v>
      </x:c>
      <x:c r="D34" s="83" t="str">
        <x:v>QNSC / TEST / Pegasus</x:v>
      </x:c>
      <x:c r="E34" s="83" t="str">
        <x:v>Codex</x:v>
      </x:c>
      <x:c r="F34" s="83" t="str">
        <x:v>Not Run</x:v>
      </x:c>
      <x:c r="G34" s="83" t="str">
        <x:v>../Codex_audit_06_tracker.md</x:v>
      </x:c>
      <x:c r="H34" s="83"/>
      <x:c r="I34" s="73" t="str">
        <x:v>No daily Task ToDo snapshot history exists.</x:v>
      </x:c>
    </x:row>
    <x:row r="35">
      <x:c r="A35" s="86" t="n">
        <x:v>46240</x:v>
      </x:c>
      <x:c r="B35" s="83" t="str">
        <x:v>P6-IB-003</x:v>
      </x:c>
      <x:c r="C35" s="83" t="str">
        <x:v>rally-dev.qnsc.vn</x:v>
      </x:c>
      <x:c r="D35" s="83" t="str">
        <x:v>QNSC / TEST / Pegasus</x:v>
      </x:c>
      <x:c r="E35" s="83" t="str">
        <x:v>Codex</x:v>
      </x:c>
      <x:c r="F35" s="83" t="str">
        <x:v>Not Run</x:v>
      </x:c>
      <x:c r="G35" s="83" t="str">
        <x:v>../Codex_audit_06_tracker.md</x:v>
      </x:c>
      <x:c r="H35" s="83"/>
      <x:c r="I35" s="73" t="str">
        <x:v>No historical accepted-date snapshot data exists.</x:v>
      </x:c>
    </x:row>
    <x:row r="36">
      <x:c r="A36" s="86" t="n">
        <x:v>46240</x:v>
      </x:c>
      <x:c r="B36" s="83" t="str">
        <x:v>P6-IB-004</x:v>
      </x:c>
      <x:c r="C36" s="83" t="str">
        <x:v>rally-dev.qnsc.vn</x:v>
      </x:c>
      <x:c r="D36" s="83" t="str">
        <x:v>QNSC / TEST / Pegasus</x:v>
      </x:c>
      <x:c r="E36" s="83" t="str">
        <x:v>Codex</x:v>
      </x:c>
      <x:c r="F36" s="83" t="str">
        <x:v>Not Run</x:v>
      </x:c>
      <x:c r="G36" s="83" t="str">
        <x:v>../Codex_audit_06_tracker.md</x:v>
      </x:c>
      <x:c r="H36" s="83"/>
      <x:c r="I36" s="73" t="str">
        <x:v>No prior snapshot baseline exists for reopen comparison.</x:v>
      </x:c>
    </x:row>
    <x:row r="37">
      <x:c r="A37" s="86" t="n">
        <x:v>46240</x:v>
      </x:c>
      <x:c r="B37" s="83" t="str">
        <x:v>P6-IB-005</x:v>
      </x:c>
      <x:c r="C37" s="83" t="str">
        <x:v>rally-dev.qnsc.vn</x:v>
      </x:c>
      <x:c r="D37" s="83" t="str">
        <x:v>QNSC / TEST / Pegasus</x:v>
      </x:c>
      <x:c r="E37" s="83" t="str">
        <x:v>Codex</x:v>
      </x:c>
      <x:c r="F37" s="83" t="str">
        <x:v>Not Run</x:v>
      </x:c>
      <x:c r="G37" s="83" t="str">
        <x:v>../Codex_audit_06_tracker.md</x:v>
      </x:c>
      <x:c r="H37" s="83"/>
      <x:c r="I37" s="73" t="str">
        <x:v>No start baseline/history exists for an auditable comparison.</x:v>
      </x:c>
    </x:row>
    <x:row r="38">
      <x:c r="A38" s="86" t="n">
        <x:v>46240</x:v>
      </x:c>
      <x:c r="B38" s="83" t="str">
        <x:v>P6-IB-006</x:v>
      </x:c>
      <x:c r="C38" s="83" t="str">
        <x:v>rally-dev.qnsc.vn</x:v>
      </x:c>
      <x:c r="D38" s="83" t="str">
        <x:v>QNSC / TEST / Pegasus</x:v>
      </x:c>
      <x:c r="E38" s="83" t="str">
        <x:v>Codex</x:v>
      </x:c>
      <x:c r="F38" s="83" t="str">
        <x:v>Not Run</x:v>
      </x:c>
      <x:c r="G38" s="83" t="str">
        <x:v>../Codex_audit_06_tracker.md</x:v>
      </x:c>
      <x:c r="H38" s="83"/>
      <x:c r="I38" s="73" t="str">
        <x:v>No plotted series exists because daily history is empty.</x:v>
      </x:c>
    </x:row>
    <x:row r="39">
      <x:c r="A39" s="86" t="n">
        <x:v>46240</x:v>
      </x:c>
      <x:c r="B39" s="83" t="str">
        <x:v>P6-IB-007</x:v>
      </x:c>
      <x:c r="C39" s="83" t="str">
        <x:v>rally-dev.qnsc.vn</x:v>
      </x:c>
      <x:c r="D39" s="83" t="str">
        <x:v>QNSC / TEST / Pegasus</x:v>
      </x:c>
      <x:c r="E39" s="83" t="str">
        <x:v>Codex</x:v>
      </x:c>
      <x:c r="F39" s="83" t="str">
        <x:v>Not Run</x:v>
      </x:c>
      <x:c r="G39" s="83" t="str">
        <x:v>../Codex_audit_06_tracker.md</x:v>
      </x:c>
      <x:c r="H39" s="83"/>
      <x:c r="I39" s="73" t="str">
        <x:v>Only one usable Team/Iteration data set exists, so aggregation cannot be compared.</x:v>
      </x:c>
    </x:row>
    <x:row r="40">
      <x:c r="A40" s="86" t="n">
        <x:v>46240</x:v>
      </x:c>
      <x:c r="B40" s="83" t="str">
        <x:v>P6-IB-008</x:v>
      </x:c>
      <x:c r="C40" s="83" t="str">
        <x:v>rally-dev.qnsc.vn</x:v>
      </x:c>
      <x:c r="D40" s="83" t="str">
        <x:v>QNSC / TEST / Pegasus</x:v>
      </x:c>
      <x:c r="E40" s="83" t="str">
        <x:v>Codex</x:v>
      </x:c>
      <x:c r="F40" s="83" t="str">
        <x:v>Pass</x:v>
      </x:c>
      <x:c r="G40" s="83" t="str">
        <x:v>../Codex_audit_06_tracker.md</x:v>
      </x:c>
      <x:c r="H40" s="83"/>
      <x:c r="I40" s="73" t="str">
        <x:v>Explicit no-burndown, no daily history and no start-baseline messages are displayed.</x:v>
      </x:c>
    </x:row>
    <x:row r="41">
      <x:c r="A41" s="86" t="n">
        <x:v>46240</x:v>
      </x:c>
      <x:c r="B41" s="83" t="str">
        <x:v>P6-VEL-001</x:v>
      </x:c>
      <x:c r="C41" s="83" t="str">
        <x:v>rally-dev.qnsc.vn</x:v>
      </x:c>
      <x:c r="D41" s="83" t="str">
        <x:v>QNSC / TEST / Pegasus</x:v>
      </x:c>
      <x:c r="E41" s="83" t="str">
        <x:v>Codex</x:v>
      </x:c>
      <x:c r="F41" s="83" t="str">
        <x:v>Not Run</x:v>
      </x:c>
      <x:c r="G41" s="83" t="str">
        <x:v>../Codex_audit_06_tracker.md</x:v>
      </x:c>
      <x:c r="H41" s="83"/>
      <x:c r="I41" s="73" t="str">
        <x:v>No ended Iteration with scheduled work exists.</x:v>
      </x:c>
    </x:row>
    <x:row r="42">
      <x:c r="A42" s="86" t="n">
        <x:v>46240</x:v>
      </x:c>
      <x:c r="B42" s="83" t="str">
        <x:v>P6-VEL-002</x:v>
      </x:c>
      <x:c r="C42" s="83" t="str">
        <x:v>rally-dev.qnsc.vn</x:v>
      </x:c>
      <x:c r="D42" s="83" t="str">
        <x:v>QNSC / TEST / Pegasus</x:v>
      </x:c>
      <x:c r="E42" s="83" t="str">
        <x:v>Codex</x:v>
      </x:c>
      <x:c r="F42" s="83" t="str">
        <x:v>Not Run</x:v>
      </x:c>
      <x:c r="G42" s="83" t="str">
        <x:v>../Codex_audit_06_tracker.md</x:v>
      </x:c>
      <x:c r="H42" s="83"/>
      <x:c r="I42" s="73" t="str">
        <x:v>Required historical acceptance data is unavailable.</x:v>
      </x:c>
    </x:row>
    <x:row r="43">
      <x:c r="A43" s="86" t="n">
        <x:v>46240</x:v>
      </x:c>
      <x:c r="B43" s="83" t="str">
        <x:v>P6-VEL-003</x:v>
      </x:c>
      <x:c r="C43" s="83" t="str">
        <x:v>rally-dev.qnsc.vn</x:v>
      </x:c>
      <x:c r="D43" s="83" t="str">
        <x:v>QNSC / TEST / Pegasus</x:v>
      </x:c>
      <x:c r="E43" s="83" t="str">
        <x:v>Codex</x:v>
      </x:c>
      <x:c r="F43" s="83" t="str">
        <x:v>Not Run</x:v>
      </x:c>
      <x:c r="G43" s="83" t="str">
        <x:v>../Codex_audit_06_tracker.md</x:v>
      </x:c>
      <x:c r="H43" s="83"/>
      <x:c r="I43" s="73" t="str">
        <x:v>No eligible completed Iteration exists for state comparison.</x:v>
      </x:c>
    </x:row>
    <x:row r="44">
      <x:c r="A44" s="86" t="n">
        <x:v>46240</x:v>
      </x:c>
      <x:c r="B44" s="83" t="str">
        <x:v>P6-VEL-004</x:v>
      </x:c>
      <x:c r="C44" s="83" t="str">
        <x:v>rally-dev.qnsc.vn</x:v>
      </x:c>
      <x:c r="D44" s="83" t="str">
        <x:v>QNSC / TEST / Pegasus</x:v>
      </x:c>
      <x:c r="E44" s="83" t="str">
        <x:v>Codex</x:v>
      </x:c>
      <x:c r="F44" s="83" t="str">
        <x:v>Not Run</x:v>
      </x:c>
      <x:c r="G44" s="83" t="str">
        <x:v>../Codex_audit_06_tracker.md</x:v>
      </x:c>
      <x:c r="H44" s="83"/>
      <x:c r="I44" s="73" t="str">
        <x:v>No controlled completed Iteration exists.</x:v>
      </x:c>
    </x:row>
    <x:row r="45">
      <x:c r="A45" s="86" t="n">
        <x:v>46240</x:v>
      </x:c>
      <x:c r="B45" s="83" t="str">
        <x:v>P6-VEL-005</x:v>
      </x:c>
      <x:c r="C45" s="83" t="str">
        <x:v>rally-dev.qnsc.vn</x:v>
      </x:c>
      <x:c r="D45" s="83" t="str">
        <x:v>QNSC / TEST / Pegasus</x:v>
      </x:c>
      <x:c r="E45" s="83" t="str">
        <x:v>Codex</x:v>
      </x:c>
      <x:c r="F45" s="83" t="str">
        <x:v>Not Run</x:v>
      </x:c>
      <x:c r="G45" s="83" t="str">
        <x:v>../Codex_audit_06_tracker.md</x:v>
      </x:c>
      <x:c r="H45" s="83"/>
      <x:c r="I45" s="73" t="str">
        <x:v>No historical accepted-date data exists.</x:v>
      </x:c>
    </x:row>
    <x:row r="46">
      <x:c r="A46" s="86" t="n">
        <x:v>46240</x:v>
      </x:c>
      <x:c r="B46" s="83" t="str">
        <x:v>P6-VEL-006</x:v>
      </x:c>
      <x:c r="C46" s="83" t="str">
        <x:v>rally-dev.qnsc.vn</x:v>
      </x:c>
      <x:c r="D46" s="83" t="str">
        <x:v>QNSC / TEST / Pegasus</x:v>
      </x:c>
      <x:c r="E46" s="83" t="str">
        <x:v>Codex</x:v>
      </x:c>
      <x:c r="F46" s="83" t="str">
        <x:v>Fail</x:v>
      </x:c>
      <x:c r="G46" s="83" t="str">
        <x:v>../Codex_audit_06_tracker.md</x:v>
      </x:c>
      <x:c r="H46" s="83" t="str">
        <x:v>P6-GAP-003</x:v>
      </x:c>
      <x:c r="I46" s="73" t="str">
        <x:v>Control works, but default is Last 10 instead of the required Last 5.</x:v>
      </x:c>
    </x:row>
    <x:row r="47">
      <x:c r="A47" s="86" t="n">
        <x:v>46240</x:v>
      </x:c>
      <x:c r="B47" s="83" t="str">
        <x:v>P6-VEL-007</x:v>
      </x:c>
      <x:c r="C47" s="83" t="str">
        <x:v>rally-dev.qnsc.vn</x:v>
      </x:c>
      <x:c r="D47" s="83" t="str">
        <x:v>QNSC / TEST / Pegasus</x:v>
      </x:c>
      <x:c r="E47" s="83" t="str">
        <x:v>Codex</x:v>
      </x:c>
      <x:c r="F47" s="83" t="str">
        <x:v>Not Run</x:v>
      </x:c>
      <x:c r="G47" s="83" t="str">
        <x:v>../Codex_audit_06_tracker.md</x:v>
      </x:c>
      <x:c r="H47" s="83"/>
      <x:c r="I47" s="73" t="str">
        <x:v>No eligible Iteration exists.</x:v>
      </x:c>
    </x:row>
    <x:row r="48">
      <x:c r="A48" s="86" t="n">
        <x:v>46240</x:v>
      </x:c>
      <x:c r="B48" s="83" t="str">
        <x:v>P6-VEL-008</x:v>
      </x:c>
      <x:c r="C48" s="83" t="str">
        <x:v>rally-dev.qnsc.vn</x:v>
      </x:c>
      <x:c r="D48" s="83" t="str">
        <x:v>QNSC / TEST / Pegasus</x:v>
      </x:c>
      <x:c r="E48" s="83" t="str">
        <x:v>Codex</x:v>
      </x:c>
      <x:c r="F48" s="83" t="str">
        <x:v>Not Run</x:v>
      </x:c>
      <x:c r="G48" s="83" t="str">
        <x:v>../Codex_audit_06_tracker.md</x:v>
      </x:c>
      <x:c r="H48" s="83"/>
      <x:c r="I48" s="73" t="str">
        <x:v>Required malformed historical test record is unavailable.</x:v>
      </x:c>
    </x:row>
    <x:row r="49">
      <x:c r="A49" s="86" t="n">
        <x:v>46240</x:v>
      </x:c>
      <x:c r="B49" s="83" t="str">
        <x:v>P6-VEL-009</x:v>
      </x:c>
      <x:c r="C49" s="83" t="str">
        <x:v>rally-dev.qnsc.vn</x:v>
      </x:c>
      <x:c r="D49" s="83" t="str">
        <x:v>QNSC / TEST / Pegasus</x:v>
      </x:c>
      <x:c r="E49" s="83" t="str">
        <x:v>Codex</x:v>
      </x:c>
      <x:c r="F49" s="83" t="str">
        <x:v>Not Run</x:v>
      </x:c>
      <x:c r="G49" s="83" t="str">
        <x:v>../Codex_audit_06_tracker.md</x:v>
      </x:c>
      <x:c r="H49" s="83"/>
      <x:c r="I49" s="73" t="str">
        <x:v>There is no eligible velocity data to compare Team aggregation.</x:v>
      </x:c>
    </x:row>
    <x:row r="50">
      <x:c r="A50" s="86" t="n">
        <x:v>46240</x:v>
      </x:c>
      <x:c r="B50" s="83" t="str">
        <x:v>P6-VEL-010</x:v>
      </x:c>
      <x:c r="C50" s="83" t="str">
        <x:v>rally-dev.qnsc.vn</x:v>
      </x:c>
      <x:c r="D50" s="83" t="str">
        <x:v>QNSC / TEST / Pegasus</x:v>
      </x:c>
      <x:c r="E50" s="83" t="str">
        <x:v>Codex</x:v>
      </x:c>
      <x:c r="F50" s="83" t="str">
        <x:v>Pass</x:v>
      </x:c>
      <x:c r="G50" s="83" t="str">
        <x:v>../Codex_audit_06_tracker.md</x:v>
      </x:c>
      <x:c r="H50" s="83"/>
      <x:c r="I50" s="73" t="str">
        <x:v>Explicit No completed iterations state replaces the previous endless Loading state.</x:v>
      </x:c>
    </x:row>
    <x:row r="51">
      <x:c r="A51" s="86" t="n">
        <x:v>46240</x:v>
      </x:c>
      <x:c r="B51" s="83" t="str">
        <x:v>P6-TC-001</x:v>
      </x:c>
      <x:c r="C51" s="83" t="str">
        <x:v>rally-dev.qnsc.vn</x:v>
      </x:c>
      <x:c r="D51" s="83" t="str">
        <x:v>QNSC / TEST / Pegasus</x:v>
      </x:c>
      <x:c r="E51" s="83" t="str">
        <x:v>Codex</x:v>
      </x:c>
      <x:c r="F51" s="83" t="str">
        <x:v>Pass</x:v>
      </x:c>
      <x:c r="G51" s="83" t="str">
        <x:v>../Codex_audit_06_tracker.md</x:v>
      </x:c>
      <x:c r="H51" s="83"/>
      <x:c r="I51" s="73" t="str">
        <x:v>Pegasus and IT-1 load successfully with the correct reporting scope.</x:v>
      </x:c>
    </x:row>
    <x:row r="52">
      <x:c r="A52" s="86" t="n">
        <x:v>46240</x:v>
      </x:c>
      <x:c r="B52" s="83" t="str">
        <x:v>P6-TC-002</x:v>
      </x:c>
      <x:c r="C52" s="83" t="str">
        <x:v>rally-dev.qnsc.vn</x:v>
      </x:c>
      <x:c r="D52" s="83" t="str">
        <x:v>QNSC / TEST / Pegasus</x:v>
      </x:c>
      <x:c r="E52" s="83" t="str">
        <x:v>Codex</x:v>
      </x:c>
      <x:c r="F52" s="83" t="str">
        <x:v>Pass</x:v>
      </x:c>
      <x:c r="G52" s="83" t="str">
        <x:v>../Codex_audit_06_tracker.md</x:v>
      </x:c>
      <x:c r="H52" s="83"/>
      <x:c r="I52" s="73" t="str">
        <x:v>All Teams view loads and can switch back to Pegasus.</x:v>
      </x:c>
    </x:row>
    <x:row r="53">
      <x:c r="A53" s="86" t="n">
        <x:v>46240</x:v>
      </x:c>
      <x:c r="B53" s="83" t="str">
        <x:v>P6-TC-003</x:v>
      </x:c>
      <x:c r="C53" s="83" t="str">
        <x:v>rally-dev.qnsc.vn</x:v>
      </x:c>
      <x:c r="D53" s="83" t="str">
        <x:v>QNSC / TEST / Pegasus</x:v>
      </x:c>
      <x:c r="E53" s="83" t="str">
        <x:v>Codex</x:v>
      </x:c>
      <x:c r="F53" s="83" t="str">
        <x:v>Pass</x:v>
      </x:c>
      <x:c r="G53" s="83" t="str">
        <x:v>../Codex_audit_06_tracker.md</x:v>
      </x:c>
      <x:c r="H53" s="83"/>
      <x:c r="I53" s="73" t="str">
        <x:v>Cards show Capacity 60h, Estimate 4h, ToDo 0h and Actual 0h.</x:v>
      </x:c>
    </x:row>
    <x:row r="54">
      <x:c r="A54" s="86" t="n">
        <x:v>46240</x:v>
      </x:c>
      <x:c r="B54" s="83" t="str">
        <x:v>P6-TC-004</x:v>
      </x:c>
      <x:c r="C54" s="83" t="str">
        <x:v>rally-dev.qnsc.vn</x:v>
      </x:c>
      <x:c r="D54" s="83" t="str">
        <x:v>QNSC / TEST / Pegasus</x:v>
      </x:c>
      <x:c r="E54" s="83" t="str">
        <x:v>Codex</x:v>
      </x:c>
      <x:c r="F54" s="83" t="str">
        <x:v>Pass</x:v>
      </x:c>
      <x:c r="G54" s="83" t="str">
        <x:v>../Codex_audit_06_tracker.md</x:v>
      </x:c>
      <x:c r="H54" s="83"/>
      <x:c r="I54" s="73" t="str">
        <x:v>Member rows reconcile to the Team totals for the available data.</x:v>
      </x:c>
    </x:row>
    <x:row r="55">
      <x:c r="A55" s="86" t="n">
        <x:v>46240</x:v>
      </x:c>
      <x:c r="B55" s="83" t="str">
        <x:v>P6-TC-005</x:v>
      </x:c>
      <x:c r="C55" s="83" t="str">
        <x:v>rally-dev.qnsc.vn</x:v>
      </x:c>
      <x:c r="D55" s="83" t="str">
        <x:v>QNSC / TEST / Pegasus</x:v>
      </x:c>
      <x:c r="E55" s="83" t="str">
        <x:v>Codex</x:v>
      </x:c>
      <x:c r="F55" s="83" t="str">
        <x:v>Pass</x:v>
      </x:c>
      <x:c r="G55" s="83" t="str">
        <x:v>../Codex_audit_06_tracker.md</x:v>
      </x:c>
      <x:c r="H55" s="83"/>
      <x:c r="I55" s="73" t="str">
        <x:v>Anh shows Capacity 60h with Estimate/ToDo/Actual all 0h.</x:v>
      </x:c>
    </x:row>
    <x:row r="56">
      <x:c r="A56" s="86" t="n">
        <x:v>46240</x:v>
      </x:c>
      <x:c r="B56" s="83" t="str">
        <x:v>P6-TC-006</x:v>
      </x:c>
      <x:c r="C56" s="83" t="str">
        <x:v>rally-dev.qnsc.vn</x:v>
      </x:c>
      <x:c r="D56" s="83" t="str">
        <x:v>QNSC / TEST / Pegasus</x:v>
      </x:c>
      <x:c r="E56" s="83" t="str">
        <x:v>Codex</x:v>
      </x:c>
      <x:c r="F56" s="83" t="str">
        <x:v>Pass</x:v>
      </x:c>
      <x:c r="G56" s="83" t="str">
        <x:v>../Codex_audit_06_tracker.md</x:v>
      </x:c>
      <x:c r="H56" s="83"/>
      <x:c r="I56" s="73" t="str">
        <x:v>Hieu shows Capacity 0h and Estimate 4h without dropping the Task total.</x:v>
      </x:c>
    </x:row>
    <x:row r="57">
      <x:c r="A57" s="86" t="n">
        <x:v>46240</x:v>
      </x:c>
      <x:c r="B57" s="83" t="str">
        <x:v>P6-TC-007</x:v>
      </x:c>
      <x:c r="C57" s="83" t="str">
        <x:v>rally-dev.qnsc.vn</x:v>
      </x:c>
      <x:c r="D57" s="83" t="str">
        <x:v>QNSC / TEST / Pegasus</x:v>
      </x:c>
      <x:c r="E57" s="83" t="str">
        <x:v>Codex</x:v>
      </x:c>
      <x:c r="F57" s="83" t="str">
        <x:v>Not Run</x:v>
      </x:c>
      <x:c r="G57" s="83" t="str">
        <x:v>../Codex_audit_06_tracker.md</x:v>
      </x:c>
      <x:c r="H57" s="83"/>
      <x:c r="I57" s="73" t="str">
        <x:v>No unassigned Task is available.</x:v>
      </x:c>
    </x:row>
    <x:row r="58">
      <x:c r="A58" s="86" t="n">
        <x:v>46240</x:v>
      </x:c>
      <x:c r="B58" s="83" t="str">
        <x:v>P6-TC-008</x:v>
      </x:c>
      <x:c r="C58" s="83" t="str">
        <x:v>rally-dev.qnsc.vn</x:v>
      </x:c>
      <x:c r="D58" s="83" t="str">
        <x:v>QNSC / TEST / Pegasus</x:v>
      </x:c>
      <x:c r="E58" s="83" t="str">
        <x:v>Codex</x:v>
      </x:c>
      <x:c r="F58" s="83" t="str">
        <x:v>Not Run</x:v>
      </x:c>
      <x:c r="G58" s="83" t="str">
        <x:v>../Codex_audit_06_tracker.md</x:v>
      </x:c>
      <x:c r="H58" s="83"/>
      <x:c r="I58" s="73" t="str">
        <x:v>The required controlled Task values are unavailable.</x:v>
      </x:c>
    </x:row>
    <x:row r="59">
      <x:c r="A59" s="86" t="n">
        <x:v>46240</x:v>
      </x:c>
      <x:c r="B59" s="83" t="str">
        <x:v>P6-TC-009</x:v>
      </x:c>
      <x:c r="C59" s="83" t="str">
        <x:v>rally-dev.qnsc.vn</x:v>
      </x:c>
      <x:c r="D59" s="83" t="str">
        <x:v>QNSC / TEST / Pegasus</x:v>
      </x:c>
      <x:c r="E59" s="83" t="str">
        <x:v>Codex</x:v>
      </x:c>
      <x:c r="F59" s="83" t="str">
        <x:v>Not Run</x:v>
      </x:c>
      <x:c r="G59" s="83" t="str">
        <x:v>../Codex_audit_06_tracker.md</x:v>
      </x:c>
      <x:c r="H59" s="83"/>
      <x:c r="I59" s="73" t="str">
        <x:v>Only one usable Iteration exists.</x:v>
      </x:c>
    </x:row>
    <x:row r="60">
      <x:c r="A60" s="86" t="n">
        <x:v>46240</x:v>
      </x:c>
      <x:c r="B60" s="83" t="str">
        <x:v>P6-TC-010</x:v>
      </x:c>
      <x:c r="C60" s="83" t="str">
        <x:v>rally-dev.qnsc.vn</x:v>
      </x:c>
      <x:c r="D60" s="83" t="str">
        <x:v>QNSC / TEST / Pegasus</x:v>
      </x:c>
      <x:c r="E60" s="83" t="str">
        <x:v>Codex</x:v>
      </x:c>
      <x:c r="F60" s="83" t="str">
        <x:v>Pass</x:v>
      </x:c>
      <x:c r="G60" s="83" t="str">
        <x:v>../Codex_audit_06_tracker.md</x:v>
      </x:c>
      <x:c r="H60" s="83"/>
      <x:c r="I60" s="73" t="str">
        <x:v>Show Fields, sortable columns, utilization/progress visuals and report cards are present; no editor is exposed.</x:v>
      </x:c>
    </x:row>
    <x:row r="61">
      <x:c r="A61" s="86" t="n">
        <x:v>46240</x:v>
      </x:c>
      <x:c r="B61" s="83" t="str">
        <x:v>P6-TC-011</x:v>
      </x:c>
      <x:c r="C61" s="83" t="str">
        <x:v>rally-dev.qnsc.vn</x:v>
      </x:c>
      <x:c r="D61" s="83" t="str">
        <x:v>QNSC / TEST / Pegasus</x:v>
      </x:c>
      <x:c r="E61" s="83" t="str">
        <x:v>Codex</x:v>
      </x:c>
      <x:c r="F61" s="83" t="str">
        <x:v>Not Run</x:v>
      </x:c>
      <x:c r="G61" s="83" t="str">
        <x:v>../Codex_audit_06_tracker.md</x:v>
      </x:c>
      <x:c r="H61" s="83"/>
      <x:c r="I61" s="73" t="str">
        <x:v>No valid zero-capacity/zero-task Team and Iteration branch is available.</x:v>
      </x:c>
    </x:row>
    <x:row r="62">
      <x:c r="A62" s="86" t="n">
        <x:v>46240</x:v>
      </x:c>
      <x:c r="B62" s="83" t="str">
        <x:v>P6-E2E-001</x:v>
      </x:c>
      <x:c r="C62" s="83" t="str">
        <x:v>rally-dev.qnsc.vn</x:v>
      </x:c>
      <x:c r="D62" s="83" t="str">
        <x:v>QNSC / TEST / Pegasus</x:v>
      </x:c>
      <x:c r="E62" s="83" t="str">
        <x:v>Codex</x:v>
      </x:c>
      <x:c r="F62" s="83" t="str">
        <x:v>Fail</x:v>
      </x:c>
      <x:c r="G62" s="83" t="str">
        <x:v>../Codex_audit_06_tracker.md</x:v>
      </x:c>
      <x:c r="H62" s="83" t="str">
        <x:v>P6-GAP-004</x:v>
      </x:c>
      <x:c r="I62" s="73" t="str">
        <x:v>Create with details silently created duplicate/orphan Work Items while leaving the dialog open and showing no confirmation.</x:v>
      </x:c>
    </x:row>
    <x:row r="63">
      <x:c r="A63" s="86" t="n">
        <x:v>46240</x:v>
      </x:c>
      <x:c r="B63" s="83" t="str">
        <x:v>P6-E2E-002</x:v>
      </x:c>
      <x:c r="C63" s="83" t="str">
        <x:v>rally-dev.qnsc.vn</x:v>
      </x:c>
      <x:c r="D63" s="83" t="str">
        <x:v>QNSC / TEST / Pegasus</x:v>
      </x:c>
      <x:c r="E63" s="83" t="str">
        <x:v>Codex</x:v>
      </x:c>
      <x:c r="F63" s="83" t="str">
        <x:v>Fail</x:v>
      </x:c>
      <x:c r="G63" s="83" t="str">
        <x:v>../Codex_audit_06_tracker.md</x:v>
      </x:c>
      <x:c r="H63" s="83" t="str">
        <x:v>P6-GAP-005</x:v>
      </x:c>
      <x:c r="I63" s="73" t="str">
        <x:v>Work Item state update did not persist/mirror reliably; Schedule/Flow returned to Idea after reload and reporting did not count it as accepted.</x:v>
      </x:c>
    </x:row>
    <x:row r="64">
      <x:c r="A64" s="86" t="n">
        <x:v>46240</x:v>
      </x:c>
      <x:c r="B64" s="83" t="str">
        <x:v>P6-E2E-003</x:v>
      </x:c>
      <x:c r="C64" s="83" t="str">
        <x:v>rally-dev.qnsc.vn</x:v>
      </x:c>
      <x:c r="D64" s="83" t="str">
        <x:v>QNSC / TEST / Pegasus</x:v>
      </x:c>
      <x:c r="E64" s="83" t="str">
        <x:v>Codex</x:v>
      </x:c>
      <x:c r="F64" s="83" t="str">
        <x:v>Partial</x:v>
      </x:c>
      <x:c r="G64" s="83" t="str">
        <x:v>../Codex_audit_06_tracker.md</x:v>
      </x:c>
      <x:c r="H64" s="83"/>
      <x:c r="I64" s="73" t="str">
        <x:v>Project/Team scope changed correctly; only one Release and one Iteration prevent cross-context validation.</x:v>
      </x:c>
    </x:row>
    <x:row r="65">
      <x:c r="A65" s="86" t="n">
        <x:v>46240</x:v>
      </x:c>
      <x:c r="B65" s="83" t="str">
        <x:v>P6-E2E-004</x:v>
      </x:c>
      <x:c r="C65" s="83" t="str">
        <x:v>rally-dev.qnsc.vn</x:v>
      </x:c>
      <x:c r="D65" s="83" t="str">
        <x:v>QNSC / TEST / Pegasus</x:v>
      </x:c>
      <x:c r="E65" s="83" t="str">
        <x:v>Codex</x:v>
      </x:c>
      <x:c r="F65" s="83" t="str">
        <x:v>Partial</x:v>
      </x:c>
      <x:c r="G65" s="83" t="str">
        <x:v>../Codex_audit_06_tracker.md</x:v>
      </x:c>
      <x:c r="H65" s="83"/>
      <x:c r="I65" s="73" t="str">
        <x:v>Record data persisted in several flows, but report filters reset on reload; sign-out/in was not repeated.</x:v>
      </x:c>
    </x:row>
    <x:row r="66">
      <x:c r="A66" s="86" t="n">
        <x:v>46240</x:v>
      </x:c>
      <x:c r="B66" s="83" t="str">
        <x:v>GAP-P3-TS-008</x:v>
      </x:c>
      <x:c r="C66" s="83" t="str">
        <x:v>rally-dev.qnsc.vn</x:v>
      </x:c>
      <x:c r="D66" s="83" t="str">
        <x:v>QNSC / TEST / Pegasus</x:v>
      </x:c>
      <x:c r="E66" s="83" t="str">
        <x:v>BA + Codex</x:v>
      </x:c>
      <x:c r="F66" s="83" t="str">
        <x:v>Fail</x:v>
      </x:c>
      <x:c r="G66" s="83" t="str">
        <x:v>../Codex_audit_06_tracker.md</x:v>
      </x:c>
      <x:c r="H66" s="83" t="str">
        <x:v>GAP-P3-TS-008</x:v>
      </x:c>
      <x:c r="I66" s="73" t="str">
        <x:v>Team Status and Work Item Owner selectors used inconsistent/stale Team membership. Removed-member Task treatment remains Pending BA.</x:v>
      </x:c>
    </x:row>
    <x:row r="67">
      <x:c r="A67" s="86"/>
      <x:c r="B67" s="83"/>
      <x:c r="C67" s="83"/>
      <x:c r="D67" s="83"/>
      <x:c r="E67" s="83"/>
      <x:c r="F67" s="83"/>
      <x:c r="G67" s="83"/>
      <x:c r="H67" s="83"/>
      <x:c r="I67" s="73"/>
    </x:row>
    <x:row r="68">
      <x:c r="A68" s="86"/>
      <x:c r="B68" s="83"/>
      <x:c r="C68" s="83"/>
      <x:c r="D68" s="83"/>
      <x:c r="E68" s="83"/>
      <x:c r="F68" s="83"/>
      <x:c r="G68" s="83"/>
      <x:c r="H68" s="83"/>
      <x:c r="I68" s="73"/>
    </x:row>
    <x:row r="69">
      <x:c r="A69" s="86"/>
      <x:c r="B69" s="83"/>
      <x:c r="C69" s="83"/>
      <x:c r="D69" s="83"/>
      <x:c r="E69" s="83"/>
      <x:c r="F69" s="83"/>
      <x:c r="G69" s="83"/>
      <x:c r="H69" s="83"/>
      <x:c r="I69" s="73"/>
    </x:row>
    <x:row r="70">
      <x:c r="A70" s="86"/>
      <x:c r="B70" s="83"/>
      <x:c r="C70" s="83"/>
      <x:c r="D70" s="83"/>
      <x:c r="E70" s="83"/>
      <x:c r="F70" s="83"/>
      <x:c r="G70" s="83"/>
      <x:c r="H70" s="83"/>
      <x:c r="I70" s="73"/>
    </x:row>
    <x:row r="71">
      <x:c r="A71" s="86"/>
      <x:c r="B71" s="83"/>
      <x:c r="C71" s="83"/>
      <x:c r="D71" s="83"/>
      <x:c r="E71" s="83"/>
      <x:c r="F71" s="83"/>
      <x:c r="G71" s="83"/>
      <x:c r="H71" s="83"/>
      <x:c r="I71" s="73"/>
    </x:row>
    <x:row r="72">
      <x:c r="A72" s="86"/>
      <x:c r="B72" s="83"/>
      <x:c r="C72" s="83"/>
      <x:c r="D72" s="83"/>
      <x:c r="E72" s="83"/>
      <x:c r="F72" s="83"/>
      <x:c r="G72" s="83"/>
      <x:c r="H72" s="83"/>
      <x:c r="I72" s="73"/>
    </x:row>
    <x:row r="73">
      <x:c r="A73" s="86"/>
      <x:c r="B73" s="83"/>
      <x:c r="C73" s="83"/>
      <x:c r="D73" s="83"/>
      <x:c r="E73" s="83"/>
      <x:c r="F73" s="83"/>
      <x:c r="G73" s="83"/>
      <x:c r="H73" s="83"/>
      <x:c r="I73" s="73"/>
    </x:row>
    <x:row r="74">
      <x:c r="A74" s="86"/>
      <x:c r="B74" s="83"/>
      <x:c r="C74" s="83"/>
      <x:c r="D74" s="83"/>
      <x:c r="E74" s="83"/>
      <x:c r="F74" s="83"/>
      <x:c r="G74" s="83"/>
      <x:c r="H74" s="83"/>
      <x:c r="I74" s="73"/>
    </x:row>
    <x:row r="75">
      <x:c r="A75" s="86"/>
      <x:c r="B75" s="83"/>
      <x:c r="C75" s="83"/>
      <x:c r="D75" s="83"/>
      <x:c r="E75" s="83"/>
      <x:c r="F75" s="83"/>
      <x:c r="G75" s="83"/>
      <x:c r="H75" s="83"/>
      <x:c r="I75" s="73"/>
    </x:row>
    <x:row r="76">
      <x:c r="A76" s="86"/>
      <x:c r="B76" s="83"/>
      <x:c r="C76" s="83"/>
      <x:c r="D76" s="83"/>
      <x:c r="E76" s="83"/>
      <x:c r="F76" s="83"/>
      <x:c r="G76" s="83"/>
      <x:c r="H76" s="83"/>
      <x:c r="I76" s="73"/>
    </x:row>
    <x:row r="77">
      <x:c r="A77" s="86"/>
      <x:c r="B77" s="83"/>
      <x:c r="C77" s="83"/>
      <x:c r="D77" s="83"/>
      <x:c r="E77" s="83"/>
      <x:c r="F77" s="83"/>
      <x:c r="G77" s="83"/>
      <x:c r="H77" s="83"/>
      <x:c r="I77" s="73"/>
    </x:row>
    <x:row r="78">
      <x:c r="A78" s="86"/>
      <x:c r="B78" s="83"/>
      <x:c r="C78" s="83"/>
      <x:c r="D78" s="83"/>
      <x:c r="E78" s="83"/>
      <x:c r="F78" s="83"/>
      <x:c r="G78" s="83"/>
      <x:c r="H78" s="83"/>
      <x:c r="I78" s="73"/>
    </x:row>
    <x:row r="79">
      <x:c r="A79" s="86"/>
      <x:c r="B79" s="83"/>
      <x:c r="C79" s="83"/>
      <x:c r="D79" s="83"/>
      <x:c r="E79" s="83"/>
      <x:c r="F79" s="83"/>
      <x:c r="G79" s="83"/>
      <x:c r="H79" s="83"/>
      <x:c r="I79" s="73"/>
    </x:row>
    <x:row r="80">
      <x:c r="A80" s="86"/>
      <x:c r="B80" s="83"/>
      <x:c r="C80" s="83"/>
      <x:c r="D80" s="83"/>
      <x:c r="E80" s="83"/>
      <x:c r="F80" s="83"/>
      <x:c r="G80" s="83"/>
      <x:c r="H80" s="83"/>
      <x:c r="I80" s="73"/>
    </x:row>
    <x:row r="81">
      <x:c r="A81" s="86"/>
      <x:c r="B81" s="83"/>
      <x:c r="C81" s="83"/>
      <x:c r="D81" s="83"/>
      <x:c r="E81" s="83"/>
      <x:c r="F81" s="83"/>
      <x:c r="G81" s="83"/>
      <x:c r="H81" s="83"/>
      <x:c r="I81" s="73"/>
    </x:row>
    <x:row r="82">
      <x:c r="A82" s="86"/>
      <x:c r="B82" s="83"/>
      <x:c r="C82" s="83"/>
      <x:c r="D82" s="83"/>
      <x:c r="E82" s="83"/>
      <x:c r="F82" s="83"/>
      <x:c r="G82" s="83"/>
      <x:c r="H82" s="83"/>
      <x:c r="I82" s="73"/>
    </x:row>
    <x:row r="83">
      <x:c r="A83" s="86"/>
      <x:c r="B83" s="83"/>
      <x:c r="C83" s="83"/>
      <x:c r="D83" s="83"/>
      <x:c r="E83" s="83"/>
      <x:c r="F83" s="83"/>
      <x:c r="G83" s="83"/>
      <x:c r="H83" s="83"/>
      <x:c r="I83" s="73"/>
    </x:row>
    <x:row r="84">
      <x:c r="A84" s="86"/>
      <x:c r="B84" s="83"/>
      <x:c r="C84" s="83"/>
      <x:c r="D84" s="83"/>
      <x:c r="E84" s="83"/>
      <x:c r="F84" s="83"/>
      <x:c r="G84" s="83"/>
      <x:c r="H84" s="83"/>
      <x:c r="I84" s="73"/>
    </x:row>
    <x:row r="85">
      <x:c r="A85" s="86"/>
      <x:c r="B85" s="83"/>
      <x:c r="C85" s="83"/>
      <x:c r="D85" s="83"/>
      <x:c r="E85" s="83"/>
      <x:c r="F85" s="83"/>
      <x:c r="G85" s="83"/>
      <x:c r="H85" s="83"/>
      <x:c r="I85" s="73"/>
    </x:row>
    <x:row r="86">
      <x:c r="A86" s="86"/>
      <x:c r="B86" s="83"/>
      <x:c r="C86" s="83"/>
      <x:c r="D86" s="83"/>
      <x:c r="E86" s="83"/>
      <x:c r="F86" s="83"/>
      <x:c r="G86" s="83"/>
      <x:c r="H86" s="83"/>
      <x:c r="I86" s="73"/>
    </x:row>
    <x:row r="87">
      <x:c r="A87" s="86"/>
      <x:c r="B87" s="83"/>
      <x:c r="C87" s="83"/>
      <x:c r="D87" s="83"/>
      <x:c r="E87" s="83"/>
      <x:c r="F87" s="83"/>
      <x:c r="G87" s="83"/>
      <x:c r="H87" s="83"/>
      <x:c r="I87" s="73"/>
    </x:row>
    <x:row r="88">
      <x:c r="A88" s="86"/>
      <x:c r="B88" s="83"/>
      <x:c r="C88" s="83"/>
      <x:c r="D88" s="83"/>
      <x:c r="E88" s="83"/>
      <x:c r="F88" s="83"/>
      <x:c r="G88" s="83"/>
      <x:c r="H88" s="83"/>
      <x:c r="I88" s="73"/>
    </x:row>
    <x:row r="89">
      <x:c r="A89" s="86"/>
      <x:c r="B89" s="83"/>
      <x:c r="C89" s="83"/>
      <x:c r="D89" s="83"/>
      <x:c r="E89" s="83"/>
      <x:c r="F89" s="83"/>
      <x:c r="G89" s="83"/>
      <x:c r="H89" s="83"/>
      <x:c r="I89" s="73"/>
    </x:row>
    <x:row r="90">
      <x:c r="A90" s="86"/>
      <x:c r="B90" s="83"/>
      <x:c r="C90" s="83"/>
      <x:c r="D90" s="83"/>
      <x:c r="E90" s="83"/>
      <x:c r="F90" s="83"/>
      <x:c r="G90" s="83"/>
      <x:c r="H90" s="83"/>
      <x:c r="I90" s="73"/>
    </x:row>
    <x:row r="91">
      <x:c r="A91" s="86"/>
      <x:c r="B91" s="83"/>
      <x:c r="C91" s="83"/>
      <x:c r="D91" s="83"/>
      <x:c r="E91" s="83"/>
      <x:c r="F91" s="83"/>
      <x:c r="G91" s="83"/>
      <x:c r="H91" s="83"/>
      <x:c r="I91" s="73"/>
    </x:row>
    <x:row r="92">
      <x:c r="A92" s="86"/>
      <x:c r="B92" s="83"/>
      <x:c r="C92" s="83"/>
      <x:c r="D92" s="83"/>
      <x:c r="E92" s="83"/>
      <x:c r="F92" s="83"/>
      <x:c r="G92" s="83"/>
      <x:c r="H92" s="83"/>
      <x:c r="I92" s="73"/>
    </x:row>
    <x:row r="93">
      <x:c r="A93" s="86"/>
      <x:c r="B93" s="83"/>
      <x:c r="C93" s="83"/>
      <x:c r="D93" s="83"/>
      <x:c r="E93" s="83"/>
      <x:c r="F93" s="83"/>
      <x:c r="G93" s="83"/>
      <x:c r="H93" s="83"/>
      <x:c r="I93" s="73"/>
    </x:row>
    <x:row r="94">
      <x:c r="A94" s="86"/>
      <x:c r="B94" s="83"/>
      <x:c r="C94" s="83"/>
      <x:c r="D94" s="83"/>
      <x:c r="E94" s="83"/>
      <x:c r="F94" s="83"/>
      <x:c r="G94" s="83"/>
      <x:c r="H94" s="83"/>
      <x:c r="I94" s="73"/>
    </x:row>
    <x:row r="95">
      <x:c r="A95" s="86"/>
      <x:c r="B95" s="83"/>
      <x:c r="C95" s="83"/>
      <x:c r="D95" s="83"/>
      <x:c r="E95" s="83"/>
      <x:c r="F95" s="83"/>
      <x:c r="G95" s="83"/>
      <x:c r="H95" s="83"/>
      <x:c r="I95" s="73"/>
    </x:row>
    <x:row r="96">
      <x:c r="A96" s="86"/>
      <x:c r="B96" s="83"/>
      <x:c r="C96" s="83"/>
      <x:c r="D96" s="83"/>
      <x:c r="E96" s="83"/>
      <x:c r="F96" s="83"/>
      <x:c r="G96" s="83"/>
      <x:c r="H96" s="83"/>
      <x:c r="I96" s="73"/>
    </x:row>
    <x:row r="97">
      <x:c r="A97" s="86"/>
      <x:c r="B97" s="83"/>
      <x:c r="C97" s="83"/>
      <x:c r="D97" s="83"/>
      <x:c r="E97" s="83"/>
      <x:c r="F97" s="83"/>
      <x:c r="G97" s="83"/>
      <x:c r="H97" s="83"/>
      <x:c r="I97" s="73"/>
    </x:row>
    <x:row r="98">
      <x:c r="A98" s="86"/>
      <x:c r="B98" s="83"/>
      <x:c r="C98" s="83"/>
      <x:c r="D98" s="83"/>
      <x:c r="E98" s="83"/>
      <x:c r="F98" s="83"/>
      <x:c r="G98" s="83"/>
      <x:c r="H98" s="83"/>
      <x:c r="I98" s="73"/>
    </x:row>
    <x:row r="99">
      <x:c r="A99" s="86"/>
      <x:c r="B99" s="83"/>
      <x:c r="C99" s="83"/>
      <x:c r="D99" s="83"/>
      <x:c r="E99" s="83"/>
      <x:c r="F99" s="83"/>
      <x:c r="G99" s="83"/>
      <x:c r="H99" s="83"/>
      <x:c r="I99" s="73"/>
    </x:row>
    <x:row r="100">
      <x:c r="A100" s="86"/>
      <x:c r="B100" s="83"/>
      <x:c r="C100" s="83"/>
      <x:c r="D100" s="83"/>
      <x:c r="E100" s="83"/>
      <x:c r="F100" s="83"/>
      <x:c r="G100" s="83"/>
      <x:c r="H100" s="83"/>
      <x:c r="I100" s="73"/>
    </x:row>
    <x:row r="101">
      <x:c r="A101" s="86"/>
      <x:c r="B101" s="83"/>
      <x:c r="C101" s="83"/>
      <x:c r="D101" s="83"/>
      <x:c r="E101" s="83"/>
      <x:c r="F101" s="83"/>
      <x:c r="G101" s="83"/>
      <x:c r="H101" s="83"/>
      <x:c r="I101" s="73"/>
    </x:row>
    <x:row r="102">
      <x:c r="A102" s="86"/>
      <x:c r="B102" s="83"/>
      <x:c r="C102" s="83"/>
      <x:c r="D102" s="83"/>
      <x:c r="E102" s="83"/>
      <x:c r="F102" s="83"/>
      <x:c r="G102" s="83"/>
      <x:c r="H102" s="83"/>
      <x:c r="I102" s="73"/>
    </x:row>
    <x:row r="103">
      <x:c r="A103" s="86"/>
      <x:c r="B103" s="83"/>
      <x:c r="C103" s="83"/>
      <x:c r="D103" s="83"/>
      <x:c r="E103" s="83"/>
      <x:c r="F103" s="83"/>
      <x:c r="G103" s="83"/>
      <x:c r="H103" s="83"/>
      <x:c r="I103" s="73"/>
    </x:row>
    <x:row r="104">
      <x:c r="A104" s="86"/>
      <x:c r="B104" s="83"/>
      <x:c r="C104" s="83"/>
      <x:c r="D104" s="83"/>
      <x:c r="E104" s="83"/>
      <x:c r="F104" s="83"/>
      <x:c r="G104" s="83"/>
      <x:c r="H104" s="83"/>
      <x:c r="I104" s="73"/>
    </x:row>
    <x:row r="105">
      <x:c r="A105" s="86"/>
      <x:c r="B105" s="83"/>
      <x:c r="C105" s="83"/>
      <x:c r="D105" s="83"/>
      <x:c r="E105" s="83"/>
      <x:c r="F105" s="83"/>
      <x:c r="G105" s="83"/>
      <x:c r="H105" s="83"/>
      <x:c r="I105" s="73"/>
    </x:row>
    <x:row r="106">
      <x:c r="A106" s="86"/>
      <x:c r="B106" s="83"/>
      <x:c r="C106" s="83"/>
      <x:c r="D106" s="83"/>
      <x:c r="E106" s="83"/>
      <x:c r="F106" s="83"/>
      <x:c r="G106" s="83"/>
      <x:c r="H106" s="83"/>
      <x:c r="I106" s="73"/>
    </x:row>
    <x:row r="107">
      <x:c r="A107" s="86"/>
      <x:c r="B107" s="83"/>
      <x:c r="C107" s="83"/>
      <x:c r="D107" s="83"/>
      <x:c r="E107" s="83"/>
      <x:c r="F107" s="83"/>
      <x:c r="G107" s="83"/>
      <x:c r="H107" s="83"/>
      <x:c r="I107" s="73"/>
    </x:row>
    <x:row r="108">
      <x:c r="A108" s="86"/>
      <x:c r="B108" s="83"/>
      <x:c r="C108" s="83"/>
      <x:c r="D108" s="83"/>
      <x:c r="E108" s="83"/>
      <x:c r="F108" s="83"/>
      <x:c r="G108" s="83"/>
      <x:c r="H108" s="83"/>
      <x:c r="I108" s="73"/>
    </x:row>
    <x:row r="109">
      <x:c r="A109" s="86"/>
      <x:c r="B109" s="83"/>
      <x:c r="C109" s="83"/>
      <x:c r="D109" s="83"/>
      <x:c r="E109" s="83"/>
      <x:c r="F109" s="83"/>
      <x:c r="G109" s="83"/>
      <x:c r="H109" s="83"/>
      <x:c r="I109" s="73"/>
    </x:row>
    <x:row r="110">
      <x:c r="A110" s="86"/>
      <x:c r="B110" s="83"/>
      <x:c r="C110" s="83"/>
      <x:c r="D110" s="83"/>
      <x:c r="E110" s="83"/>
      <x:c r="F110" s="83"/>
      <x:c r="G110" s="83"/>
      <x:c r="H110" s="83"/>
      <x:c r="I110" s="73"/>
    </x:row>
    <x:row r="111">
      <x:c r="A111" s="86"/>
      <x:c r="B111" s="83"/>
      <x:c r="C111" s="83"/>
      <x:c r="D111" s="83"/>
      <x:c r="E111" s="83"/>
      <x:c r="F111" s="83"/>
      <x:c r="G111" s="83"/>
      <x:c r="H111" s="83"/>
      <x:c r="I111" s="73"/>
    </x:row>
    <x:row r="112">
      <x:c r="A112" s="86"/>
      <x:c r="B112" s="83"/>
      <x:c r="C112" s="83"/>
      <x:c r="D112" s="83"/>
      <x:c r="E112" s="83"/>
      <x:c r="F112" s="83"/>
      <x:c r="G112" s="83"/>
      <x:c r="H112" s="83"/>
      <x:c r="I112" s="73"/>
    </x:row>
    <x:row r="113">
      <x:c r="A113" s="86"/>
      <x:c r="B113" s="83"/>
      <x:c r="C113" s="83"/>
      <x:c r="D113" s="83"/>
      <x:c r="E113" s="83"/>
      <x:c r="F113" s="83"/>
      <x:c r="G113" s="83"/>
      <x:c r="H113" s="83"/>
      <x:c r="I113" s="73"/>
    </x:row>
    <x:row r="114">
      <x:c r="A114" s="86"/>
      <x:c r="B114" s="83"/>
      <x:c r="C114" s="83"/>
      <x:c r="D114" s="83"/>
      <x:c r="E114" s="83"/>
      <x:c r="F114" s="83"/>
      <x:c r="G114" s="83"/>
      <x:c r="H114" s="83"/>
      <x:c r="I114" s="73"/>
    </x:row>
    <x:row r="115">
      <x:c r="A115" s="86"/>
      <x:c r="B115" s="83"/>
      <x:c r="C115" s="83"/>
      <x:c r="D115" s="83"/>
      <x:c r="E115" s="83"/>
      <x:c r="F115" s="83"/>
      <x:c r="G115" s="83"/>
      <x:c r="H115" s="83"/>
      <x:c r="I115" s="73"/>
    </x:row>
    <x:row r="116">
      <x:c r="A116" s="86"/>
      <x:c r="B116" s="83"/>
      <x:c r="C116" s="83"/>
      <x:c r="D116" s="83"/>
      <x:c r="E116" s="83"/>
      <x:c r="F116" s="83"/>
      <x:c r="G116" s="83"/>
      <x:c r="H116" s="83"/>
      <x:c r="I116" s="73"/>
    </x:row>
    <x:row r="117">
      <x:c r="A117" s="86"/>
      <x:c r="B117" s="83"/>
      <x:c r="C117" s="83"/>
      <x:c r="D117" s="83"/>
      <x:c r="E117" s="83"/>
      <x:c r="F117" s="83"/>
      <x:c r="G117" s="83"/>
      <x:c r="H117" s="83"/>
      <x:c r="I117" s="73"/>
    </x:row>
    <x:row r="118">
      <x:c r="A118" s="86"/>
      <x:c r="B118" s="83"/>
      <x:c r="C118" s="83"/>
      <x:c r="D118" s="83"/>
      <x:c r="E118" s="83"/>
      <x:c r="F118" s="83"/>
      <x:c r="G118" s="83"/>
      <x:c r="H118" s="83"/>
      <x:c r="I118" s="73"/>
    </x:row>
    <x:row r="119">
      <x:c r="A119" s="86"/>
      <x:c r="B119" s="83"/>
      <x:c r="C119" s="83"/>
      <x:c r="D119" s="83"/>
      <x:c r="E119" s="83"/>
      <x:c r="F119" s="83"/>
      <x:c r="G119" s="83"/>
      <x:c r="H119" s="83"/>
      <x:c r="I119" s="73"/>
    </x:row>
    <x:row r="120">
      <x:c r="A120" s="86"/>
      <x:c r="B120" s="83"/>
      <x:c r="C120" s="83"/>
      <x:c r="D120" s="83"/>
      <x:c r="E120" s="83"/>
      <x:c r="F120" s="83"/>
      <x:c r="G120" s="83"/>
      <x:c r="H120" s="83"/>
      <x:c r="I120" s="73"/>
    </x:row>
    <x:row r="121">
      <x:c r="A121" s="86"/>
      <x:c r="B121" s="83"/>
      <x:c r="C121" s="83"/>
      <x:c r="D121" s="83"/>
      <x:c r="E121" s="83"/>
      <x:c r="F121" s="83"/>
      <x:c r="G121" s="83"/>
      <x:c r="H121" s="83"/>
      <x:c r="I121" s="73"/>
    </x:row>
    <x:row r="122">
      <x:c r="A122" s="86"/>
      <x:c r="B122" s="83"/>
      <x:c r="C122" s="83"/>
      <x:c r="D122" s="83"/>
      <x:c r="E122" s="83"/>
      <x:c r="F122" s="83"/>
      <x:c r="G122" s="83"/>
      <x:c r="H122" s="83"/>
      <x:c r="I122" s="73"/>
    </x:row>
    <x:row r="123">
      <x:c r="A123" s="86"/>
      <x:c r="B123" s="83"/>
      <x:c r="C123" s="83"/>
      <x:c r="D123" s="83"/>
      <x:c r="E123" s="83"/>
      <x:c r="F123" s="83"/>
      <x:c r="G123" s="83"/>
      <x:c r="H123" s="83"/>
      <x:c r="I123" s="73"/>
    </x:row>
    <x:row r="124">
      <x:c r="A124" s="86"/>
      <x:c r="B124" s="83"/>
      <x:c r="C124" s="83"/>
      <x:c r="D124" s="83"/>
      <x:c r="E124" s="83"/>
      <x:c r="F124" s="83"/>
      <x:c r="G124" s="83"/>
      <x:c r="H124" s="83"/>
      <x:c r="I124" s="73"/>
    </x:row>
    <x:row r="125">
      <x:c r="A125" s="86"/>
      <x:c r="B125" s="83"/>
      <x:c r="C125" s="83"/>
      <x:c r="D125" s="83"/>
      <x:c r="E125" s="83"/>
      <x:c r="F125" s="83"/>
      <x:c r="G125" s="83"/>
      <x:c r="H125" s="83"/>
      <x:c r="I125" s="73"/>
    </x:row>
    <x:row r="126">
      <x:c r="A126" s="86"/>
      <x:c r="B126" s="83"/>
      <x:c r="C126" s="83"/>
      <x:c r="D126" s="83"/>
      <x:c r="E126" s="83"/>
      <x:c r="F126" s="83"/>
      <x:c r="G126" s="83"/>
      <x:c r="H126" s="83"/>
      <x:c r="I126" s="73"/>
    </x:row>
    <x:row r="127">
      <x:c r="A127" s="86"/>
      <x:c r="B127" s="83"/>
      <x:c r="C127" s="83"/>
      <x:c r="D127" s="83"/>
      <x:c r="E127" s="83"/>
      <x:c r="F127" s="83"/>
      <x:c r="G127" s="83"/>
      <x:c r="H127" s="83"/>
      <x:c r="I127" s="73"/>
    </x:row>
    <x:row r="128">
      <x:c r="A128" s="86"/>
      <x:c r="B128" s="83"/>
      <x:c r="C128" s="83"/>
      <x:c r="D128" s="83"/>
      <x:c r="E128" s="83"/>
      <x:c r="F128" s="83"/>
      <x:c r="G128" s="83"/>
      <x:c r="H128" s="83"/>
      <x:c r="I128" s="73"/>
    </x:row>
    <x:row r="129">
      <x:c r="A129" s="86"/>
      <x:c r="B129" s="83"/>
      <x:c r="C129" s="83"/>
      <x:c r="D129" s="83"/>
      <x:c r="E129" s="83"/>
      <x:c r="F129" s="83"/>
      <x:c r="G129" s="83"/>
      <x:c r="H129" s="83"/>
      <x:c r="I129" s="73"/>
    </x:row>
    <x:row r="130">
      <x:c r="A130" s="86"/>
      <x:c r="B130" s="83"/>
      <x:c r="C130" s="83"/>
      <x:c r="D130" s="83"/>
      <x:c r="E130" s="83"/>
      <x:c r="F130" s="83"/>
      <x:c r="G130" s="83"/>
      <x:c r="H130" s="83"/>
      <x:c r="I130" s="73"/>
    </x:row>
    <x:row r="131">
      <x:c r="A131" s="86"/>
      <x:c r="B131" s="83"/>
      <x:c r="C131" s="83"/>
      <x:c r="D131" s="83"/>
      <x:c r="E131" s="83"/>
      <x:c r="F131" s="83"/>
      <x:c r="G131" s="83"/>
      <x:c r="H131" s="83"/>
      <x:c r="I131" s="73"/>
    </x:row>
    <x:row r="132">
      <x:c r="A132" s="86"/>
      <x:c r="B132" s="83"/>
      <x:c r="C132" s="83"/>
      <x:c r="D132" s="83"/>
      <x:c r="E132" s="83"/>
      <x:c r="F132" s="83"/>
      <x:c r="G132" s="83"/>
      <x:c r="H132" s="83"/>
      <x:c r="I132" s="73"/>
    </x:row>
    <x:row r="133">
      <x:c r="A133" s="86"/>
      <x:c r="B133" s="83"/>
      <x:c r="C133" s="83"/>
      <x:c r="D133" s="83"/>
      <x:c r="E133" s="83"/>
      <x:c r="F133" s="83"/>
      <x:c r="G133" s="83"/>
      <x:c r="H133" s="83"/>
      <x:c r="I133" s="73"/>
    </x:row>
    <x:row r="134">
      <x:c r="A134" s="86"/>
      <x:c r="B134" s="83"/>
      <x:c r="C134" s="83"/>
      <x:c r="D134" s="83"/>
      <x:c r="E134" s="83"/>
      <x:c r="F134" s="83"/>
      <x:c r="G134" s="83"/>
      <x:c r="H134" s="83"/>
      <x:c r="I134" s="73"/>
    </x:row>
    <x:row r="135">
      <x:c r="A135" s="86"/>
      <x:c r="B135" s="83"/>
      <x:c r="C135" s="83"/>
      <x:c r="D135" s="83"/>
      <x:c r="E135" s="83"/>
      <x:c r="F135" s="83"/>
      <x:c r="G135" s="83"/>
      <x:c r="H135" s="83"/>
      <x:c r="I135" s="73"/>
    </x:row>
    <x:row r="136">
      <x:c r="A136" s="86"/>
      <x:c r="B136" s="83"/>
      <x:c r="C136" s="83"/>
      <x:c r="D136" s="83"/>
      <x:c r="E136" s="83"/>
      <x:c r="F136" s="83"/>
      <x:c r="G136" s="83"/>
      <x:c r="H136" s="83"/>
      <x:c r="I136" s="73"/>
    </x:row>
    <x:row r="137">
      <x:c r="A137" s="86"/>
      <x:c r="B137" s="83"/>
      <x:c r="C137" s="83"/>
      <x:c r="D137" s="83"/>
      <x:c r="E137" s="83"/>
      <x:c r="F137" s="83"/>
      <x:c r="G137" s="83"/>
      <x:c r="H137" s="83"/>
      <x:c r="I137" s="73"/>
    </x:row>
    <x:row r="138">
      <x:c r="A138" s="86"/>
      <x:c r="B138" s="83"/>
      <x:c r="C138" s="83"/>
      <x:c r="D138" s="83"/>
      <x:c r="E138" s="83"/>
      <x:c r="F138" s="83"/>
      <x:c r="G138" s="83"/>
      <x:c r="H138" s="83"/>
      <x:c r="I138" s="73"/>
    </x:row>
    <x:row r="139">
      <x:c r="A139" s="86"/>
      <x:c r="B139" s="83"/>
      <x:c r="C139" s="83"/>
      <x:c r="D139" s="83"/>
      <x:c r="E139" s="83"/>
      <x:c r="F139" s="83"/>
      <x:c r="G139" s="83"/>
      <x:c r="H139" s="83"/>
      <x:c r="I139" s="73"/>
    </x:row>
    <x:row r="140">
      <x:c r="A140" s="86"/>
      <x:c r="B140" s="83"/>
      <x:c r="C140" s="83"/>
      <x:c r="D140" s="83"/>
      <x:c r="E140" s="83"/>
      <x:c r="F140" s="83"/>
      <x:c r="G140" s="83"/>
      <x:c r="H140" s="83"/>
      <x:c r="I140" s="73"/>
    </x:row>
    <x:row r="141">
      <x:c r="A141" s="86"/>
      <x:c r="B141" s="83"/>
      <x:c r="C141" s="83"/>
      <x:c r="D141" s="83"/>
      <x:c r="E141" s="83"/>
      <x:c r="F141" s="83"/>
      <x:c r="G141" s="83"/>
      <x:c r="H141" s="83"/>
      <x:c r="I141" s="73"/>
    </x:row>
    <x:row r="142">
      <x:c r="A142" s="86"/>
      <x:c r="B142" s="83"/>
      <x:c r="C142" s="83"/>
      <x:c r="D142" s="83"/>
      <x:c r="E142" s="83"/>
      <x:c r="F142" s="83"/>
      <x:c r="G142" s="83"/>
      <x:c r="H142" s="83"/>
      <x:c r="I142" s="73"/>
    </x:row>
    <x:row r="143">
      <x:c r="A143" s="86"/>
      <x:c r="B143" s="83"/>
      <x:c r="C143" s="83"/>
      <x:c r="D143" s="83"/>
      <x:c r="E143" s="83"/>
      <x:c r="F143" s="83"/>
      <x:c r="G143" s="83"/>
      <x:c r="H143" s="83"/>
      <x:c r="I143" s="73"/>
    </x:row>
    <x:row r="144">
      <x:c r="A144" s="86"/>
      <x:c r="B144" s="83"/>
      <x:c r="C144" s="83"/>
      <x:c r="D144" s="83"/>
      <x:c r="E144" s="83"/>
      <x:c r="F144" s="83"/>
      <x:c r="G144" s="83"/>
      <x:c r="H144" s="83"/>
      <x:c r="I144" s="73"/>
    </x:row>
    <x:row r="145">
      <x:c r="A145" s="86"/>
      <x:c r="B145" s="83"/>
      <x:c r="C145" s="83"/>
      <x:c r="D145" s="83"/>
      <x:c r="E145" s="83"/>
      <x:c r="F145" s="83"/>
      <x:c r="G145" s="83"/>
      <x:c r="H145" s="83"/>
      <x:c r="I145" s="73"/>
    </x:row>
    <x:row r="146">
      <x:c r="A146" s="86"/>
      <x:c r="B146" s="83"/>
      <x:c r="C146" s="83"/>
      <x:c r="D146" s="83"/>
      <x:c r="E146" s="83"/>
      <x:c r="F146" s="83"/>
      <x:c r="G146" s="83"/>
      <x:c r="H146" s="83"/>
      <x:c r="I146" s="73"/>
    </x:row>
    <x:row r="147">
      <x:c r="A147" s="86"/>
      <x:c r="B147" s="83"/>
      <x:c r="C147" s="83"/>
      <x:c r="D147" s="83"/>
      <x:c r="E147" s="83"/>
      <x:c r="F147" s="83"/>
      <x:c r="G147" s="83"/>
      <x:c r="H147" s="83"/>
      <x:c r="I147" s="73"/>
    </x:row>
    <x:row r="148">
      <x:c r="A148" s="86"/>
      <x:c r="B148" s="83"/>
      <x:c r="C148" s="83"/>
      <x:c r="D148" s="83"/>
      <x:c r="E148" s="83"/>
      <x:c r="F148" s="83"/>
      <x:c r="G148" s="83"/>
      <x:c r="H148" s="83"/>
      <x:c r="I148" s="73"/>
    </x:row>
    <x:row r="149">
      <x:c r="A149" s="86"/>
      <x:c r="B149" s="83"/>
      <x:c r="C149" s="83"/>
      <x:c r="D149" s="83"/>
      <x:c r="E149" s="83"/>
      <x:c r="F149" s="83"/>
      <x:c r="G149" s="83"/>
      <x:c r="H149" s="83"/>
      <x:c r="I149" s="73"/>
    </x:row>
    <x:row r="150">
      <x:c r="A150" s="86"/>
      <x:c r="B150" s="83"/>
      <x:c r="C150" s="83"/>
      <x:c r="D150" s="83"/>
      <x:c r="E150" s="83"/>
      <x:c r="F150" s="83"/>
      <x:c r="G150" s="83"/>
      <x:c r="H150" s="83"/>
      <x:c r="I150" s="73"/>
    </x:row>
    <x:row r="151">
      <x:c r="A151" s="86"/>
      <x:c r="B151" s="83"/>
      <x:c r="C151" s="83"/>
      <x:c r="D151" s="83"/>
      <x:c r="E151" s="83"/>
      <x:c r="F151" s="83"/>
      <x:c r="G151" s="83"/>
      <x:c r="H151" s="83"/>
      <x:c r="I151" s="73"/>
    </x:row>
    <x:row r="152">
      <x:c r="A152" s="86"/>
      <x:c r="B152" s="83"/>
      <x:c r="C152" s="83"/>
      <x:c r="D152" s="83"/>
      <x:c r="E152" s="83"/>
      <x:c r="F152" s="83"/>
      <x:c r="G152" s="83"/>
      <x:c r="H152" s="83"/>
      <x:c r="I152" s="73"/>
    </x:row>
    <x:row r="153">
      <x:c r="A153" s="86"/>
      <x:c r="B153" s="83"/>
      <x:c r="C153" s="83"/>
      <x:c r="D153" s="83"/>
      <x:c r="E153" s="83"/>
      <x:c r="F153" s="83"/>
      <x:c r="G153" s="83"/>
      <x:c r="H153" s="83"/>
      <x:c r="I153" s="73"/>
    </x:row>
    <x:row r="154">
      <x:c r="A154" s="86"/>
      <x:c r="B154" s="83"/>
      <x:c r="C154" s="83"/>
      <x:c r="D154" s="83"/>
      <x:c r="E154" s="83"/>
      <x:c r="F154" s="83"/>
      <x:c r="G154" s="83"/>
      <x:c r="H154" s="83"/>
      <x:c r="I154" s="73"/>
    </x:row>
    <x:row r="155">
      <x:c r="A155" s="86"/>
      <x:c r="B155" s="83"/>
      <x:c r="C155" s="83"/>
      <x:c r="D155" s="83"/>
      <x:c r="E155" s="83"/>
      <x:c r="F155" s="83"/>
      <x:c r="G155" s="83"/>
      <x:c r="H155" s="83"/>
      <x:c r="I155" s="73"/>
    </x:row>
    <x:row r="156">
      <x:c r="A156" s="86"/>
      <x:c r="B156" s="83"/>
      <x:c r="C156" s="83"/>
      <x:c r="D156" s="83"/>
      <x:c r="E156" s="83"/>
      <x:c r="F156" s="83"/>
      <x:c r="G156" s="83"/>
      <x:c r="H156" s="83"/>
      <x:c r="I156" s="73"/>
    </x:row>
    <x:row r="157">
      <x:c r="A157" s="86"/>
      <x:c r="B157" s="83"/>
      <x:c r="C157" s="83"/>
      <x:c r="D157" s="83"/>
      <x:c r="E157" s="83"/>
      <x:c r="F157" s="83"/>
      <x:c r="G157" s="83"/>
      <x:c r="H157" s="83"/>
      <x:c r="I157" s="73"/>
    </x:row>
    <x:row r="158">
      <x:c r="A158" s="86"/>
      <x:c r="B158" s="83"/>
      <x:c r="C158" s="83"/>
      <x:c r="D158" s="83"/>
      <x:c r="E158" s="83"/>
      <x:c r="F158" s="83"/>
      <x:c r="G158" s="83"/>
      <x:c r="H158" s="83"/>
      <x:c r="I158" s="73"/>
    </x:row>
    <x:row r="159">
      <x:c r="A159" s="86"/>
      <x:c r="B159" s="83"/>
      <x:c r="C159" s="83"/>
      <x:c r="D159" s="83"/>
      <x:c r="E159" s="83"/>
      <x:c r="F159" s="83"/>
      <x:c r="G159" s="83"/>
      <x:c r="H159" s="83"/>
      <x:c r="I159" s="73"/>
    </x:row>
    <x:row r="160">
      <x:c r="A160" s="86"/>
      <x:c r="B160" s="83"/>
      <x:c r="C160" s="83"/>
      <x:c r="D160" s="83"/>
      <x:c r="E160" s="83"/>
      <x:c r="F160" s="83"/>
      <x:c r="G160" s="83"/>
      <x:c r="H160" s="83"/>
      <x:c r="I160" s="73"/>
    </x:row>
    <x:row r="161">
      <x:c r="A161" s="86"/>
      <x:c r="B161" s="83"/>
      <x:c r="C161" s="83"/>
      <x:c r="D161" s="83"/>
      <x:c r="E161" s="83"/>
      <x:c r="F161" s="83"/>
      <x:c r="G161" s="83"/>
      <x:c r="H161" s="83"/>
      <x:c r="I161" s="73"/>
    </x:row>
    <x:row r="162">
      <x:c r="A162" s="86"/>
      <x:c r="B162" s="83"/>
      <x:c r="C162" s="83"/>
      <x:c r="D162" s="83"/>
      <x:c r="E162" s="83"/>
      <x:c r="F162" s="83"/>
      <x:c r="G162" s="83"/>
      <x:c r="H162" s="83"/>
      <x:c r="I162" s="73"/>
    </x:row>
    <x:row r="163">
      <x:c r="A163" s="86"/>
      <x:c r="B163" s="83"/>
      <x:c r="C163" s="83"/>
      <x:c r="D163" s="83"/>
      <x:c r="E163" s="83"/>
      <x:c r="F163" s="83"/>
      <x:c r="G163" s="83"/>
      <x:c r="H163" s="83"/>
      <x:c r="I163" s="73"/>
    </x:row>
    <x:row r="164">
      <x:c r="A164" s="86"/>
      <x:c r="B164" s="83"/>
      <x:c r="C164" s="83"/>
      <x:c r="D164" s="83"/>
      <x:c r="E164" s="83"/>
      <x:c r="F164" s="83"/>
      <x:c r="G164" s="83"/>
      <x:c r="H164" s="83"/>
      <x:c r="I164" s="73"/>
    </x:row>
    <x:row r="165">
      <x:c r="A165" s="86"/>
      <x:c r="B165" s="83"/>
      <x:c r="C165" s="83"/>
      <x:c r="D165" s="83"/>
      <x:c r="E165" s="83"/>
      <x:c r="F165" s="83"/>
      <x:c r="G165" s="83"/>
      <x:c r="H165" s="83"/>
      <x:c r="I165" s="73"/>
    </x:row>
    <x:row r="166">
      <x:c r="A166" s="86"/>
      <x:c r="B166" s="83"/>
      <x:c r="C166" s="83"/>
      <x:c r="D166" s="83"/>
      <x:c r="E166" s="83"/>
      <x:c r="F166" s="83"/>
      <x:c r="G166" s="83"/>
      <x:c r="H166" s="83"/>
      <x:c r="I166" s="73"/>
    </x:row>
    <x:row r="167">
      <x:c r="A167" s="86"/>
      <x:c r="B167" s="83"/>
      <x:c r="C167" s="83"/>
      <x:c r="D167" s="83"/>
      <x:c r="E167" s="83"/>
      <x:c r="F167" s="83"/>
      <x:c r="G167" s="83"/>
      <x:c r="H167" s="83"/>
      <x:c r="I167" s="73"/>
    </x:row>
    <x:row r="168">
      <x:c r="A168" s="86"/>
      <x:c r="B168" s="83"/>
      <x:c r="C168" s="83"/>
      <x:c r="D168" s="83"/>
      <x:c r="E168" s="83"/>
      <x:c r="F168" s="83"/>
      <x:c r="G168" s="83"/>
      <x:c r="H168" s="83"/>
      <x:c r="I168" s="73"/>
    </x:row>
    <x:row r="169">
      <x:c r="A169" s="86"/>
      <x:c r="B169" s="83"/>
      <x:c r="C169" s="83"/>
      <x:c r="D169" s="83"/>
      <x:c r="E169" s="83"/>
      <x:c r="F169" s="83"/>
      <x:c r="G169" s="83"/>
      <x:c r="H169" s="83"/>
      <x:c r="I169" s="73"/>
    </x:row>
    <x:row r="170">
      <x:c r="A170" s="86"/>
      <x:c r="B170" s="83"/>
      <x:c r="C170" s="83"/>
      <x:c r="D170" s="83"/>
      <x:c r="E170" s="83"/>
      <x:c r="F170" s="83"/>
      <x:c r="G170" s="83"/>
      <x:c r="H170" s="83"/>
      <x:c r="I170" s="73"/>
    </x:row>
    <x:row r="171">
      <x:c r="A171" s="86"/>
      <x:c r="B171" s="83"/>
      <x:c r="C171" s="83"/>
      <x:c r="D171" s="83"/>
      <x:c r="E171" s="83"/>
      <x:c r="F171" s="83"/>
      <x:c r="G171" s="83"/>
      <x:c r="H171" s="83"/>
      <x:c r="I171" s="73"/>
    </x:row>
    <x:row r="172">
      <x:c r="A172" s="86"/>
      <x:c r="B172" s="83"/>
      <x:c r="C172" s="83"/>
      <x:c r="D172" s="83"/>
      <x:c r="E172" s="83"/>
      <x:c r="F172" s="83"/>
      <x:c r="G172" s="83"/>
      <x:c r="H172" s="83"/>
      <x:c r="I172" s="73"/>
    </x:row>
    <x:row r="173">
      <x:c r="A173" s="86"/>
      <x:c r="B173" s="83"/>
      <x:c r="C173" s="83"/>
      <x:c r="D173" s="83"/>
      <x:c r="E173" s="83"/>
      <x:c r="F173" s="83"/>
      <x:c r="G173" s="83"/>
      <x:c r="H173" s="83"/>
      <x:c r="I173" s="73"/>
    </x:row>
    <x:row r="174">
      <x:c r="A174" s="86"/>
      <x:c r="B174" s="83"/>
      <x:c r="C174" s="83"/>
      <x:c r="D174" s="83"/>
      <x:c r="E174" s="83"/>
      <x:c r="F174" s="83"/>
      <x:c r="G174" s="83"/>
      <x:c r="H174" s="83"/>
      <x:c r="I174" s="73"/>
    </x:row>
    <x:row r="175">
      <x:c r="A175" s="86"/>
      <x:c r="B175" s="83"/>
      <x:c r="C175" s="83"/>
      <x:c r="D175" s="83"/>
      <x:c r="E175" s="83"/>
      <x:c r="F175" s="83"/>
      <x:c r="G175" s="83"/>
      <x:c r="H175" s="83"/>
      <x:c r="I175" s="73"/>
    </x:row>
    <x:row r="176">
      <x:c r="A176" s="86"/>
      <x:c r="B176" s="83"/>
      <x:c r="C176" s="83"/>
      <x:c r="D176" s="83"/>
      <x:c r="E176" s="83"/>
      <x:c r="F176" s="83"/>
      <x:c r="G176" s="83"/>
      <x:c r="H176" s="83"/>
      <x:c r="I176" s="73"/>
    </x:row>
    <x:row r="177">
      <x:c r="A177" s="86"/>
      <x:c r="B177" s="83"/>
      <x:c r="C177" s="83"/>
      <x:c r="D177" s="83"/>
      <x:c r="E177" s="83"/>
      <x:c r="F177" s="83"/>
      <x:c r="G177" s="83"/>
      <x:c r="H177" s="83"/>
      <x:c r="I177" s="73"/>
    </x:row>
    <x:row r="178">
      <x:c r="A178" s="86"/>
      <x:c r="B178" s="83"/>
      <x:c r="C178" s="83"/>
      <x:c r="D178" s="83"/>
      <x:c r="E178" s="83"/>
      <x:c r="F178" s="83"/>
      <x:c r="G178" s="83"/>
      <x:c r="H178" s="83"/>
      <x:c r="I178" s="73"/>
    </x:row>
    <x:row r="179">
      <x:c r="A179" s="86"/>
      <x:c r="B179" s="83"/>
      <x:c r="C179" s="83"/>
      <x:c r="D179" s="83"/>
      <x:c r="E179" s="83"/>
      <x:c r="F179" s="83"/>
      <x:c r="G179" s="83"/>
      <x:c r="H179" s="83"/>
      <x:c r="I179" s="73"/>
    </x:row>
    <x:row r="180">
      <x:c r="A180" s="86"/>
      <x:c r="B180" s="83"/>
      <x:c r="C180" s="83"/>
      <x:c r="D180" s="83"/>
      <x:c r="E180" s="83"/>
      <x:c r="F180" s="83"/>
      <x:c r="G180" s="83"/>
      <x:c r="H180" s="83"/>
      <x:c r="I180" s="73"/>
    </x:row>
    <x:row r="181">
      <x:c r="A181" s="86"/>
      <x:c r="B181" s="83"/>
      <x:c r="C181" s="83"/>
      <x:c r="D181" s="83"/>
      <x:c r="E181" s="83"/>
      <x:c r="F181" s="83"/>
      <x:c r="G181" s="83"/>
      <x:c r="H181" s="83"/>
      <x:c r="I181" s="73"/>
    </x:row>
    <x:row r="182">
      <x:c r="A182" s="86"/>
      <x:c r="B182" s="83"/>
      <x:c r="C182" s="83"/>
      <x:c r="D182" s="83"/>
      <x:c r="E182" s="83"/>
      <x:c r="F182" s="83"/>
      <x:c r="G182" s="83"/>
      <x:c r="H182" s="83"/>
      <x:c r="I182" s="73"/>
    </x:row>
    <x:row r="183">
      <x:c r="A183" s="86"/>
      <x:c r="B183" s="83"/>
      <x:c r="C183" s="83"/>
      <x:c r="D183" s="83"/>
      <x:c r="E183" s="83"/>
      <x:c r="F183" s="83"/>
      <x:c r="G183" s="83"/>
      <x:c r="H183" s="83"/>
      <x:c r="I183" s="73"/>
    </x:row>
    <x:row r="184">
      <x:c r="A184" s="86"/>
      <x:c r="B184" s="83"/>
      <x:c r="C184" s="83"/>
      <x:c r="D184" s="83"/>
      <x:c r="E184" s="83"/>
      <x:c r="F184" s="83"/>
      <x:c r="G184" s="83"/>
      <x:c r="H184" s="83"/>
      <x:c r="I184" s="73"/>
    </x:row>
    <x:row r="185">
      <x:c r="A185" s="86"/>
      <x:c r="B185" s="83"/>
      <x:c r="C185" s="83"/>
      <x:c r="D185" s="83"/>
      <x:c r="E185" s="83"/>
      <x:c r="F185" s="83"/>
      <x:c r="G185" s="83"/>
      <x:c r="H185" s="83"/>
      <x:c r="I185" s="73"/>
    </x:row>
    <x:row r="186">
      <x:c r="A186" s="86"/>
      <x:c r="B186" s="83"/>
      <x:c r="C186" s="83"/>
      <x:c r="D186" s="83"/>
      <x:c r="E186" s="83"/>
      <x:c r="F186" s="83"/>
      <x:c r="G186" s="83"/>
      <x:c r="H186" s="83"/>
      <x:c r="I186" s="73"/>
    </x:row>
    <x:row r="187">
      <x:c r="A187" s="86"/>
      <x:c r="B187" s="83"/>
      <x:c r="C187" s="83"/>
      <x:c r="D187" s="83"/>
      <x:c r="E187" s="83"/>
      <x:c r="F187" s="83"/>
      <x:c r="G187" s="83"/>
      <x:c r="H187" s="83"/>
      <x:c r="I187" s="73"/>
    </x:row>
    <x:row r="188">
      <x:c r="A188" s="86"/>
      <x:c r="B188" s="83"/>
      <x:c r="C188" s="83"/>
      <x:c r="D188" s="83"/>
      <x:c r="E188" s="83"/>
      <x:c r="F188" s="83"/>
      <x:c r="G188" s="83"/>
      <x:c r="H188" s="83"/>
      <x:c r="I188" s="73"/>
    </x:row>
    <x:row r="189">
      <x:c r="A189" s="86"/>
      <x:c r="B189" s="83"/>
      <x:c r="C189" s="83"/>
      <x:c r="D189" s="83"/>
      <x:c r="E189" s="83"/>
      <x:c r="F189" s="83"/>
      <x:c r="G189" s="83"/>
      <x:c r="H189" s="83"/>
      <x:c r="I189" s="73"/>
    </x:row>
    <x:row r="190">
      <x:c r="A190" s="86"/>
      <x:c r="B190" s="83"/>
      <x:c r="C190" s="83"/>
      <x:c r="D190" s="83"/>
      <x:c r="E190" s="83"/>
      <x:c r="F190" s="83"/>
      <x:c r="G190" s="83"/>
      <x:c r="H190" s="83"/>
      <x:c r="I190" s="73"/>
    </x:row>
    <x:row r="191">
      <x:c r="A191" s="86"/>
      <x:c r="B191" s="83"/>
      <x:c r="C191" s="83"/>
      <x:c r="D191" s="83"/>
      <x:c r="E191" s="83"/>
      <x:c r="F191" s="83"/>
      <x:c r="G191" s="83"/>
      <x:c r="H191" s="83"/>
      <x:c r="I191" s="73"/>
    </x:row>
    <x:row r="192">
      <x:c r="A192" s="86"/>
      <x:c r="B192" s="83"/>
      <x:c r="C192" s="83"/>
      <x:c r="D192" s="83"/>
      <x:c r="E192" s="83"/>
      <x:c r="F192" s="83"/>
      <x:c r="G192" s="83"/>
      <x:c r="H192" s="83"/>
      <x:c r="I192" s="73"/>
    </x:row>
    <x:row r="193">
      <x:c r="A193" s="86"/>
      <x:c r="B193" s="83"/>
      <x:c r="C193" s="83"/>
      <x:c r="D193" s="83"/>
      <x:c r="E193" s="83"/>
      <x:c r="F193" s="83"/>
      <x:c r="G193" s="83"/>
      <x:c r="H193" s="83"/>
      <x:c r="I193" s="73"/>
    </x:row>
    <x:row r="194">
      <x:c r="A194" s="86"/>
      <x:c r="B194" s="83"/>
      <x:c r="C194" s="83"/>
      <x:c r="D194" s="83"/>
      <x:c r="E194" s="83"/>
      <x:c r="F194" s="83"/>
      <x:c r="G194" s="83"/>
      <x:c r="H194" s="83"/>
      <x:c r="I194" s="73"/>
    </x:row>
    <x:row r="195">
      <x:c r="A195" s="86"/>
      <x:c r="B195" s="83"/>
      <x:c r="C195" s="83"/>
      <x:c r="D195" s="83"/>
      <x:c r="E195" s="83"/>
      <x:c r="F195" s="83"/>
      <x:c r="G195" s="83"/>
      <x:c r="H195" s="83"/>
      <x:c r="I195" s="73"/>
    </x:row>
    <x:row r="196">
      <x:c r="A196" s="86"/>
      <x:c r="B196" s="83"/>
      <x:c r="C196" s="83"/>
      <x:c r="D196" s="83"/>
      <x:c r="E196" s="83"/>
      <x:c r="F196" s="83"/>
      <x:c r="G196" s="83"/>
      <x:c r="H196" s="83"/>
      <x:c r="I196" s="73"/>
    </x:row>
    <x:row r="197">
      <x:c r="A197" s="86"/>
      <x:c r="B197" s="83"/>
      <x:c r="C197" s="83"/>
      <x:c r="D197" s="83"/>
      <x:c r="E197" s="83"/>
      <x:c r="F197" s="83"/>
      <x:c r="G197" s="83"/>
      <x:c r="H197" s="83"/>
      <x:c r="I197" s="73"/>
    </x:row>
    <x:row r="198">
      <x:c r="A198" s="86"/>
      <x:c r="B198" s="83"/>
      <x:c r="C198" s="83"/>
      <x:c r="D198" s="83"/>
      <x:c r="E198" s="83"/>
      <x:c r="F198" s="83"/>
      <x:c r="G198" s="83"/>
      <x:c r="H198" s="83"/>
      <x:c r="I198" s="73"/>
    </x:row>
    <x:row r="199">
      <x:c r="A199" s="86"/>
      <x:c r="B199" s="83"/>
      <x:c r="C199" s="83"/>
      <x:c r="D199" s="83"/>
      <x:c r="E199" s="83"/>
      <x:c r="F199" s="83"/>
      <x:c r="G199" s="83"/>
      <x:c r="H199" s="83"/>
      <x:c r="I199" s="73"/>
    </x:row>
    <x:row r="200">
      <x:c r="A200" s="87"/>
      <x:c r="B200" s="84"/>
      <x:c r="C200" s="84"/>
      <x:c r="D200" s="84"/>
      <x:c r="E200" s="84"/>
      <x:c r="F200" s="84"/>
      <x:c r="G200" s="84"/>
      <x:c r="H200" s="84"/>
      <x:c r="I200" s="75"/>
    </x:row>
  </x:sheetData>
  <x:mergeCells>
    <x:mergeCell ref="A1:I1"/>
    <x:mergeCell ref="A2:I2"/>
  </x:mergeCells>
  <x:dataValidations count="1">
    <x:dataValidation type="list" sqref="F5:F200">
      <x:formula1>"Not Run,Pass,Partial,Fail,Blocked,Future Backlog,Not Required,Preliminary"</x:formula1>
    </x:dataValidation>
  </x:dataValidations>
  <x:pageMargins left="0.7" right="0.7" top="0.75" bottom="0.75" header="0.3" footer="0.3"/>
</x:worksheet>
</file>