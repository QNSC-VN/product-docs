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641cd0904e4e17" /></Relationships>
</file>

<file path=xl/workbook.xml><?xml version="1.0" encoding="utf-8"?>
<x:workbook xmlns:x="http://schemas.openxmlformats.org/spreadsheetml/2006/main">
  <x:sheets>
    <x:sheet xmlns:r="http://schemas.openxmlformats.org/officeDocument/2006/relationships" name="Dashboard" sheetId="1" r:id="R3db90fa14a3749e6"/>
    <x:sheet xmlns:r="http://schemas.openxmlformats.org/officeDocument/2006/relationships" name="Test Guide" sheetId="2" r:id="R14480ebef4144c68"/>
    <x:sheet xmlns:r="http://schemas.openxmlformats.org/officeDocument/2006/relationships" name="Execution Plan" sheetId="3" r:id="R7e075c8492884a3c"/>
    <x:sheet xmlns:r="http://schemas.openxmlformats.org/officeDocument/2006/relationships" name="Carryover P0-4" sheetId="4" r:id="R99f73baa2d3a4da6"/>
    <x:sheet xmlns:r="http://schemas.openxmlformats.org/officeDocument/2006/relationships" name="Phase 5 Scenarios" sheetId="5" r:id="R8fcb587bff734073"/>
    <x:sheet xmlns:r="http://schemas.openxmlformats.org/officeDocument/2006/relationships" name="Phase 6 Scenarios" sheetId="6" r:id="R5e8476ca9bb84f4b"/>
    <x:sheet xmlns:r="http://schemas.openxmlformats.org/officeDocument/2006/relationships" name="Run Log" sheetId="7" r:id="R197e2869251342ef"/>
    <x:sheet xmlns:r="http://schemas.openxmlformats.org/officeDocument/2006/relationships" name="Current Access Baseline" sheetId="8" r:id="Re75317f3513a457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6"/>
      <x:color rgb="FFFFFFFF"/>
      <x:name val="Carlito"/>
    </x:font>
    <x:font>
      <x:i/>
      <x:sz val="11"/>
      <x:color rgb="FF5F7187"/>
      <x:name val="Carlito"/>
    </x:font>
    <x:font>
      <x:b/>
      <x:sz val="11"/>
      <x:color rgb="FFFFFFFF"/>
      <x:name val="Carlito"/>
    </x:font>
    <x:font>
      <x:sz val="10"/>
      <x:color rgb="FF24364B"/>
      <x:name val="Carlito"/>
    </x:font>
    <x:font>
      <x:b/>
      <x:sz val="11"/>
      <x:color rgb="FF173F73"/>
      <x:name val="Carlito"/>
    </x:font>
    <x:font>
      <x:i/>
      <x:sz val="11"/>
      <x:color rgb="FF455A70"/>
      <x:name val="Carlito"/>
    </x:font>
    <x:font>
      <x:sz val="11"/>
      <x:color rgb="FF25364A"/>
      <x:name val="Carlito"/>
    </x:font>
    <x:font>
      <x:b/>
      <x:sz val="11"/>
      <x:color rgb="FF2E6B3A"/>
      <x:name val="Carlito"/>
    </x:font>
  </x:fonts>
  <x:fills count="10">
    <x:fill>
      <x:patternFill patternType="none"/>
    </x:fill>
    <x:fill>
      <x:patternFill patternType="gray125"/>
    </x:fill>
    <x:fill>
      <x:patternFill patternType="solid">
        <x:fgColor rgb="FF173F73"/>
      </x:patternFill>
    </x:fill>
    <x:fill>
      <x:patternFill patternType="solid">
        <x:fgColor rgb="FFEAF2FB"/>
      </x:patternFill>
    </x:fill>
    <x:fill>
      <x:patternFill patternType="solid">
        <x:fgColor rgb="FF2B62A8"/>
      </x:patternFill>
    </x:fill>
    <x:fill>
      <x:patternFill patternType="solid">
        <x:fgColor rgb="FFF5F9FE"/>
      </x:patternFill>
    </x:fill>
    <x:fill>
      <x:patternFill patternType="solid">
        <x:fgColor rgb="FFFFF8E7"/>
      </x:patternFill>
    </x:fill>
    <x:fill>
      <x:patternFill patternType="solid">
        <x:fgColor rgb="FF173F73"/>
      </x:patternFill>
    </x:fill>
    <x:fill>
      <x:patternFill patternType="solid">
        <x:fgColor rgb="FFEAF2FB"/>
      </x:patternFill>
    </x:fill>
    <x:fill>
      <x:patternFill patternType="solid">
        <x:fgColor rgb="FF2B62A8"/>
      </x:patternFill>
    </x:fill>
  </x:fills>
  <x:borders count="13">
    <x:border/>
    <x:border>
      <x:left style="thin">
        <x:color rgb="FFC8D5E5"/>
      </x:left>
      <x:right style="thin">
        <x:color rgb="FFC8D5E5"/>
      </x:right>
      <x:top style="thin">
        <x:color rgb="FFC8D5E5"/>
      </x:top>
      <x:bottom style="thin">
        <x:color rgb="FFC8D5E5"/>
      </x:bottom>
    </x:border>
    <x:border>
      <x:right style="thin">
        <x:color rgb="FFC8D5E5"/>
      </x:right>
      <x:bottom style="thin">
        <x:color rgb="FFC8D5E5"/>
      </x:bottom>
    </x:border>
    <x:border>
      <x:left style="thin">
        <x:color rgb="FFC8D5E5"/>
      </x:left>
      <x:right style="thin">
        <x:color rgb="FFC8D5E5"/>
      </x:right>
      <x:bottom style="thin">
        <x:color rgb="FFC8D5E5"/>
      </x:bottom>
    </x:border>
    <x:border>
      <x:left style="thin">
        <x:color rgb="FFC8D5E5"/>
      </x:left>
      <x:bottom style="thin">
        <x:color rgb="FFC8D5E5"/>
      </x:bottom>
    </x:border>
    <x:border>
      <x:right style="thin">
        <x:color rgb="FFC8D5E5"/>
      </x:right>
      <x:top style="thin">
        <x:color rgb="FFC8D5E5"/>
      </x:top>
      <x:bottom style="thin">
        <x:color rgb="FFC8D5E5"/>
      </x:bottom>
    </x:border>
    <x:border>
      <x:left style="thin">
        <x:color rgb="FFC8D5E5"/>
      </x:left>
      <x:top style="thin">
        <x:color rgb="FFC8D5E5"/>
      </x:top>
      <x:bottom style="thin">
        <x:color rgb="FFC8D5E5"/>
      </x:bottom>
    </x:border>
    <x:border>
      <x:right style="thin">
        <x:color rgb="FFC8D5E5"/>
      </x:right>
      <x:top style="thin">
        <x:color rgb="FFC8D5E5"/>
      </x:top>
    </x:border>
    <x:border>
      <x:left style="thin">
        <x:color rgb="FFC8D5E5"/>
      </x:left>
      <x:right style="thin">
        <x:color rgb="FFC8D5E5"/>
      </x:right>
      <x:top style="thin">
        <x:color rgb="FFC8D5E5"/>
      </x:top>
    </x:border>
    <x:border>
      <x:left style="thin">
        <x:color rgb="FFC8D5E5"/>
      </x:left>
      <x:top style="thin">
        <x:color rgb="FFC8D5E5"/>
      </x:top>
    </x:border>
    <x:border>
      <x:bottom style="thin">
        <x:color rgb="FFDCE5EF"/>
      </x:bottom>
    </x:border>
    <x:border>
      <x:top style="thin">
        <x:color rgb="FFDCE5EF"/>
      </x:top>
      <x:bottom style="thin">
        <x:color rgb="FFDCE5EF"/>
      </x:bottom>
    </x:border>
    <x:border>
      <x:top style="thin">
        <x:color rgb="FFDCE5EF"/>
      </x:top>
      <x:bottom style="thin">
        <x:color rgb="FFC8D5E5"/>
      </x:bottom>
    </x:border>
  </x:borders>
  <x:cellStyleXfs count="1">
    <x:xf numFmtId="0" fontId="0" fillId="0" borderId="0"/>
  </x:cellStyleXfs>
  <x:cellXfs count="1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1"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9" xfId="0" applyNumberFormat="1" applyFont="1" applyFill="1" applyBorder="1" applyAlignment="1">
      <x:alignment vertical="top" wrapText="1"/>
    </x:xf>
    <x:xf numFmtId="200" fontId="4" fillId="6" borderId="4" xfId="0" applyNumberFormat="1" applyFont="1" applyFill="1" applyBorder="1" applyAlignment="1">
      <x:alignment vertical="top" wrapText="1"/>
    </x:xf>
    <x:xf numFmtId="200" fontId="4" fillId="6" borderId="6" xfId="0" applyNumberFormat="1" applyFont="1" applyFill="1" applyBorder="1" applyAlignment="1">
      <x:alignment vertical="top" wrapText="1"/>
    </x:xf>
    <x:xf numFmtId="200" fontId="4" fillId="6" borderId="9" xfId="0" applyNumberFormat="1" applyFont="1" applyFill="1" applyBorder="1" applyAlignment="1">
      <x:alignment vertical="top" wrapText="1"/>
    </x:xf>
    <x:xf numFmtId="0" fontId="0" fillId="0" borderId="2"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3" xfId="0" applyNumberFormat="1" applyFont="1" applyFill="1" applyBorder="1"/>
    <x:xf numFmtId="0" fontId="0" fillId="0" borderId="1" xfId="0" applyNumberFormat="1" applyFont="1" applyFill="1" applyBorder="1"/>
    <x:xf numFmtId="0" fontId="0" fillId="0" borderId="8" xfId="0" applyNumberFormat="1" applyFont="1" applyFill="1" applyBorder="1"/>
    <x:xf numFmtId="0" fontId="0"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0" fillId="4" borderId="1" xfId="0" applyNumberFormat="1" applyFont="1" applyFill="1" applyBorder="1"/>
    <x:xf numFmtId="0" fontId="5" fillId="3" borderId="0" xfId="0" applyNumberFormat="1" applyFont="1" applyFill="1" applyBorder="1"/>
    <x:xf numFmtId="200" fontId="0" fillId="0"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3" fillId="9" borderId="1" xfId="0" applyNumberFormat="1" applyFont="1" applyFill="1" applyBorder="1" applyAlignment="1">
      <x:alignment vertical="center" wrapText="1"/>
    </x:xf>
    <x:xf numFmtId="0" fontId="7" fillId="0" borderId="0"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93098c39fe4a86" /><Relationship Type="http://schemas.openxmlformats.org/officeDocument/2006/relationships/theme" Target="/xl/theme/theme1.xml" Id="R7322d78fac8d4419" /><Relationship Type="http://schemas.openxmlformats.org/officeDocument/2006/relationships/sharedStrings" Target="/xl/sharedStrings.xml" Id="R23523606179845b8" /><Relationship Type="http://schemas.openxmlformats.org/officeDocument/2006/relationships/worksheet" Target="/xl/worksheets/sheet1.xml" Id="R3db90fa14a3749e6" /><Relationship Type="http://schemas.openxmlformats.org/officeDocument/2006/relationships/worksheet" Target="/xl/worksheets/sheet2.xml" Id="R14480ebef4144c68" /><Relationship Type="http://schemas.openxmlformats.org/officeDocument/2006/relationships/worksheet" Target="/xl/worksheets/sheet3.xml" Id="R7e075c8492884a3c" /><Relationship Type="http://schemas.openxmlformats.org/officeDocument/2006/relationships/worksheet" Target="/xl/worksheets/sheet4.xml" Id="R99f73baa2d3a4da6" /><Relationship Type="http://schemas.openxmlformats.org/officeDocument/2006/relationships/worksheet" Target="/xl/worksheets/sheet5.xml" Id="R8fcb587bff734073" /><Relationship Type="http://schemas.openxmlformats.org/officeDocument/2006/relationships/worksheet" Target="/xl/worksheets/sheet6.xml" Id="R5e8476ca9bb84f4b" /><Relationship Type="http://schemas.openxmlformats.org/officeDocument/2006/relationships/worksheet" Target="/xl/worksheets/sheet7.xml" Id="R197e2869251342ef" /><Relationship Type="http://schemas.openxmlformats.org/officeDocument/2006/relationships/worksheet" Target="/xl/worksheets/sheet8.xml" Id="Re75317f3513a45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2" hidden="0" customWidth="1"/>
    <x:col min="4" max="4" width="38" hidden="0" customWidth="1"/>
    <x:col min="5" max="5" width="16" hidden="0" customWidth="1"/>
    <x:col min="6" max="6" width="18" hidden="0" customWidth="1"/>
    <x:col min="7" max="7" width="18" hidden="0" customWidth="1"/>
    <x:col min="8" max="8" width="18" hidden="0" customWidth="1"/>
  </x:cols>
  <x:sheetData>
    <x:row r="1" ht="30" customHeight="1">
      <x:c r="A1" s="4" t="str">
        <x:v>Mini Rally Phase 0-6 Audit Dashboard</x:v>
      </x:c>
      <x:c r="B1" s="4"/>
      <x:c r="C1" s="4"/>
      <x:c r="D1" s="4"/>
      <x:c r="E1" s="4"/>
      <x:c r="F1" s="4"/>
      <x:c r="G1" s="4"/>
      <x:c r="H1" s="4"/>
    </x:row>
    <x:row r="2" ht="34" customHeight="1">
      <x:c r="A2" s="8" t="str">
        <x:v>Audit tracker cleaned 2026-08-15: obsolete traced cases removed; P5-RP-001 moved to Future Backlog; P5-PI-011 kept as the sole Not Required case without a DEV action.</x:v>
      </x:c>
      <x:c r="B2" s="8"/>
      <x:c r="C2" s="8"/>
      <x:c r="D2" s="8"/>
      <x:c r="E2" s="8"/>
      <x:c r="F2" s="8"/>
      <x:c r="G2" s="8"/>
      <x:c r="H2" s="8"/>
    </x:row>
    <x:row r="4">
      <x:c r="A4" s="11" t="str">
        <x:v>Current Status</x:v>
      </x:c>
      <x:c r="B4" s="11" t="str">
        <x:v>Count</x:v>
      </x:c>
      <x:c r="D4" s="11" t="str">
        <x:v>Scope</x:v>
      </x:c>
      <x:c r="E4" s="11" t="str">
        <x:v>Count</x:v>
      </x:c>
    </x:row>
    <x:row r="5">
      <x:c r="A5" s="77" t="str">
        <x:v>Pass</x:v>
      </x:c>
      <x:c r="B5" s="77" t="n">
        <x:f>COUNTIF('Carryover P0-4'!$L$5:$L$68,A5)+COUNTIF('Phase 5 Scenarios'!$L$5:$L$82,A5)+COUNTIF('Phase 6 Scenarios'!$L$5:$L$57,A5)</x:f>
        <x:v>120</x:v>
      </x:c>
      <x:c r="D5" s="77" t="str">
        <x:v>Carryover P0-4</x:v>
      </x:c>
      <x:c r="E5" s="77" t="n">
        <x:f>COUNTA('Carryover P0-4'!$A$5:$A$68)</x:f>
        <x:v>63</x:v>
      </x:c>
    </x:row>
    <x:row r="6">
      <x:c r="A6" s="77" t="str">
        <x:v>Partial</x:v>
      </x:c>
      <x:c r="B6" s="77" t="n">
        <x:f>COUNTIF('Carryover P0-4'!$L$5:$L$68,A6)+COUNTIF('Phase 5 Scenarios'!$L$5:$L$82,A6)+COUNTIF('Phase 6 Scenarios'!$L$5:$L$57,A6)</x:f>
        <x:v>20</x:v>
      </x:c>
      <x:c r="D6" s="77" t="str">
        <x:v>Phase 5 scenarios</x:v>
      </x:c>
      <x:c r="E6" s="77" t="n">
        <x:f>COUNTA('Phase 5 Scenarios'!$A$5:$A$82)</x:f>
        <x:v>75</x:v>
      </x:c>
    </x:row>
    <x:row r="7">
      <x:c r="A7" s="77" t="str">
        <x:v>Fail</x:v>
      </x:c>
      <x:c r="B7" s="77" t="n">
        <x:f>COUNTIF('Carryover P0-4'!$L$5:$L$68,A7)+COUNTIF('Phase 5 Scenarios'!$L$5:$L$82,A7)+COUNTIF('Phase 6 Scenarios'!$L$5:$L$57,A7)</x:f>
        <x:v>20</x:v>
      </x:c>
      <x:c r="D7" s="77" t="str">
        <x:v>Phase 6 scenarios</x:v>
      </x:c>
      <x:c r="E7" s="77" t="n">
        <x:f>COUNTA('Phase 6 Scenarios'!$A$5:$A$57)</x:f>
        <x:v>53</x:v>
      </x:c>
    </x:row>
    <x:row r="8">
      <x:c r="A8" s="77" t="str">
        <x:v>Blocked</x:v>
      </x:c>
      <x:c r="B8" s="77" t="n">
        <x:f>COUNTIF('Carryover P0-4'!$L$5:$L$68,A8)+COUNTIF('Phase 5 Scenarios'!$L$5:$L$82,A8)+COUNTIF('Phase 6 Scenarios'!$L$5:$L$57,A8)</x:f>
        <x:v>17</x:v>
      </x:c>
      <x:c r="D8" s="77" t="str">
        <x:v>Active scenarios</x:v>
      </x:c>
      <x:c r="E8" s="77" t="n">
        <x:f>SUM(E5:E7)-B10-B11</x:f>
        <x:v>179</x:v>
      </x:c>
    </x:row>
    <x:row r="9">
      <x:c r="A9" s="77" t="str">
        <x:v>Not Run</x:v>
      </x:c>
      <x:c r="B9" s="77" t="n">
        <x:f>COUNTIF('Carryover P0-4'!$L$5:$L$68,A9)+COUNTIF('Phase 5 Scenarios'!$L$5:$L$82,A9)+COUNTIF('Phase 6 Scenarios'!$L$5:$L$57,A9)</x:f>
        <x:v>2</x:v>
      </x:c>
      <x:c r="D9" s="77"/>
      <x:c r="E9" s="77"/>
    </x:row>
    <x:row r="10">
      <x:c r="A10" s="77" t="str">
        <x:v>Future Backlog</x:v>
      </x:c>
      <x:c r="B10" s="77" t="n">
        <x:f>COUNTIF('Carryover P0-4'!$L$5:$L$68,A10)+COUNTIF('Phase 5 Scenarios'!$L$5:$L$82,A10)+COUNTIF('Phase 6 Scenarios'!$L$5:$L$57,A10)</x:f>
        <x:v>11</x:v>
      </x:c>
      <x:c r="D10" s="77" t="str">
        <x:v>Audit coverage</x:v>
      </x:c>
      <x:c r="E10" s="89" t="n">
        <x:f>IF(E8=0,0,(B5+B6+B7+B8)/E8)</x:f>
        <x:v>0.9888268156424581</x:v>
      </x:c>
    </x:row>
    <x:row r="11">
      <x:c r="A11" s="77" t="str">
        <x:v>Not Required</x:v>
      </x:c>
      <x:c r="B11" s="77" t="n">
        <x:f>COUNTIF('Carryover P0-4'!$L$5:$L$68,A11)+COUNTIF('Phase 5 Scenarios'!$L$5:$L$82,A11)+COUNTIF('Phase 6 Scenarios'!$L$5:$L$57,A11)</x:f>
        <x:v>1</x:v>
      </x:c>
    </x:row>
    <x:row r="13">
      <x:c r="A13" s="91" t="str">
        <x:v>Current dependencies</x:v>
      </x:c>
      <x:c r="B13" s="91"/>
      <x:c r="C13" s="91"/>
      <x:c r="D13" s="91"/>
      <x:c r="E13" s="91"/>
      <x:c r="F13" s="91"/>
      <x:c r="G13" s="91"/>
      <x:c r="H13" s="91"/>
    </x:row>
    <x:row r="14">
      <x:c r="A14" s="70" t="str">
        <x:v>1</x:v>
      </x:c>
      <x:c r="B14" s="82" t="str">
        <x:v>Test data</x:v>
      </x:c>
      <x:c r="C14" s="82" t="str">
        <x:v>AUDIT26 has Milestones, Releases, Features, Work Items, Tasks and report data. A second Team cannot be created because Team lead = Unassigned returns Validation failed.</x:v>
      </x:c>
      <x:c r="D14" s="82" t="str">
        <x:v>Keeps split-allocation and multi-Team Capacity Planning branches blocked.</x:v>
      </x:c>
      <x:c r="E14" s="82"/>
      <x:c r="F14" s="82"/>
      <x:c r="G14" s="82"/>
      <x:c r="H14" s="71"/>
    </x:row>
    <x:row r="15">
      <x:c r="A15" s="72" t="str">
        <x:v>2</x:v>
      </x:c>
      <x:c r="B15" s="83" t="str">
        <x:v>Test accounts</x:v>
      </x:c>
      <x:c r="C15" s="83" t="str">
        <x:v>Workspace Admin plus Project-scoped Admin and Editor sessions are required; include one Project with no assignment.</x:v>
      </x:c>
      <x:c r="D15" s="83" t="str">
        <x:v>Blocks current access-level and denied-route proof. Viewer/selectable No Access are Future Backlog.</x:v>
      </x:c>
      <x:c r="E15" s="83"/>
      <x:c r="F15" s="83"/>
      <x:c r="G15" s="83"/>
      <x:c r="H15" s="73"/>
    </x:row>
    <x:row r="16">
      <x:c r="A16" s="72" t="str">
        <x:v>3</x:v>
      </x:c>
      <x:c r="B16" s="83" t="str">
        <x:v>Notification data</x:v>
      </x:c>
      <x:c r="C16" s="83" t="str">
        <x:v>Safe recipient and notification rows are required</x:v>
      </x:c>
      <x:c r="D16" s="83" t="str">
        <x:v>Carries blocked Phase 4 cases</x:v>
      </x:c>
      <x:c r="E16" s="83"/>
      <x:c r="F16" s="83"/>
      <x:c r="G16" s="83"/>
      <x:c r="H16" s="73"/>
    </x:row>
    <x:row r="17">
      <x:c r="A17" s="74" t="str">
        <x:v>4</x:v>
      </x:c>
      <x:c r="B17" s="84" t="str">
        <x:v>Execution owner</x:v>
      </x:c>
      <x:c r="C17" s="84" t="str">
        <x:v>BA/User runs cases; Codex retests only a requested Scenario ID</x:v>
      </x:c>
      <x:c r="D17" s="84" t="str">
        <x:v>Use Test Guide and record results in the scenario row</x:v>
      </x:c>
      <x:c r="E17" s="84"/>
      <x:c r="F17" s="84"/>
      <x:c r="G17" s="84"/>
      <x:c r="H17" s="75"/>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0" customHeight="1">
      <x:c r="A1" s="4" t="str">
        <x:v>Hướng dẫn chạy và ghi nhận test</x:v>
      </x:c>
      <x:c r="B1" s="4"/>
      <x:c r="C1" s="4"/>
      <x:c r="D1" s="4"/>
      <x:c r="E1" s="4"/>
      <x:c r="F1" s="4"/>
      <x:c r="G1" s="4"/>
      <x:c r="H1" s="4"/>
    </x:row>
    <x:row r="2" ht="34" customHeight="1">
      <x:c r="A2" s="8" t="str">
        <x:v>Bạn là người chạy test chính. Codex chỉ chạy lại case khi bạn gọi đúng Scenario ID.</x:v>
      </x:c>
      <x:c r="B2" s="8"/>
      <x:c r="C2" s="8"/>
      <x:c r="D2" s="8"/>
      <x:c r="E2" s="8"/>
      <x:c r="F2" s="8"/>
      <x:c r="G2" s="8"/>
      <x:c r="H2" s="8"/>
    </x:row>
    <x:row r="4">
      <x:c r="A4" s="11" t="str">
        <x:v>Mục</x:v>
      </x:c>
      <x:c r="B4" s="11" t="str">
        <x:v>Cách thực hiện</x:v>
      </x:c>
    </x:row>
    <x:row r="5">
      <x:c r="A5" s="70" t="str">
        <x:v>1. Chọn case</x:v>
      </x:c>
      <x:c r="B5" s="71" t="str">
        <x:v>Lọc theo Phase/Module/Priority và chọn một Scenario ID. Chạy P0 trước P1 khi cùng chức năng.</x:v>
      </x:c>
    </x:row>
    <x:row r="6">
      <x:c r="A6" s="72" t="str">
        <x:v>2. Kiểm tra điều kiện</x:v>
      </x:c>
      <x:c r="B6" s="73" t="str">
        <x:v>Đọc Preconditions và Test Data. Nếu thiếu account/data/environment, không đoán: chọn Blocked và ghi rõ điều kiện thiếu.</x:v>
      </x:c>
    </x:row>
    <x:row r="7">
      <x:c r="A7" s="72" t="str">
        <x:v>3. Chạy đúng bước</x:v>
      </x:c>
      <x:c r="B7" s="73" t="str">
        <x:v>Thực hiện Detailed Test Steps theo thứ tự. Không sửa record nghiệp vụ có sẵn; dữ liệu mới dùng prefix P56-AUDIT.</x:v>
      </x:c>
    </x:row>
    <x:row r="8">
      <x:c r="A8" s="72" t="str">
        <x:v>4. Ghi Actual Result</x:v>
      </x:c>
      <x:c r="B8" s="73" t="str">
        <x:v>Mô tả ngắn: thao tác nào đã làm, hệ thống trả về gì, giá trị trước/sau và hành vi sau reload.</x:v>
      </x:c>
    </x:row>
    <x:row r="9">
      <x:c r="A9" s="72" t="str">
        <x:v>5. Chọn Current Status</x:v>
      </x:c>
      <x:c r="B9" s="73" t="str">
        <x:v>Pass nếu toàn bộ Expected Result đúng; Partial nếu chỉ đúng một phần; Fail nếu lệch; Blocked nếu không chạy được; Not Run nếu chưa chạy.</x:v>
      </x:c>
    </x:row>
    <x:row r="10">
      <x:c r="A10" s="72" t="str">
        <x:v>6. Gắn Evidence</x:v>
      </x:c>
      <x:c r="B10" s="73" t="str">
        <x:v>Điền đường dẫn screenshot/video/log. Tên gợi ý: evidence/&lt;Scenario-ID&gt;/01-before.png, 02-action.png, 03-result.png.</x:v>
      </x:c>
    </x:row>
    <x:row r="11">
      <x:c r="A11" s="72" t="str">
        <x:v>7. Ghi Gap / Comment</x:v>
      </x:c>
      <x:c r="B11" s="73" t="str">
        <x:v>Nếu Partial/Fail, nêu điểm lệch cụ thể, bước tái hiện và hướng mong muốn. Có thể gán Gap ID sau khi BA xác nhận.</x:v>
      </x:c>
    </x:row>
    <x:row r="12">
      <x:c r="A12" s="74" t="str">
        <x:v>8. Nhờ Codex retest</x:v>
      </x:c>
      <x:c r="B12" s="75" t="str">
        <x:v>Gửi đúng mã, ví dụ: 'Test lại P6-VEL-010'. Codex sẽ chỉ chạy case đó, cập nhật Actual Result/Evidence và chờ bạn confirm.</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5" hidden="0" customWidth="1"/>
    <x:col min="4" max="4" width="34" hidden="0" customWidth="1"/>
    <x:col min="5" max="5" width="48" hidden="0" customWidth="1"/>
    <x:col min="6" max="6" width="38" hidden="0" customWidth="1"/>
    <x:col min="7" max="7" width="16" hidden="0" customWidth="1"/>
    <x:col min="8" max="8" width="16" hidden="0" customWidth="1"/>
  </x:cols>
  <x:sheetData>
    <x:row r="1" ht="30" customHeight="1">
      <x:c r="A1" s="4" t="str">
        <x:v>Phase 0-6 Test Execution Plan</x:v>
      </x:c>
      <x:c r="B1" s="4"/>
      <x:c r="C1" s="4"/>
      <x:c r="D1" s="4"/>
      <x:c r="E1" s="4"/>
      <x:c r="F1" s="4"/>
      <x:c r="G1" s="4"/>
      <x:c r="H1" s="4"/>
    </x:row>
    <x:row r="2" ht="34" customHeight="1">
      <x:c r="A2" s="8" t="str">
        <x:v>Run one function group at a time: expected -&gt; deployed evidence -&gt; BA confirmation -&gt; next.</x:v>
      </x:c>
      <x:c r="B2" s="8"/>
      <x:c r="C2" s="8"/>
      <x:c r="D2" s="8"/>
      <x:c r="E2" s="8"/>
      <x:c r="F2" s="8"/>
      <x:c r="G2" s="8"/>
      <x:c r="H2" s="8"/>
    </x:row>
    <x:row r="4">
      <x:c r="A4" s="12" t="str">
        <x:v>Step</x:v>
      </x:c>
      <x:c r="B4" s="12" t="str">
        <x:v>Phase</x:v>
      </x:c>
      <x:c r="C4" s="12" t="str">
        <x:v>Area</x:v>
      </x:c>
      <x:c r="D4" s="12" t="str">
        <x:v>Preconditions</x:v>
      </x:c>
      <x:c r="E4" s="12" t="str">
        <x:v>Test Activities</x:v>
      </x:c>
      <x:c r="F4" s="12" t="str">
        <x:v>Exit Criteria</x:v>
      </x:c>
      <x:c r="G4" s="12" t="str">
        <x:v>Owner</x:v>
      </x:c>
      <x:c r="H4" s="12" t="str">
        <x:v>Status</x:v>
      </x:c>
    </x:row>
    <x:row r="5">
      <x:c r="A5" s="70" t="n">
        <x:v>0</x:v>
      </x:c>
      <x:c r="B5" s="82" t="str">
        <x:v>Setup</x:v>
      </x:c>
      <x:c r="C5" s="82" t="str">
        <x:v>Environment and evidence</x:v>
      </x:c>
      <x:c r="D5" s="82" t="str">
        <x:v>Signed-in URL; build; safe Project</x:v>
      </x:c>
      <x:c r="E5" s="82" t="str">
        <x:v>Confirm scope, accounts, data and evidence naming</x:v>
      </x:c>
      <x:c r="F5" s="82" t="str">
        <x:v>Dependencies recorded</x:v>
      </x:c>
      <x:c r="G5" s="82" t="str">
        <x:v>BA + Tester</x:v>
      </x:c>
      <x:c r="H5" s="71" t="str">
        <x:v>In Progress</x:v>
      </x:c>
    </x:row>
    <x:row r="6">
      <x:c r="A6" s="72" t="n">
        <x:v>1</x:v>
      </x:c>
      <x:c r="B6" s="83" t="str">
        <x:v>P0-4</x:v>
      </x:c>
      <x:c r="C6" s="83" t="str">
        <x:v>Carryover regression</x:v>
      </x:c>
      <x:c r="D6" s="83" t="str">
        <x:v>Latest deployment</x:v>
      </x:c>
      <x:c r="E6" s="83" t="str">
        <x:v>Re-run all active carryover rows</x:v>
      </x:c>
      <x:c r="F6" s="83" t="str">
        <x:v>No unresolved row lacks a current result</x:v>
      </x:c>
      <x:c r="G6" s="83" t="str">
        <x:v>BA/User</x:v>
      </x:c>
      <x:c r="H6" s="73" t="str">
        <x:v>Pending</x:v>
      </x:c>
    </x:row>
    <x:row r="7">
      <x:c r="A7" s="72" t="n">
        <x:v>2</x:v>
      </x:c>
      <x:c r="B7" s="83" t="str">
        <x:v>P5</x:v>
      </x:c>
      <x:c r="C7" s="83" t="str">
        <x:v>Navigation and RBAC</x:v>
      </x:c>
      <x:c r="D7" s="83" t="str">
        <x:v>Workspace Admin, assigned-Project Admin, Editor and unassigned-user contexts</x:v>
      </x:c>
      <x:c r="E7" s="83" t="str">
        <x:v>Portfolio routes, scope and action gates</x:v>
      </x:c>
      <x:c r="F7" s="83" t="str">
        <x:v>Current access baseline confirmed</x:v>
      </x:c>
      <x:c r="G7" s="83" t="str">
        <x:v>BA/User</x:v>
      </x:c>
      <x:c r="H7" s="73" t="str">
        <x:v>Pending</x:v>
      </x:c>
    </x:row>
    <x:row r="8">
      <x:c r="A8" s="72" t="n">
        <x:v>3</x:v>
      </x:c>
      <x:c r="B8" s="83" t="str">
        <x:v>P5</x:v>
      </x:c>
      <x:c r="C8" s="83" t="str">
        <x:v>Portfolio Items</x:v>
      </x:c>
      <x:c r="D8" s="83" t="str">
        <x:v>Epic/Feature/Work Item data</x:v>
      </x:c>
      <x:c r="E8" s="83" t="str">
        <x:v>CRUD, hierarchy, inline, children and archive</x:v>
      </x:c>
      <x:c r="F8" s="83" t="str">
        <x:v>Identity and lifecycle confirmed</x:v>
      </x:c>
      <x:c r="G8" s="83" t="str">
        <x:v>BA/User</x:v>
      </x:c>
      <x:c r="H8" s="73" t="str">
        <x:v>Pending</x:v>
      </x:c>
    </x:row>
    <x:row r="9">
      <x:c r="A9" s="72" t="n">
        <x:v>4</x:v>
      </x:c>
      <x:c r="B9" s="83" t="str">
        <x:v>P5</x:v>
      </x:c>
      <x:c r="C9" s="83" t="str">
        <x:v>Capacity Planning</x:v>
      </x:c>
      <x:c r="D9" s="83" t="str">
        <x:v>Releases, Teams and Features</x:v>
      </x:c>
      <x:c r="E9" s="83" t="str">
        <x:v>Draft, allocation, formulas, publish/revert</x:v>
      </x:c>
      <x:c r="F9" s="83" t="str">
        <x:v>Plan lifecycle confirmed after reload</x:v>
      </x:c>
      <x:c r="G9" s="83" t="str">
        <x:v>BA/User</x:v>
      </x:c>
      <x:c r="H9" s="73" t="str">
        <x:v>Pending</x:v>
      </x:c>
    </x:row>
    <x:row r="10">
      <x:c r="A10" s="72" t="n">
        <x:v>5</x:v>
      </x:c>
      <x:c r="B10" s="83" t="str">
        <x:v>P6</x:v>
      </x:c>
      <x:c r="C10" s="83" t="str">
        <x:v>Release Tracking</x:v>
      </x:c>
      <x:c r="D10" s="83" t="str">
        <x:v>Controlled Direct/Derived/Unparented data</x:v>
      </x:c>
      <x:c r="E10" s="83" t="str">
        <x:v>Buckets, units, issues, totals and history</x:v>
      </x:c>
      <x:c r="F10" s="83" t="str">
        <x:v>RT acceptance checklist closed</x:v>
      </x:c>
      <x:c r="G10" s="83" t="str">
        <x:v>BA/User</x:v>
      </x:c>
      <x:c r="H10" s="73" t="str">
        <x:v>Completed</x:v>
      </x:c>
    </x:row>
    <x:row r="11">
      <x:c r="A11" s="72" t="n">
        <x:v>6</x:v>
      </x:c>
      <x:c r="B11" s="83" t="str">
        <x:v>P6</x:v>
      </x:c>
      <x:c r="C11" s="83" t="str">
        <x:v>Reports</x:v>
      </x:c>
      <x:c r="D11" s="83" t="str">
        <x:v>Snapshots, acceptedDate, tasks and capacity</x:v>
      </x:c>
      <x:c r="E11" s="83" t="str">
        <x:v>Burndown, Velocity and Team Capacity calculations</x:v>
      </x:c>
      <x:c r="F11" s="83" t="str">
        <x:v>All formulas match controlled data</x:v>
      </x:c>
      <x:c r="G11" s="83" t="str">
        <x:v>BA/User</x:v>
      </x:c>
      <x:c r="H11" s="73" t="str">
        <x:v>Completed</x:v>
      </x:c>
    </x:row>
    <x:row r="12">
      <x:c r="A12" s="72" t="n">
        <x:v>7</x:v>
      </x:c>
      <x:c r="B12" s="83" t="str">
        <x:v>P0-6</x:v>
      </x:c>
      <x:c r="C12" s="83" t="str">
        <x:v>E2E regression</x:v>
      </x:c>
      <x:c r="D12" s="83" t="str">
        <x:v>All prior steps usable</x:v>
      </x:c>
      <x:c r="E12" s="83" t="str">
        <x:v>Portfolio -&gt; delivery -&gt; release -&gt; report flow</x:v>
      </x:c>
      <x:c r="F12" s="83" t="str">
        <x:v>One traceable lifecycle passes</x:v>
      </x:c>
      <x:c r="G12" s="83" t="str">
        <x:v>BA/User</x:v>
      </x:c>
      <x:c r="H12" s="73" t="str">
        <x:v>Completed</x:v>
      </x:c>
    </x:row>
    <x:row r="13">
      <x:c r="A13" s="74" t="n">
        <x:v>8</x:v>
      </x:c>
      <x:c r="B13" s="84" t="str">
        <x:v>Handoff</x:v>
      </x:c>
      <x:c r="C13" s="84" t="str">
        <x:v>DEV/BA split</x:v>
      </x:c>
      <x:c r="D13" s="84" t="str">
        <x:v>All results BA-confirmed</x:v>
      </x:c>
      <x:c r="E13" s="84" t="str">
        <x:v>Package DEV fixes and BA doc/mockup updates</x:v>
      </x:c>
      <x:c r="F13" s="84" t="str">
        <x:v>Owners and retest gates clear</x:v>
      </x:c>
      <x:c r="G13" s="84" t="str">
        <x:v>BA</x:v>
      </x:c>
      <x:c r="H13" s="75" t="str">
        <x:v>Pending</x:v>
      </x:c>
    </x:row>
  </x:sheetData>
  <x:mergeCells>
    <x:mergeCell ref="A1:H1"/>
    <x:mergeCell ref="A2:H2"/>
  </x:mergeCells>
  <x:dataValidations count="1">
    <x:dataValidation type="list" sqref="H5:H13">
      <x:formula1>"Pending,In Progress,Complete,Blocked"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Carryover Phase 0-4</x:v>
      </x:c>
      <x:c r="B1" s="4"/>
      <x:c r="C1" s="4"/>
      <x:c r="D1" s="4"/>
      <x:c r="E1" s="4"/>
      <x:c r="F1" s="4"/>
      <x:c r="G1" s="4"/>
      <x:c r="H1" s="4"/>
      <x:c r="I1" s="4"/>
      <x:c r="J1" s="4"/>
      <x:c r="K1" s="4"/>
      <x:c r="L1" s="4"/>
      <x:c r="M1" s="4"/>
      <x:c r="N1" s="4"/>
      <x:c r="O1" s="4"/>
      <x:c r="P1" s="4"/>
      <x:c r="Q1" s="4"/>
      <x:c r="R1" s="4"/>
    </x:row>
    <x:row r="2" ht="34" customHeight="1">
      <x:c r="A2" s="8" t="str">
        <x:v>Historical Phase 0-4 carryover. Current Project authorization is defined in Current Access Baseline; former global Project role wording is retained only as execution history.</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GAP-P0-AUTH-001</x:v>
      </x:c>
      <x:c r="B5" s="44" t="str">
        <x:v>Phase 0</x:v>
      </x:c>
      <x:c r="C5" s="44" t="str">
        <x:v>Login</x:v>
      </x:c>
      <x:c r="D5" s="44" t="str">
        <x:v>P1</x:v>
      </x:c>
      <x:c r="E5" s="35" t="str">
        <x:v>Authentication method</x:v>
      </x:c>
      <x:c r="F5" s="35" t="str">
        <x:v>DevInt truy cập được và không có lỗi tải trang nghiêm trọng.
Đã sign out hoặc dùng phiên chưa đăng nhập.</x:v>
      </x:c>
      <x:c r="G5" s="35" t="str">
        <x:v>Tài khoản test hợp lệ; email không có quyền hoặc credential sai khi case yêu cầu negative test; phiên browser đã sign out.</x:v>
      </x:c>
      <x:c r="H5" s="35" t="str">
        <x:v>1. Mở https://rally-dev.qnsc.vn/ và xác nhận đúng tài khoản/role của case.
2. Chọn Workspace/Project/Team theo Test Data; ghi lại scope trước khi thao tác.
3. Mở /login; chụp trạng thái ban đầu nếu case liên quan UI, số liệu hoặc quyền.
4. Thực hiện nghiệp vụ: Tại màn hình Login, kiểm tra chức năng "Authentication method"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/login offers only Sign in with Microsoft. It redirects to Microsoft Entra ID and returns to / Home after successful sign-in with hieuvbm@qnsc.vn..
8. Kiểm tra hướng sửa đã chốt: Recommended: make Microsoft SSO the authoritative internal-product rule; update Phase 0 SRS, login mockup and tests to SSO-first, and move local password/forgot/reset/change-password to Future Backlog. If local auth is still required, DevInt must add an explicit local sign-in path..
9. Ghi Actual Result, chọn Current Status, điền Evidence và Gap/Comment trong chính dòng case.</x:v>
      </x:c>
      <x:c r="I5" s="35" t="str">
        <x:v>Phase 0 SRS/mockup require local email + password, show/hide password, remember-me and generic invalid-credential handling; enterprise SSO/OAuth is explicitly out of scope.</x:v>
      </x:c>
      <x:c r="J5" s="35" t="str">
        <x:v>P0-AUTH-01</x:v>
      </x:c>
      <x:c r="K5" s="35" t="str">
        <x:v>Still Open</x:v>
      </x:c>
      <x:c r="L5" s="49" t="str">
        <x:v>Pass</x:v>
      </x:c>
      <x:c r="M5" s="49" t="str">
        <x:v>Microsoft SSO entry and callback work; tracker expectation was stale and must follow current SSO SRS.</x:v>
      </x:c>
      <x:c r="N5" s="49" t="str">
        <x:v>https://rally-dev.qnsc.vn/login</x:v>
      </x:c>
      <x:c r="O5" s="49" t="str">
        <x:v>No open gap in this retest.</x:v>
      </x:c>
      <x:c r="P5" s="49" t="str">
        <x:v>Codex DevInt retest</x:v>
      </x:c>
      <x:c r="Q5" s="49" t="str">
        <x:v>Pending BA review</x:v>
      </x:c>
      <x:c r="R5" s="55" t="n">
        <x:v>46248</x:v>
      </x:c>
    </x:row>
    <x:row r="6">
      <x:c r="A6" s="45" t="str">
        <x:v>GAP-P0-SHELL-002</x:v>
      </x:c>
      <x:c r="B6" s="46" t="str">
        <x:v>Phase 0</x:v>
      </x:c>
      <x:c r="C6" s="46" t="str">
        <x:v>Global navigation</x:v>
      </x:c>
      <x:c r="D6" s="46" t="str">
        <x:v>P1</x:v>
      </x:c>
      <x:c r="E6" s="38" t="str">
        <x:v>Portfolio menu behavior — C2 reconciled</x:v>
      </x:c>
      <x:c r="F6" s="38" t="str">
        <x:v>DevInt truy cập được và không có lỗi tải trang nghiêm trọng.
Đăng nhập bằng đúng role nêu trong case; nếu case không nêu role thì dùng Workspace Admin.</x:v>
      </x:c>
      <x:c r="G6" s="38" t="str">
        <x:v>Dùng dữ liệu test riêng trong Project TEST. Nếu chưa có dữ liệu bắt buộc, ghi Blocked và nêu rõ dữ liệu còn thiếu.</x:v>
      </x:c>
      <x:c r="H6" s="38" t="str">
        <x:v>1. Open DevInt and inspect Portfolio navigation.
2. Verify Portfolio Items, Capacity Planning and Release Tracking are available.
3. Confirm Release Planning is not an active entry and remains Future Backlog.
4. Record the result without treating the absent Release Planning entry as a defect.</x:v>
      </x:c>
      <x:c r="I6" s="38" t="str">
        <x:v>Portfolio dropdown contains Portfolio Items, Capacity Planning and Release Tracking. Release Planning remains Future Backlog and is not an active navigation item.</x:v>
      </x:c>
      <x:c r="J6" s="38" t="str">
        <x:v>P0-SHELL-01</x:v>
      </x:c>
      <x:c r="K6" s="38" t="str">
        <x:v>Still Open</x:v>
      </x:c>
      <x:c r="L6" s="51" t="str">
        <x:v>Pass</x:v>
      </x:c>
      <x:c r="M6" s="51" t="str">
        <x:v>Pass / Not a Defect. DevInt matches the C2-confirmed Portfolio menu; the historical Release Planning expectation was stale.</x:v>
      </x:c>
      <x:c r="N6" s="51" t="str">
        <x:v>evidence/retest_2026-07-24/P0-SHELL-01-dev.png; evidence/retest_2026-07-24/P0-SHELL-01-mock.png</x:v>
      </x:c>
      <x:c r="O6" s="51" t="str">
        <x:v>Closed by BA decision C2. No DEV fix required for this gap.</x:v>
      </x:c>
      <x:c r="P6" s="51" t="str">
        <x:v>Codex</x:v>
      </x:c>
      <x:c r="Q6" s="51" t="str">
        <x:v>Confirmed C2 — Closed / Not a Defect</x:v>
      </x:c>
      <x:c r="R6" s="56" t="n">
        <x:v>46243</x:v>
      </x:c>
    </x:row>
    <x:row r="7">
      <x:c r="A7" s="45" t="str">
        <x:v>GAP-P0-SHELL-004</x:v>
      </x:c>
      <x:c r="B7" s="46" t="str">
        <x:v>Phase 0</x:v>
      </x:c>
      <x:c r="C7" s="46" t="str">
        <x:v>Global navigation</x:v>
      </x:c>
      <x:c r="D7" s="46" t="str">
        <x:v>P2</x:v>
      </x:c>
      <x:c r="E7" s="38" t="str">
        <x:v>Iteration Status label</x:v>
      </x:c>
      <x:c r="F7" s="38" t="str">
        <x:v>DevInt truy cập được và không có lỗi tải trang nghiêm trọng.
Đăng nhập bằng đúng role nêu trong case; nếu case không nêu role thì dùng Workspace Admin.</x:v>
      </x:c>
      <x:c r="G7" s="38" t="str">
        <x:v>Project TEST; một Iteration active và một Iteration completed; Work Item/Task có thể nhận biết bằng prefix P56-AUDIT.</x:v>
      </x:c>
      <x:c r="H7" s="38" t="str">
        <x:v>1. Mở https://rally-dev.qnsc.vn/ và xác nhận đúng tài khoản/role của case.
2. Chọn Workspace/Project/Team theo Test Data; ghi lại scope trước khi thao tác.
3. Mở global header/navigation; chụp trạng thái ban đầu nếu case liên quan UI, số liệu hoặc quyền.
4. Thực hiện nghiệp vụ: Tại màn hình Global navigation, kiểm tra chức năng "Iteration Status label"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Track &gt; Iteration and Track &gt; Team Status. No Team Board item is present..
8. Kiểm tra hướng sửa đã chốt: Rename the DevInt Track child from Iteration to Iteration Status. Keep Team Status and continue excluding Team Board..
9. Ghi Actual Result, chọn Current Status, điền Evidence và Gap/Comment trong chính dòng case.</x:v>
      </x:c>
      <x:c r="I7" s="38" t="str">
        <x:v>Track dropdown uses the explicit child label Iteration Status; Team Status remains the other current Track child and Team Board is future backlog.</x:v>
      </x:c>
      <x:c r="J7" s="38" t="str">
        <x:v>P0-SHELL-01</x:v>
      </x:c>
      <x:c r="K7" s="38" t="str">
        <x:v>Still Open</x:v>
      </x:c>
      <x:c r="L7" s="51" t="str">
        <x:v>Pass</x:v>
      </x:c>
      <x:c r="M7" s="51" t="str">
        <x:v>Track menu shows Iteration Status and Team Status.</x:v>
      </x:c>
      <x:c r="N7" s="51" t="str">
        <x:v>evidence/retest_2026-07-24/P0-SHELL-01-dev.png; evidence/retest_2026-07-24/P0-SHELL-01-mock.png</x:v>
      </x:c>
      <x:c r="O7" s="51"/>
      <x:c r="P7" s="51" t="str">
        <x:v>Codex</x:v>
      </x:c>
      <x:c r="Q7" s="51" t="str">
        <x:v>Fix Direction Approved</x:v>
      </x:c>
      <x:c r="R7" s="56" t="str">
        <x:v>2026-08-05</x:v>
      </x:c>
    </x:row>
    <x:row r="8">
      <x:c r="A8" s="45" t="str">
        <x:v>GAP-P0-SHELL-006</x:v>
      </x:c>
      <x:c r="B8" s="46" t="str">
        <x:v>Phase 0</x:v>
      </x:c>
      <x:c r="C8" s="46" t="str">
        <x:v>Global Search</x:v>
      </x:c>
      <x:c r="D8" s="46" t="str">
        <x:v>P2</x:v>
      </x:c>
      <x:c r="E8" s="38" t="str">
        <x:v>Functional search scope</x:v>
      </x:c>
      <x:c r="F8" s="38" t="str">
        <x:v>DevInt truy cập được và không có lỗi tải trang nghiêm trọng.
Đăng nhập bằng đúng role nêu trong case; nếu case không nêu role thì dùng Workspace Admin.</x:v>
      </x:c>
      <x:c r="G8" s="38" t="str">
        <x:v>Dùng dữ liệu test riêng trong Project TEST. Nếu chưa có dữ liệu bắt buộc, ghi Blocked và nêu rõ dữ liệu còn thiếu.</x:v>
      </x:c>
      <x:c r="H8" s="38" t="str">
        <x:v>1. Mở https://rally-dev.qnsc.vn/ và xác nhận đúng tài khoản/role của case.
2. Chọn Workspace/Project/Team theo Test Data; ghi lại scope trước khi thao tác.
3. Mở Global Search; chụp trạng thái ban đầu nếu case liên quan UI, số liệu hoặc quyền.
4. Thực hiện nghiệp vụ: Tại màn hình Global Search, kiểm tra chức năng "Functional search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the input and accepts text, but DE-1, Enter, and DEVINT-NO-MATCH-999 produced no overlay, results, empty state, or route change..
8. Kiểm tra hướng sửa đã chốt: 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
9. Ghi Actual Result, chọn Current Status, điền Evidence và Gap/Comment trong chính dòng case.</x:v>
      </x:c>
      <x:c r="I8" s="38" t="str">
        <x:v>Phase 0 App Shell SRS SHELL-FR-009 allows Global Search to be contract-only; a later functional search should return permitted Work Items and preserve identity when opening a result.</x:v>
      </x:c>
      <x:c r="J8" s="38" t="str">
        <x:v>P0-SHELL-03</x:v>
      </x:c>
      <x:c r="K8" s="38" t="str">
        <x:v>Future Backlog</x:v>
      </x:c>
      <x:c r="L8" s="51" t="str">
        <x:v>Future Backlog</x:v>
      </x:c>
      <x:c r="M8" s="51"/>
      <x:c r="N8" s="51" t="str">
        <x:v>evidence/retest_2026-07-24/P0-SHELL-01-dev.png</x:v>
      </x:c>
      <x:c r="O8" s="51" t="str">
        <x:v>Current build retest 2026-07-24: Global Search remains visual-only/non-functional, consistent with Future Backlog scope. BA confirmed 2026-07-24: move this item to Future Backlog; not part of current dev fix package.</x:v>
      </x:c>
      <x:c r="P8" s="51"/>
      <x:c r="Q8" s="51" t="str">
        <x:v>Future Backlog Approved</x:v>
      </x:c>
      <x:c r="R8" s="56"/>
    </x:row>
    <x:row r="9">
      <x:c r="A9" s="45" t="str">
        <x:v>GAP-P0-WS-002</x:v>
      </x:c>
      <x:c r="B9" s="46" t="str">
        <x:v>Phase 0</x:v>
      </x:c>
      <x:c r="C9" s="46" t="str">
        <x:v>Workspace identity</x:v>
      </x:c>
      <x:c r="D9" s="46" t="str">
        <x:v>P1</x:v>
      </x:c>
      <x:c r="E9" s="38" t="str">
        <x:v>Company display-name editability</x:v>
      </x:c>
      <x:c r="F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9" s="38" t="str">
        <x:v>Dùng dữ liệu test riêng trong Project TEST. Nếu chưa có dữ liệu bắt buộc, ghi Blocked và nêu rõ dữ liệu còn thiếu.</x:v>
      </x:c>
      <x:c r="H9" s="38" t="str">
        <x:v>1. Mở https://rally-dev.qnsc.vn/ và xác nhận đúng tài khoản/role của case.
2. Chọn Workspace/Project/Team theo Test Data; ghi lại scope trước khi thao tác.
3. Mở Workspace identity; chụp trạng thái ban đầu nếu case liên quan UI, số liệu hoặc quyền.
4. Thực hiện nghiệp vụ: Tại màn hình Workspace identity, kiểm tra chức năng "Company display-name editability"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Workspace Settings exposes an enabled required Workspace name textbox containing ACME Corp and a Save changes button..
8. Kiểm tra hướng sửa đã chốt: Keep DevInt Workspace name editing. Reconcile SRS and mockup to allow Workspace Admin rename, with required-name validation, authorization, save feedback and audit-event acceptance criteria..
9. Ghi Actual Result, chọn Current Status, điền Evidence và Gap/Comment trong chính dòng case.</x:v>
      </x:c>
      <x:c r="I9" s="38" t="str">
        <x:v>BA-confirmed rule: Workspace Admin may edit Workspace name, while users still cannot create, switch, archive or delete Workspaces in the MVP.</x:v>
      </x:c>
      <x:c r="J9" s="38" t="str">
        <x:v>P0-WS-01</x:v>
      </x:c>
      <x:c r="K9" s="38" t="str">
        <x:v>Future Backlog</x:v>
      </x:c>
      <x:c r="L9" s="51" t="str">
        <x:v>Future Backlog</x:v>
      </x:c>
      <x:c r="M9" s="51"/>
      <x:c r="N9" s="51" t="str">
        <x:v>evidence/retest_2026-07-24/P0-WS-01-dev.png</x:v>
      </x:c>
      <x:c r="O9" s="51" t="str">
        <x:v>Current build retest 2026-07-24: Workspace name is editable; separate Company/Environment CRUD is not required by confirmed business scope. BA confirmed 2026-07-24: move this item to Future Backlog; not part of current dev fix package.</x:v>
      </x:c>
      <x:c r="P9" s="51"/>
      <x:c r="Q9" s="51" t="str">
        <x:v>Docs Change Approved / Future Backlog</x:v>
      </x:c>
      <x:c r="R9" s="56"/>
    </x:row>
    <x:row r="10">
      <x:c r="A10" s="45" t="str">
        <x:v>GAP-P0-PRJ-001</x:v>
      </x:c>
      <x:c r="B10" s="46" t="str">
        <x:v>Phase 0</x:v>
      </x:c>
      <x:c r="C10" s="46" t="str">
        <x:v>Workspaces &amp; Projects</x:v>
      </x:c>
      <x:c r="D10" s="46" t="str">
        <x:v>P2</x:v>
      </x:c>
      <x:c r="E10" s="38" t="str">
        <x:v>Screen and owner labels</x:v>
      </x:c>
      <x:c r="F10" s="38" t="str">
        <x:v>DevInt truy cập được và không có lỗi tải trang nghiêm trọng.
Đăng nhập bằng đúng role nêu trong case; nếu case không nêu role thì dùng Workspace Admin.</x:v>
      </x:c>
      <x:c r="G10" s="38" t="str">
        <x:v>Dùng dữ liệu test riêng trong Project TEST. Nếu chưa có dữ liệu bắt buộc, ghi Blocked và nêu rõ dữ liệu còn thiếu.</x:v>
      </x:c>
      <x:c r="H10" s="38" t="str">
        <x:v>1. Mở https://rally-dev.qnsc.vn/ và xác nhận đúng tài khoản/role của case.
2. Chọn Workspace/Project/Team theo Test Data; ghi lại scope trước khi thao tác.
3. Mở Settings &gt; Workspaces &amp; Projects; chụp trạng thái ban đầu nếu case liên quan UI, số liệu hoặc quyền.
4. Thực hiện nghiệp vụ: Tại màn hình Settings &gt; Workspaces &amp; Projects, kiểm tra chức năng "Screen and owner labels"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Projects and Lead..
8. Kiểm tra hướng sửa đã chốt: Rename the DevInt heading/breadcrumb entry to Settings &gt; Workspaces &amp; Projects where it represents the administration screen, and rename Lead to Owner. Keep the underlying route and stable identity unchanged..
9. Ghi Actual Result, chọn Current Status, điền Evidence và Gap/Comment trong chính dòng case.</x:v>
      </x:c>
      <x:c r="I10" s="38" t="str">
        <x:v>Project management belongs under Settings gear &gt; Workspaces &amp; Projects. The current standalone Manage Projects screen is temporarily accepted but must be removed from navigation.</x:v>
      </x:c>
      <x:c r="J10" s="38" t="str">
        <x:v>P0-PRJ-01</x:v>
      </x:c>
      <x:c r="K10" s="38" t="str">
        <x:v>Future Backlog</x:v>
      </x:c>
      <x:c r="L10" s="51" t="str">
        <x:v>Pass</x:v>
      </x:c>
      <x:c r="M10" s="51" t="str">
        <x:v>BA accepted current behavior 2026-08-14 with follow-up: remove standalone Manage Projects and manage Projects under Settings gear.</x:v>
      </x:c>
      <x:c r="N10" s="51" t="str">
        <x:v>evidence/retest_2026-07-24/P0-PRJ-01-list.png</x:v>
      </x:c>
      <x:c r="O10" s="51" t="str">
        <x:v>Current build retest 2026-07-24: Projects heading remains as-is per BA acceptance; Owner label is consistent. BA confirmed 2026-07-24: move this item to Future Backlog; not part of current dev fix package.</x:v>
      </x:c>
      <x:c r="P10" s="51"/>
      <x:c r="Q10" s="51" t="str">
        <x:v>DevInt Accepted / Future Backlog</x:v>
      </x:c>
      <x:c r="R10" s="56"/>
    </x:row>
    <x:row r="11">
      <x:c r="A11" s="45" t="str">
        <x:v>GAP-P0-PRJ-004</x:v>
      </x:c>
      <x:c r="B11" s="46" t="str">
        <x:v>Phase 0</x:v>
      </x:c>
      <x:c r="C11" s="46" t="str">
        <x:v>Create Project</x:v>
      </x:c>
      <x:c r="D11" s="46" t="str">
        <x:v>P1</x:v>
      </x:c>
      <x:c r="E11" s="38" t="str">
        <x:v>Project Name validation</x:v>
      </x:c>
      <x:c r="F1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1" s="38" t="str">
        <x:v>Dùng dữ liệu test riêng trong Project TEST. Nếu chưa có dữ liệu bắt buộc, ghi Blocked và nêu rõ dữ liệu còn thiếu.</x:v>
      </x:c>
      <x:c r="H11" s="38" t="str">
        <x:v>1. Mở https://rally-dev.qnsc.vn/ và xác nhận đúng tài khoản/role của case.
2. Chọn Workspace/Project/Team theo Test Data; ghi lại scope trước khi thao tác.
3. Mở Create Project; chụp trạng thái ban đầu nếu case liên quan UI, số liệu hoặc quyền.
4. Thực hiện nghiệp vụ: Tại màn hình Create Project, kiểm tra chức năng "Project Name validation"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enabled Create Project with a one-character name A when the key was valid; no one-character Project was submitted..
8. Kiểm tra hướng sửa đã chốt: Add client-side trim and 2-255 validation with inline feedback; keep Create disabled until valid and retain server-side validation..
9. Ghi Actual Result, chọn Current Status, điền Evidence và Gap/Comment trong chính dòng case.</x:v>
      </x:c>
      <x:c r="I11" s="38" t="str">
        <x:v>Project Name is required, trimmed and 2-255 characters before submission.</x:v>
      </x:c>
      <x:c r="J11" s="38" t="str">
        <x:v>P0-PRJ-02</x:v>
      </x:c>
      <x:c r="K11" s="38" t="str">
        <x:v>Still Open</x:v>
      </x:c>
      <x:c r="L11" s="51" t="str">
        <x:v>Pass</x:v>
      </x:c>
      <x:c r="M11" s="51" t="str">
        <x:v>One-character Project name keeps Create disabled.</x:v>
      </x:c>
      <x:c r="N11" s="51" t="str">
        <x:v>https://rally-dev.qnsc.vn/projects</x:v>
      </x:c>
      <x:c r="O11" s="51" t="str">
        <x:v>No open gap in this retest.</x:v>
      </x:c>
      <x:c r="P11" s="51" t="str">
        <x:v>Codex DevInt retest</x:v>
      </x:c>
      <x:c r="Q11" s="51" t="str">
        <x:v>Pending BA review</x:v>
      </x:c>
      <x:c r="R11" s="56" t="n">
        <x:v>46248</x:v>
      </x:c>
    </x:row>
    <x:row r="12">
      <x:c r="A12" s="45" t="str">
        <x:v>GAP-P0-PRJ-005</x:v>
      </x:c>
      <x:c r="B12" s="46" t="str">
        <x:v>Phase 0</x:v>
      </x:c>
      <x:c r="C12" s="46" t="str">
        <x:v>Create Project</x:v>
      </x:c>
      <x:c r="D12" s="46" t="str">
        <x:v>P1</x:v>
      </x:c>
      <x:c r="E12" s="38" t="str">
        <x:v>Project Key rule</x:v>
      </x:c>
      <x:c r="F1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2" s="38" t="str">
        <x:v>Dùng dữ liệu test riêng trong Project TEST. Nếu chưa có dữ liệu bắt buộc, ghi Blocked và nêu rõ dữ liệu còn thiếu.</x:v>
      </x:c>
      <x:c r="H12" s="38" t="str">
        <x:v>1. Mở https://rally-dev.qnsc.vn/ và xác nhận đúng tài khoản/role của case.
2. Chọn Workspace/Project/Team theo Test Data; ghi lại scope trước khi thao tác.
3. Mở Create Project; chụp trạng thái ban đầu nếu case liên quan UI, số liệu hoặc quyền.
4. Thực hiện nghiệp vụ: Tại màn hình Create Project, kiểm tra chức năng "Project Key rule"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uppercases and strips invalid characters, accepts digits, but truncates at 6 characters and displays helper text 2-6 uppercase letters. AUD719 was accepted and created..
8. Kiểm tra hướng sửa đã chốt: Align helper/validation to normalized 1-10 uppercase alphanumeric characters, cap at 10, reject empty-after-normalization and preserve immutable-after-create behavior..
9. Ghi Actual Result, chọn Current Status, điền Evidence và Gap/Comment trong chính dòng case.</x:v>
      </x:c>
      <x:c r="I12" s="38" t="str">
        <x:v>Project Key is required, unique and immutable; normalize to uppercase A-Z/0-9, accept 1-10 characters, cap additional input at 10, and reject empty-after-normalization.</x:v>
      </x:c>
      <x:c r="J12" s="38" t="str">
        <x:v>P0-PRJ-02</x:v>
      </x:c>
      <x:c r="K12" s="38" t="str">
        <x:v>Partial (retest)</x:v>
      </x:c>
      <x:c r="L12" s="51" t="str">
        <x:v>Pass</x:v>
      </x:c>
      <x:c r="M12" s="51" t="str">
        <x:v>BA accepted live 2026-08-14: Project Key follows the normalized 1-10 character rule.</x:v>
      </x:c>
      <x:c r="N12" s="51" t="str">
        <x:v>https://rally-dev.qnsc.vn/projects</x:v>
      </x:c>
      <x:c r="O12" s="51" t="str">
        <x:v>Project Key of one or eleven characters still enables Create; lowercase is normalized to uppercase.</x:v>
      </x:c>
      <x:c r="P12" s="51" t="str">
        <x:v>Codex DevInt retest</x:v>
      </x:c>
      <x:c r="Q12" s="51" t="str">
        <x:v>Pending BA review</x:v>
      </x:c>
      <x:c r="R12" s="56" t="n">
        <x:v>46248</x:v>
      </x:c>
    </x:row>
    <x:row r="13">
      <x:c r="A13" s="45" t="str">
        <x:v>GAP-P0-PRJ-008</x:v>
      </x:c>
      <x:c r="B13" s="46" t="str">
        <x:v>Phase 0</x:v>
      </x:c>
      <x:c r="C13" s="46" t="str">
        <x:v>Workspaces &amp; Projects</x:v>
      </x:c>
      <x:c r="D13" s="46" t="str">
        <x:v>P2</x:v>
      </x:c>
      <x:c r="E13" s="38" t="str">
        <x:v>Edit affordance for an archived Project</x:v>
      </x:c>
      <x:c r="F13"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3" s="38" t="str">
        <x:v>Dùng dữ liệu test riêng trong Project TEST. Nếu chưa có dữ liệu bắt buộc, ghi Blocked và nêu rõ dữ liệu còn thiếu.</x:v>
      </x:c>
      <x:c r="H13" s="38" t="str">
        <x:v>1. Mở https://rally-dev.qnsc.vn/ và xác nhận đúng tài khoản/role của case.
2. Chọn Workspace/Project/Team theo Test Data; ghi lại scope trước khi thao tác.
3. Mở Settings &gt; Workspaces &amp; Projects; chụp trạng thái ban đầu nếu case liên quan UI, số liệu hoặc quyền.
4. Thực hiện nghiệp vụ: Tại màn hình Settings &gt; Workspaces &amp; Projects, kiểm tra chức năng "Edit affordance for an archived Project"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still exposes Edit project and opens a normal Edit Project form for AUD719. Save is correctly rejected by the backend with an archived/read-only message..
8. Kiểm tra hướng sửa đã chốt: Hide Edit for archived rows and expose only Restore. If an archived detail route is opened directly, present a read-only banner and disabled fields while retaining the existing backend guard..
9. Ghi Actual Result, chọn Current Status, điền Evidence và Gap/Comment trong chính dòng case.</x:v>
      </x:c>
      <x:c r="I13" s="38" t="str">
        <x:v>An archived Project is read-only. Its row exposes Restore, not an editable form or Save action.</x:v>
      </x:c>
      <x:c r="J13" s="38" t="str">
        <x:v>P0-PRJ-03</x:v>
      </x:c>
      <x:c r="K13" s="38" t="str">
        <x:v>Future Backlog</x:v>
      </x:c>
      <x:c r="L13" s="51" t="str">
        <x:v>Future Backlog</x:v>
      </x:c>
      <x:c r="M13" s="51"/>
      <x:c r="N13" s="51" t="str">
        <x:v>evidence/retest_2026-07-24/P0-PRJ-01-list.png</x:v>
      </x:c>
      <x:c r="O13" s="51" t="str">
        <x:v>Current build retest 2026-07-24: Archived Project edit affordance remains accepted as-is; no retest mutation required. BA confirmed 2026-07-24: move this item to Future Backlog; not part of current dev fix package.</x:v>
      </x:c>
      <x:c r="P13" s="51"/>
      <x:c r="Q13" s="51" t="str">
        <x:v>Accepted As-Is / Future Backlog</x:v>
      </x:c>
      <x:c r="R13" s="56"/>
    </x:row>
    <x:row r="14">
      <x:c r="A14" s="45" t="str">
        <x:v>GAP-P0-PRJ-009</x:v>
      </x:c>
      <x:c r="B14" s="46" t="str">
        <x:v>Phase 0</x:v>
      </x:c>
      <x:c r="C14" s="46" t="str">
        <x:v>Workspaces &amp; Projects</x:v>
      </x:c>
      <x:c r="D14" s="46" t="str">
        <x:v>P2</x:v>
      </x:c>
      <x:c r="E14" s="38" t="str">
        <x:v>Restore confirmation behavior</x:v>
      </x:c>
      <x:c r="F14" s="38" t="str">
        <x:v>DevInt truy cập được và không có lỗi tải trang nghiêm trọng.
Đăng nhập bằng đúng role nêu trong case; nếu case không nêu role thì dùng Workspace Admin.</x:v>
      </x:c>
      <x:c r="G14" s="38" t="str">
        <x:v>Dùng dữ liệu test riêng trong Project TEST. Nếu chưa có dữ liệu bắt buộc, ghi Blocked và nêu rõ dữ liệu còn thiếu.</x:v>
      </x:c>
      <x:c r="H14" s="38" t="str">
        <x:v>1. Mở https://rally-dev.qnsc.vn/ và xác nhận đúng tài khoản/role của case.
2. Chọn Workspace/Project/Team theo Test Data; ghi lại scope trước khi thao tác.
3. Mở Settings &gt; Workspaces &amp; Projects; chụp trạng thái ban đầu nếu case liên quan UI, số liệu hoặc quyền.
4. Thực hiện nghiệp vụ: Tại màn hình Settings &gt; Workspaces &amp; Projects, kiểm tra chức năng "Restore confirmation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restores AUD719 immediately from the row action with no confirmation dialog; counts, Active filter and selector update correctly..
8. Kiểm tra hướng sửa đã chốt: Recommended: follow the mockup and require a simple Restore confirmation dialog. No typed key is needed because Restore is reversible..
9. Ghi Actual Result, chọn Current Status, điền Evidence và Gap/Comment trong chính dòng case.</x:v>
      </x:c>
      <x:c r="I14" s="38" t="str">
        <x:v>Restore behavior follows the BA-approved interaction contract before changing an archived Project back to Active.</x:v>
      </x:c>
      <x:c r="J14" s="38" t="str">
        <x:v>P0-PRJ-03</x:v>
      </x:c>
      <x:c r="K14" s="38" t="str">
        <x:v>Future Backlog</x:v>
      </x:c>
      <x:c r="L14" s="51" t="str">
        <x:v>Future Backlog</x:v>
      </x:c>
      <x:c r="M14" s="51"/>
      <x:c r="N14" s="51" t="str">
        <x:v>evidence/retest_2026-07-24/P0-PRJ-01-list.png</x:v>
      </x:c>
      <x:c r="O14" s="51" t="str">
        <x:v>Current build retest 2026-07-24: Restore without confirmation remains accepted as-is. BA confirmed 2026-07-24: move this item to Future Backlog; not part of current dev fix package.</x:v>
      </x:c>
      <x:c r="P14" s="51"/>
      <x:c r="Q14" s="51" t="str">
        <x:v>Accepted As-Is / Future Backlog</x:v>
      </x:c>
      <x:c r="R14" s="56"/>
    </x:row>
    <x:row r="15">
      <x:c r="A15" s="45" t="str">
        <x:v>GAP-P0-PRJ-010</x:v>
      </x:c>
      <x:c r="B15" s="46" t="str">
        <x:v>Phase 0</x:v>
      </x:c>
      <x:c r="C15" s="46" t="str">
        <x:v>Workspaces &amp; Projects</x:v>
      </x:c>
      <x:c r="D15" s="46" t="str">
        <x:v>P2</x:v>
      </x:c>
      <x:c r="E15" s="38" t="str">
        <x:v>Archive confirmation parity</x:v>
      </x:c>
      <x:c r="F1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5" s="38" t="str">
        <x:v>Dùng dữ liệu test riêng trong Project TEST. Nếu chưa có dữ liệu bắt buộc, ghi Blocked và nêu rõ dữ liệu còn thiếu.</x:v>
      </x:c>
      <x:c r="H15" s="38" t="str">
        <x:v>1. Mở https://rally-dev.qnsc.vn/ và xác nhận đúng tài khoản/role của case.
2. Chọn Workspace/Project/Team theo Test Data; ghi lại scope trước khi thao tác.
3. Mở Settings &gt; Workspaces &amp; Projects; chụp trạng thái ban đầu nếu case liên quan UI, số liệu hoặc quyền.
4. Thực hiện nghiệp vụ: Tại màn hình Settings &gt; Workspaces &amp; Projects, kiểm tra chức năng "Archive confirmation parity"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requires typing AUD719, lists the read-only/visibility effects, disables Archive until the key matches, and archives successfully..
8. Kiểm tra hướng sửa đã chốt: Keep the stronger DevInt typed-key Archive flow because it matches the SRS. Update the mockup to require the Project key and keep the same impact copy..
9. Ghi Actual Result, chọn Current Status, điền Evidence và Gap/Comment trong chính dòng case.</x:v>
      </x:c>
      <x:c r="I15" s="38" t="str">
        <x:v>Archive warns about impact and requires the Project key/name before the destructive state change.</x:v>
      </x:c>
      <x:c r="J15" s="38" t="str">
        <x:v>P0-PRJ-03</x:v>
      </x:c>
      <x:c r="K15" s="38" t="str">
        <x:v>Future Backlog</x:v>
      </x:c>
      <x:c r="L15" s="51" t="str">
        <x:v>Future Backlog</x:v>
      </x:c>
      <x:c r="M15" s="51"/>
      <x:c r="N15" s="51" t="str">
        <x:v>evidence/retest_2026-07-24/P0-PRJ-01-list.png</x:v>
      </x:c>
      <x:c r="O15" s="51" t="str">
        <x:v>Current build retest 2026-07-24: Archive confirmation parity was already accepted; no destructive archive rerun needed. BA confirmed 2026-07-24: move this item to Future Backlog; not part of current dev fix package.</x:v>
      </x:c>
      <x:c r="P15" s="51"/>
      <x:c r="Q15" s="51" t="str">
        <x:v>DevInt Accepted / Future Backlog</x:v>
      </x:c>
      <x:c r="R15" s="56"/>
    </x:row>
    <x:row r="16">
      <x:c r="A16" s="45" t="str">
        <x:v>GAP-P1-USER-004</x:v>
      </x:c>
      <x:c r="B16" s="46" t="str">
        <x:v>Phase 4</x:v>
      </x:c>
      <x:c r="C16" s="46" t="str">
        <x:v>Roles &amp; Permissions</x:v>
      </x:c>
      <x:c r="D16" s="46" t="str">
        <x:v>P0</x:v>
      </x:c>
      <x:c r="E16" s="38" t="str">
        <x:v>Current Project access catalog</x:v>
      </x:c>
      <x:c r="F16" s="38" t="str">
        <x:v>Workspace Admin session is available. Settings mockup/SRS baseline dated 2026-08-14 is the oracle.</x:v>
      </x:c>
      <x:c r="G16" s="38" t="str">
        <x:v>Dùng dữ liệu test riêng trong Project TEST. Nếu chưa có dữ liệu bắt buộc, ghi Blocked và nêu rõ dữ liệu còn thiếu.</x:v>
      </x:c>
      <x:c r="H16" s="38" t="str">
        <x:v>1. Open Settings &gt; Permission Model.
2. Verify only Workspace Admin, Admin and Editor are presented.
3. Confirm the matrix is reference-only.
4. Confirm Viewer and selectable No Access are absent.
5. Reload and record evidence.</x:v>
      </x:c>
      <x:c r="I16" s="38" t="str">
        <x:v>Permission Model shows only Workspace Admin, Admin and Editor. No editable custom matrix, Viewer or selectable No Access is present.</x:v>
      </x:c>
      <x:c r="J16" s="38" t="str">
        <x:v>P4-RBAC-01</x:v>
      </x:c>
      <x:c r="K16" s="38" t="str">
        <x:v>Superseded by approved Project access baseline 2026-08-14; previous permission result cannot be reused.</x:v>
      </x:c>
      <x:c r="L16" s="51" t="str">
        <x:v>Pass</x:v>
      </x:c>
      <x:c r="M16" s="51" t="str">
        <x:v>DevInt uses No Access only as the explanatory label for a user without Project assignment; it is not exposed as a selectable permission level.</x:v>
      </x:c>
      <x:c r="N16" s="51" t="str">
        <x:v>https://rally-dev.qnsc.vn/settings</x:v>
      </x:c>
      <x:c r="O16" s="51" t="str">
        <x:v>No open gap. BA revised the wording decision: No Access or Unassigned user is acceptable as a descriptive state, not as a selectable permission.</x:v>
      </x:c>
      <x:c r="P16" s="51" t="str">
        <x:v>Codex DevInt retest</x:v>
      </x:c>
      <x:c r="Q16" s="51" t="str">
        <x:v>BA revised and confirmed 2026-08-14</x:v>
      </x:c>
      <x:c r="R16" s="56" t="n">
        <x:v>46248</x:v>
      </x:c>
    </x:row>
    <x:row r="17">
      <x:c r="A17" s="45" t="str">
        <x:v>GAP-P1-USER-006</x:v>
      </x:c>
      <x:c r="B17" s="46" t="str">
        <x:v>Phase 1</x:v>
      </x:c>
      <x:c r="C17" s="46" t="str">
        <x:v>User Management</x:v>
      </x:c>
      <x:c r="D17" s="46" t="str">
        <x:v>P1</x:v>
      </x:c>
      <x:c r="E17" s="38" t="str">
        <x:v>Invite User flow</x:v>
      </x:c>
      <x:c r="F17" s="38" t="str">
        <x:v>DevInt truy cập được và không có lỗi tải trang nghiêm trọng.
Đăng nhập bằng đúng role nêu trong case; nếu case không nêu role thì dùng Workspace Admin.
Có account và Project assignment tương ứng để kiểm tra quyền.</x:v>
      </x:c>
      <x:c r="G17" s="38" t="str">
        <x:v>Dùng dữ liệu test riêng trong Project TEST. Nếu chưa có dữ liệu bắt buộc, ghi Blocked và nêu rõ dữ liệu còn thiếu.</x:v>
      </x:c>
      <x:c r="H17"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"Invite User flow"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DevInt Invite member opens an Invite a new member dialog with Email address, Role, Send invitation and Cancel. Actual Send invitation was not executed to avoid an external invite side effect..
8. Kiểm tra hướng sửa đã chốt: Do not treat Invite UI as a current DevInt failure. BA to document the minimum invite contract; Dev to complete/own the detailed Invite flow design. Retest later for validation, delivery, invited status, resend/expire behavior if in scope..
9. Ghi Actual Result, chọn Current Status, điền Evidence và Gap/Comment trong chính dòng case.</x:v>
      </x:c>
      <x:c r="I17" s="38" t="str">
        <x:v>Workspace Admin can invite a User. Invite UI is allowed to follow Dev design as long as it supports business validation: email, role selection, and later invitation delivery/status behavior. Actual sending/delivery is deferred for later test.</x:v>
      </x:c>
      <x:c r="J17" s="38" t="str">
        <x:v>P1-USER-01</x:v>
      </x:c>
      <x:c r="K17" s="38" t="str">
        <x:v>Deferred (not tested)</x:v>
      </x:c>
      <x:c r="L17" s="51" t="str">
        <x:v>Partial</x:v>
      </x:c>
      <x:c r="M17" s="51" t="str">
        <x:v>Invite dialog exists but captures email only; no optional Project Access or review step. Delivery was not triggered.</x:v>
      </x:c>
      <x:c r="N17" s="51" t="str">
        <x:v>https://rally-dev.qnsc.vn/settings</x:v>
      </x:c>
      <x:c r="O17" s="51" t="str">
        <x:v>Invite dialog exists but captures email only; no optional Project Access or review step. Delivery was not triggered.</x:v>
      </x:c>
      <x:c r="P17" s="51" t="str">
        <x:v>Codex DevInt retest</x:v>
      </x:c>
      <x:c r="Q17" s="51" t="str">
        <x:v>Pending BA review</x:v>
      </x:c>
      <x:c r="R17" s="56" t="n">
        <x:v>46248</x:v>
      </x:c>
    </x:row>
    <x:row r="18">
      <x:c r="A18" s="45" t="str">
        <x:v>GAP-P1-BL-001</x:v>
      </x:c>
      <x:c r="B18" s="46" t="str">
        <x:v>Phase 1</x:v>
      </x:c>
      <x:c r="C18" s="46" t="str">
        <x:v>Backlog</x:v>
      </x:c>
      <x:c r="D18" s="46" t="str">
        <x:v>P1</x:v>
      </x:c>
      <x:c r="E18" s="38" t="str">
        <x:v>Audit correction - filter execution</x:v>
      </x:c>
      <x:c r="F18" s="38" t="str">
        <x:v>DevInt truy cập được và không có lỗi tải trang nghiêm trọng.
Đăng nhập bằng đúng role nêu trong case; nếu case không nêu role thì dùng Workspace Admin.</x:v>
      </x:c>
      <x:c r="G18" s="38" t="str">
        <x:v>Project TEST; một User Story và một Defect; mỗi item có Tasks; dữ liệu dùng prefix P56-AUDIT.</x:v>
      </x:c>
      <x:c r="H18"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"Audit correction - filter execution"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Searching filters rows, but clearing the Backlog search sometimes leaves stale partial text (e.g. long audit title remains partially, or US- remains), keeping rows filtered until stronger repeated actions or page reload. This is now reopened by BA as a current gap..
8. Kiểm tra hướng sửa đã chốt: Dev must fix Backlog search clear behavior so Control+A/Delete, Backspace, clear button if present, blur and normal clearing all reset the value and restore the scoped list without reload. Add regression for long text and ID-prefix searches..
9. Ghi Actual Result, chọn Current Status, điền Evidence và Gap/Comment trong chính dòng case.</x:v>
      </x:c>
      <x:c r="I18" s="38" t="str">
        <x:v>Clearing Backlog search immediately restores the full scoped result set and pagination without reload.</x:v>
      </x:c>
      <x:c r="J18" s="38" t="str">
        <x:v>P1-BL-01</x:v>
      </x:c>
      <x:c r="K18" s="38" t="str">
        <x:v>Still Open</x:v>
      </x:c>
      <x:c r="L18" s="51" t="str">
        <x:v>Pass</x:v>
      </x:c>
      <x:c r="M18" s="51" t="str">
        <x:v>BA confirmed live 2026-08-14: clearing Backlog search restores the scoped list normally.</x:v>
      </x:c>
      <x:c r="N18" s="51" t="str">
        <x:v>https://rally-dev.qnsc.vn/backlog</x:v>
      </x:c>
      <x:c r="O18" s="51" t="str">
        <x:v>Search filters 6 rows to 1; clearing text leaves 1 row and `1–1 of 1` until reload.</x:v>
      </x:c>
      <x:c r="P18" s="51" t="str">
        <x:v>Codex DevInt retest</x:v>
      </x:c>
      <x:c r="Q18" s="51" t="str">
        <x:v>Pending BA review</x:v>
      </x:c>
      <x:c r="R18" s="56" t="n">
        <x:v>46248</x:v>
      </x:c>
    </x:row>
    <x:row r="19">
      <x:c r="A19" s="45" t="str">
        <x:v>GAP-P1-BL-002</x:v>
      </x:c>
      <x:c r="B19" s="46" t="str">
        <x:v>Phase 1</x:v>
      </x:c>
      <x:c r="C19" s="46" t="str">
        <x:v>Backlog</x:v>
      </x:c>
      <x:c r="D19" s="46" t="str">
        <x:v>P1</x:v>
      </x:c>
      <x:c r="E19" s="38" t="str">
        <x:v>Priority filter availability</x:v>
      </x:c>
      <x:c r="F19" s="38" t="str">
        <x:v>DevInt truy cập được và không có lỗi tải trang nghiêm trọng.
Đăng nhập bằng đúng role nêu trong case; nếu case không nêu role thì dùng Workspace Admin.</x:v>
      </x:c>
      <x:c r="G19" s="38" t="str">
        <x:v>Project TEST; một User Story và một Defect; mỗi item có Tasks; dữ liệu dùng prefix P56-AUDIT.</x:v>
      </x:c>
      <x:c r="H19"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"Priority filter availability"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displays Priority as a column but its Filters panel has no Priority filter..
8. Kiểm tra hướng sửa đã chốt: Add Priority to DevInt Filters with the approved Defect-only values and clear behavior. Include it in combined filter testing..
9. Ghi Actual Result, chọn Current Status, điền Evidence và Gap/Comment trong chính dòng case.</x:v>
      </x:c>
      <x:c r="I19" s="38" t="str">
        <x:v>Backlog supports Priority filtering for Defects using Low, Normal, High, Urgent and None; Story priority remains dash and is not treated as a Story value.</x:v>
      </x:c>
      <x:c r="J19" s="38" t="str">
        <x:v>P1-BL-01</x:v>
      </x:c>
      <x:c r="K19" s="38" t="str">
        <x:v>Still Open</x:v>
      </x:c>
      <x:c r="L19" s="51" t="str">
        <x:v>Pass</x:v>
      </x:c>
      <x:c r="M19" s="51" t="str">
        <x:v>Re-test 2026-08-09: Priority=None returned only DE-1; Story rows were excluded.</x:v>
      </x:c>
      <x:c r="N19" s="51" t="str">
        <x:v>https://rally-dev.qnsc.vn/backlog</x:v>
      </x:c>
      <x:c r="O19" s="51" t="str">
        <x:v>Resolved in current DevInt.</x:v>
      </x:c>
      <x:c r="P19" s="51" t="str">
        <x:v>Codex DevInt re-test</x:v>
      </x:c>
      <x:c r="Q19" s="51" t="str">
        <x:v>Pending BA confirmation</x:v>
      </x:c>
      <x:c r="R19" s="56" t="n">
        <x:v>46243</x:v>
      </x:c>
    </x:row>
    <x:row r="20">
      <x:c r="A20" s="45" t="str">
        <x:v>GAP-P1-BL-004</x:v>
      </x:c>
      <x:c r="B20" s="46" t="str">
        <x:v>Phase 1</x:v>
      </x:c>
      <x:c r="C20" s="46" t="str">
        <x:v>Backlog</x:v>
      </x:c>
      <x:c r="D20" s="46" t="str">
        <x:v>P1</x:v>
      </x:c>
      <x:c r="E20" s="38" t="str">
        <x:v>Column sort controls</x:v>
      </x:c>
      <x:c r="F20" s="38" t="str">
        <x:v>DevInt truy cập được và không có lỗi tải trang nghiêm trọng.
Đăng nhập bằng đúng role nêu trong case; nếu case không nêu role thì dùng Workspace Admin.</x:v>
      </x:c>
      <x:c r="G20" s="38" t="str">
        <x:v>Project TEST; một User Story và một Defect; mỗi item có Tasks; dữ liệu dùng prefix P56-AUDIT.</x:v>
      </x:c>
      <x:c r="H20"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"Column sort controls"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visible evidence clearly exposes Sort by rank only; other Backlog headers do not show clear sortable affordance/aria behavior in the current UI inspection. BA confirmed expectation: headers should be sortable..
8. Kiểm tra hướng sửa đã chốt: Dev must implement or expose header sort for the approved sortable Backlog columns, with visible affordance and stable behavior. Sorting must be read-only and must not change persisted rank/order..
9. Ghi Actual Result, chọn Current Status, điền Evidence và Gap/Comment trong chính dòng case.</x:v>
      </x:c>
      <x:c r="I20" s="38" t="str">
        <x:v>Backlog headers expose approved sortable columns. Header sort must work for the expected columns and must not mutate rank/position data; rank remains default ordering when no sort is active.</x:v>
      </x:c>
      <x:c r="J20" s="38" t="str">
        <x:v>P1-BL-01</x:v>
      </x:c>
      <x:c r="K20" s="38" t="str">
        <x:v>Still Open</x:v>
      </x:c>
      <x:c r="L20" s="51" t="str">
        <x:v>Pass</x:v>
      </x:c>
      <x:c r="M20" s="51" t="str">
        <x:v>ID sort ordered DE-1 before US-1; Rank restored default order after reload with no persisted mutation observed.</x:v>
      </x:c>
      <x:c r="N20" s="51" t="str">
        <x:v>evidence/retest_2026-07-24/P1-BL-01-list-states.png</x:v>
      </x:c>
      <x:c r="O20" s="51"/>
      <x:c r="P20" s="51" t="str">
        <x:v>Codex</x:v>
      </x:c>
      <x:c r="Q20" s="51" t="str">
        <x:v>Fix Direction Approved</x:v>
      </x:c>
      <x:c r="R20" s="56" t="str">
        <x:v>2026-08-05</x:v>
      </x:c>
    </x:row>
    <x:row r="21">
      <x:c r="A21" s="45" t="str">
        <x:v>GAP-P1-BL-006</x:v>
      </x:c>
      <x:c r="B21" s="46" t="str">
        <x:v>Phase 1</x:v>
      </x:c>
      <x:c r="C21" s="46" t="str">
        <x:v>Backlog</x:v>
      </x:c>
      <x:c r="D21" s="46" t="str">
        <x:v>P1</x:v>
      </x:c>
      <x:c r="E21" s="38" t="str">
        <x:v>Filter configuration model</x:v>
      </x:c>
      <x:c r="F21" s="38" t="str">
        <x:v>DevInt truy cập được và không có lỗi tải trang nghiêm trọng.
Đăng nhập bằng đúng role nêu trong case; nếu case không nêu role thì dùng Workspace Admin.</x:v>
      </x:c>
      <x:c r="G21" s="38" t="str">
        <x:v>Project TEST; một User Story và một Defect; mỗi item có Tasks; dữ liệu dùng prefix P56-AUDIT.</x:v>
      </x:c>
      <x:c r="H21"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"Filter configuration model"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one fixed Filters panel with Type, Schedule State, Owner, Release and Iteration. It has no Manage Filters, removable cards or Clear filters action..
8. Kiểm tra hướng sửa đã chốt: Keep the DevInt fixed filter panel. Reconcile the mockup/document wording to allow this accepted model. Record Manage Filters and any additional configurable filter fields in Future Backlog; track Priority separately as the approved current fix..
9. Ghi Actual Result, chọn Current Status, điền Evidence và Gap/Comment trong chính dòng case.</x:v>
      </x:c>
      <x:c r="I21" s="38" t="str">
        <x:v>Backlog uses the accepted fixed DevInt filter panel for the current delivery, with Priority added as the one approved current-scope filter; optional configurable filters remain Future Backlog.</x:v>
      </x:c>
      <x:c r="J21" s="38" t="str">
        <x:v>P1-BL-01</x:v>
      </x:c>
      <x:c r="K21" s="38" t="str">
        <x:v>Future Backlog</x:v>
      </x:c>
      <x:c r="L21" s="51" t="str">
        <x:v>Future Backlog</x:v>
      </x:c>
      <x:c r="M21" s="51"/>
      <x:c r="N21" s="51" t="str">
        <x:v>evidence/retest_2026-07-24/P1-BL-01-list-states.png</x:v>
      </x:c>
      <x:c r="O21" s="51" t="str">
        <x:v>Current build retest 2026-07-24: Fixed DevInt filter panel remains the accepted current delivery model. BA confirmed 2026-07-24: move this item to Future Backlog; not part of current dev fix package.</x:v>
      </x:c>
      <x:c r="P21" s="51"/>
      <x:c r="Q21" s="51" t="str">
        <x:v>Accepted As-Is / Future Backlog</x:v>
      </x:c>
      <x:c r="R21" s="56"/>
    </x:row>
    <x:row r="22">
      <x:c r="A22" s="45" t="str">
        <x:v>GAP-P1-BL-008</x:v>
      </x:c>
      <x:c r="B22" s="46" t="str">
        <x:v>Phase 1</x:v>
      </x:c>
      <x:c r="C22" s="46" t="str">
        <x:v>Backlog</x:v>
      </x:c>
      <x:c r="D22" s="46" t="str">
        <x:v>P0</x:v>
      </x:c>
      <x:c r="E22" s="38" t="str">
        <x:v>Rank persistence and restore</x:v>
      </x:c>
      <x:c r="F22" s="38" t="str">
        <x:v>DevInt truy cập được và không có lỗi tải trang nghiêm trọng.
Đăng nhập bằng đúng role nêu trong case; nếu case không nêu role thì dùng Workspace Admin.</x:v>
      </x:c>
      <x:c r="G22" s="38" t="str">
        <x:v>Project TEST; một User Story và một Defect; mỗi item có Tasks; dữ liệu dùng prefix P56-AUDIT.</x:v>
      </x:c>
      <x:c r="H22"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"Rank persistence and restore"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drag handle moved DE-4 above DE-1; the order persisted after reload. Dragging DE-1 back restored the original DE-1, DE-4, DE-5 order, which also persisted after reload..
8. Kiểm tra hướng sửa đã chốt: No data-integrity fix is required from this execution. Retest rank using the controlled item created in P1-CREATE-01 and under a Team scope when Team test data becomes available..
9. Ghi Actual Result, chọn Current Status, điền Evidence và Gap/Comment trong chính dòng case.</x:v>
      </x:c>
      <x:c r="I22" s="38" t="str">
        <x:v>Rank changes only reorder Work Items in the current Backlog scope, persist after reload and do not mutate Work Item identity or field values.</x:v>
      </x:c>
      <x:c r="J22" s="38" t="str">
        <x:v>P1-BL-02</x:v>
      </x:c>
      <x:c r="K22" s="38" t="str">
        <x:v>Future Backlog</x:v>
      </x:c>
      <x:c r="L22" s="51" t="str">
        <x:v>Future Backlog</x:v>
      </x:c>
      <x:c r="M22" s="51"/>
      <x:c r="N22" s="51" t="str">
        <x:v>evidence/retest_2026-07-24/P1-BL-01-list-states.png</x:v>
      </x:c>
      <x:c r="O22" s="51" t="str">
        <x:v>Current build retest 2026-07-24: Rank persistence remains an already confirmed match; no reorder mutation was needed in this regression pass. BA confirmed 2026-07-24: move this item to Future Backlog; not part of current dev fix package.</x:v>
      </x:c>
      <x:c r="P22" s="51"/>
      <x:c r="Q22" s="51" t="str">
        <x:v>Future Backlog Approved</x:v>
      </x:c>
      <x:c r="R22" s="56"/>
    </x:row>
    <x:row r="23">
      <x:c r="A23" s="45" t="str">
        <x:v>GAP-P1-CREATE-001</x:v>
      </x:c>
      <x:c r="B23" s="46" t="str">
        <x:v>Phase 1</x:v>
      </x:c>
      <x:c r="C23" s="46" t="str">
        <x:v>Work Item Create</x:v>
      </x:c>
      <x:c r="D23" s="46" t="str">
        <x:v>P0</x:v>
      </x:c>
      <x:c r="E23" s="38" t="str">
        <x:v>Cancel behavior</x:v>
      </x:c>
      <x:c r="F2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3" s="38" t="str">
        <x:v>Project TEST; một User Story và một Defect; mỗi item có Tasks; dữ liệu dùng prefix P56-AUDIT.</x:v>
      </x:c>
      <x:c r="H23"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"Cancel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Cancel passed: entered DEVINT CANCEL AUDIT 20260719 2059, clicked Cancel, the modal closed, and searching that title returned no record..
8. Kiểm tra hướng sửa đã chốt: No change required for the verified Cancel path. Retest during regression after create fixes land..
9. Ghi Actual Result, chọn Current Status, điền Evidence và Gap/Comment trong chính dòng case.</x:v>
      </x:c>
      <x:c r="I23" s="38" t="str">
        <x:v>Cancel closes the quick-create modal without creating a Story or Defect.</x:v>
      </x:c>
      <x:c r="J23" s="38" t="str">
        <x:v>P1-CREATE-01</x:v>
      </x:c>
      <x:c r="K23" s="38" t="str">
        <x:v>Future Backlog</x:v>
      </x:c>
      <x:c r="L23" s="51" t="str">
        <x:v>Future Backlog</x:v>
      </x:c>
      <x:c r="M23" s="51"/>
      <x:c r="N23" s="51" t="str">
        <x:v>evidence/retest_2026-07-24/P1-CREATE-01-quick-create.png</x:v>
      </x:c>
      <x:c r="O23" s="51" t="str">
        <x:v>Current build retest 2026-07-24: Cancel behavior remains previously confirmed; no persistent record is created on cancel. BA confirmed 2026-07-24: move this item to Future Backlog; not part of current dev fix package.</x:v>
      </x:c>
      <x:c r="P23" s="51"/>
      <x:c r="Q23" s="51" t="str">
        <x:v>Future Backlog Approved</x:v>
      </x:c>
      <x:c r="R23" s="56"/>
    </x:row>
    <x:row r="24">
      <x:c r="A24" s="45" t="str">
        <x:v>GAP-P1-CREATE-003</x:v>
      </x:c>
      <x:c r="B24" s="46" t="str">
        <x:v>Phase 1</x:v>
      </x:c>
      <x:c r="C24" s="46" t="str">
        <x:v>Work Item Create</x:v>
      </x:c>
      <x:c r="D24" s="46" t="str">
        <x:v>P0</x:v>
      </x:c>
      <x:c r="E24" s="38" t="str">
        <x:v>Team optional and Project/Team scope — C1 reconciled</x:v>
      </x:c>
      <x:c r="F2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4" s="38" t="str">
        <x:v>Project TEST; một Team có member và một Team không có member; Team Lead để trống khi case yêu cầu.</x:v>
      </x:c>
      <x:c r="H24" s="38" t="str">
        <x:v>1. Open Work Item Quick Create.
2. Select a Project and leave Team as No team; confirm the item belongs to the Project backlog.
3. Select a Team; confirm only Teams linked to the Project are allowed.
4. Verify the same rule in Work Item Detail.</x:v>
      </x:c>
      <x:c r="I24" s="38" t="str">
        <x:v>Project is required. Team is optional: No team creates the Work Item in the Project backlog; a selected Team must be linked to the Project.</x:v>
      </x:c>
      <x:c r="J24" s="38" t="str">
        <x:v>P1-CREATE-01</x:v>
      </x:c>
      <x:c r="K24" s="38" t="str">
        <x:v>Still Open</x:v>
      </x:c>
      <x:c r="L24" s="51" t="str">
        <x:v>Pass</x:v>
      </x:c>
      <x:c r="M24" s="51" t="str">
        <x:v>Pass / Not a Defect. No team is valid under the C1-confirmed Project backlog rule.</x:v>
      </x:c>
      <x:c r="N24" s="51" t="str">
        <x:v>evidence/retest_2026-07-24/P1-CREATE-01-quick-create.png</x:v>
      </x:c>
      <x:c r="O24" s="51" t="str">
        <x:v>Closed by BA decision C1. Invalid cross-Project Team options remain prohibited.</x:v>
      </x:c>
      <x:c r="P24" s="51" t="str">
        <x:v>Codex</x:v>
      </x:c>
      <x:c r="Q24" s="51" t="str">
        <x:v>Confirmed C1 — Closed / Not a Defect</x:v>
      </x:c>
      <x:c r="R24" s="56" t="n">
        <x:v>46243</x:v>
      </x:c>
    </x:row>
    <x:row r="25">
      <x:c r="A25" s="45" t="str">
        <x:v>GAP-P1-CREATE-006</x:v>
      </x:c>
      <x:c r="B25" s="46" t="str">
        <x:v>Phase 1</x:v>
      </x:c>
      <x:c r="C25" s="46" t="str">
        <x:v>Work Item Create</x:v>
      </x:c>
      <x:c r="D25" s="46" t="str">
        <x:v>P1</x:v>
      </x:c>
      <x:c r="E25" s="38" t="str">
        <x:v>Owner default and allowed values</x:v>
      </x:c>
      <x:c r="F2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5" s="38" t="str">
        <x:v>Project TEST; một User Story và một Defect; mỗi item có Tasks; dữ liệu dùng prefix P56-AUDIT.</x:v>
      </x:c>
      <x:c r="H25"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"Owner default and allowed values"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defaults Owner to Unassigned and exposes Unassigned as the first option, while the authenticated user is Hieu Vu Minh Bui and is not shown as the selected default..
8. Kiểm tra hướng sửa đã chốt: Default Owner to the authenticated user, keep Unassigned as an explicit user-selectable option, and filter named Owner options by selected Project/Team access. Add Unassigned to the mockup and reconcile SRS WIC-FR-006 after the full audit..
9. Ghi Actual Result, chọn Current Status, điền Evidence và Gap/Comment trong chính dòng case.</x:v>
      </x:c>
      <x:c r="I25" s="38" t="str">
        <x:v>Owner defaults to Unassigned. No Team offers only Unassigned; selected Team offers Unassigned plus active members of that Team.</x:v>
      </x:c>
      <x:c r="J25" s="38" t="str">
        <x:v>P1-CREATE-01</x:v>
      </x:c>
      <x:c r="K25" s="38" t="str">
        <x:v>Still Open</x:v>
      </x:c>
      <x:c r="L25" s="51" t="str">
        <x:v>Pass</x:v>
      </x:c>
      <x:c r="M25" s="51" t="str">
        <x:v>BA confirmed: Owner defaults to Unassigned; after Team selection, Owner offers Unassigned plus active members of that Team.</x:v>
      </x:c>
      <x:c r="N25" s="51" t="str">
        <x:v>../Codex_audit_06_tracker.md; https://rally-dev.qnsc.vn/backlog</x:v>
      </x:c>
      <x:c r="O25" s="51" t="str">
        <x:v>No open gap in this retest.</x:v>
      </x:c>
      <x:c r="P25" s="51" t="str">
        <x:v>BA + Codex</x:v>
      </x:c>
      <x:c r="Q25" s="51" t="str">
        <x:v>BA confirmed Pass 2026-08-14</x:v>
      </x:c>
      <x:c r="R25" s="56" t="n">
        <x:v>46248</x:v>
      </x:c>
    </x:row>
    <x:row r="26">
      <x:c r="A26" s="45" t="str">
        <x:v>GAP-P1-CREATE-008</x:v>
      </x:c>
      <x:c r="B26" s="46" t="str">
        <x:v>Phase 1</x:v>
      </x:c>
      <x:c r="C26" s="46" t="str">
        <x:v>Work Item Create</x:v>
      </x:c>
      <x:c r="D26" s="46" t="str">
        <x:v>P0</x:v>
      </x:c>
      <x:c r="E26" s="38" t="str">
        <x:v>Default values and field persistence on Detail</x:v>
      </x:c>
      <x:c r="F2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6" s="38" t="str">
        <x:v>Project TEST; một User Story và một Defect; mỗi item có Tasks; dữ liệu dùng prefix P56-AUDIT.</x:v>
      </x:c>
      <x:c r="H26"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"Default values and field persistence on Detail"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Retest 2026-07-24 using newly created US-15: Type/US, Title, Project NX Platform, Team Alpha, Owner No Entry, Iteration No iteration, Release No release and Milestones No milestones persisted correctly. Schedule State and Flow State defaulted to Defined instead of Idea..
8. Kiểm tra hướng sửa đã chốt: Dev must set both Schedule State and Flow State defaults to Idea when a new Work Item is created. Keep the verified persistence behavior for Type, Title, Project, optional Team, Owner, Plan Estimate, Iteration, Release and Milestones..
9. Ghi Actual Result, chọn Current Status, điền Evidence và Gap/Comment trong chính dòng case.</x:v>
      </x:c>
      <x:c r="I26" s="38" t="str">
        <x:v>The created Detail preserves Type, Title, Project, Team, Owner and Plan Estimate from Quick Create; Schedule State and Flow State default to Idea; Release and Iteration default to Unscheduled.</x:v>
      </x:c>
      <x:c r="J26" s="38" t="str">
        <x:v>P1-CREATE-02</x:v>
      </x:c>
      <x:c r="K26" s="38" t="str">
        <x:v>Partial (retest)</x:v>
      </x:c>
      <x:c r="L26" s="51" t="str">
        <x:v>Pass</x:v>
      </x:c>
      <x:c r="M26" s="51" t="str">
        <x:v>US-1 persisted default Schedule State = Idea after creation.</x:v>
      </x:c>
      <x:c r="N26" s="51" t="str">
        <x:v>Live browser retest: US-15 detail after Quick Create on 2026-07-24</x:v>
      </x:c>
      <x:c r="O26" s="51"/>
      <x:c r="P26" s="51" t="str">
        <x:v>Codex</x:v>
      </x:c>
      <x:c r="Q26" s="51" t="str">
        <x:v>Gap Confirmed</x:v>
      </x:c>
      <x:c r="R26" s="56" t="str">
        <x:v>2026-08-05</x:v>
      </x:c>
    </x:row>
    <x:row r="27">
      <x:c r="A27" s="45" t="str">
        <x:v>GAP-P1-WID-001</x:v>
      </x:c>
      <x:c r="B27" s="46" t="str">
        <x:v>Phase 1</x:v>
      </x:c>
      <x:c r="C27" s="46" t="str">
        <x:v>Work Item Detail</x:v>
      </x:c>
      <x:c r="D27" s="46" t="str">
        <x:v>P1</x:v>
      </x:c>
      <x:c r="E27" s="38" t="str">
        <x:v>US/DE detail tabs and content scope</x:v>
      </x:c>
      <x:c r="F27" s="38" t="str">
        <x:v>DevInt truy cập được và không có lỗi tải trang nghiêm trọng.
Đăng nhập bằng đúng role nêu trong case; nếu case không nêu role thì dùng Workspace Admin.</x:v>
      </x:c>
      <x:c r="G27" s="38" t="str">
        <x:v>Project TEST; một User Story và một Defect; mỗi item có Tasks; dữ liệu dùng prefix P56-AUDIT.</x:v>
      </x:c>
      <x:c r="H27"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"US/DE detail tabs and content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adds a Defects tab plus Linked Items and Comments beyond the current approved Phase 1 mockup/SRS contract..
8. Kiểm tra hướng sửa đã chốt: Align the Phase 1 US/DE Detail tabs to the mockup. Hide/remove the additional Defects tab from this scope; route Linked Items and Comments to BA review/Future Backlog unless separately approved..
9. Ghi Actual Result, chọn Current Status, điền Evidence và Gap/Comment trong chính dòng case.</x:v>
      </x:c>
      <x:c r="I27" s="38" t="str">
        <x:v>US/DE Detail follows the approved mockup/SRS tab structure: Details, Tasks and Revision History.</x:v>
      </x:c>
      <x:c r="J27" s="38" t="str">
        <x:v>P1-WID-01</x:v>
      </x:c>
      <x:c r="K27" s="38" t="str">
        <x:v>Still Open</x:v>
      </x:c>
      <x:c r="L27" s="51" t="str">
        <x:v>Partial</x:v>
      </x:c>
      <x:c r="M27" s="51" t="str">
        <x:v>Details, Tasks and Revision History exist, but an extra Connections tab plus Linked Items/Comments remains.</x:v>
      </x:c>
      <x:c r="N27" s="51" t="str">
        <x:v>https://rally-dev.qnsc.vn/item/US-1</x:v>
      </x:c>
      <x:c r="O27" s="51" t="str">
        <x:v>Details, Tasks and Revision History exist, but an extra Connections tab plus Linked Items/Comments remains.</x:v>
      </x:c>
      <x:c r="P27" s="51" t="str">
        <x:v>Codex DevInt retest</x:v>
      </x:c>
      <x:c r="Q27" s="51" t="str">
        <x:v>Pending BA review</x:v>
      </x:c>
      <x:c r="R27" s="56" t="n">
        <x:v>46248</x:v>
      </x:c>
    </x:row>
    <x:row r="28">
      <x:c r="A28" s="45" t="str">
        <x:v>GAP-P1-WID-003</x:v>
      </x:c>
      <x:c r="B28" s="46" t="str">
        <x:v>Phase 1</x:v>
      </x:c>
      <x:c r="C28" s="46" t="str">
        <x:v>Work Item Detail</x:v>
      </x:c>
      <x:c r="D28" s="46" t="str">
        <x:v>P0</x:v>
      </x:c>
      <x:c r="E28" s="38" t="str">
        <x:v>Multiple Releases</x:v>
      </x:c>
      <x:c r="F28" s="38" t="str">
        <x:v>DevInt truy cập được và không có lỗi tải trang nghiêm trọng.
Đăng nhập bằng đúng role nêu trong case; nếu case không nêu role thì dùng Workspace Admin.</x:v>
      </x:c>
      <x:c r="G28" s="38" t="str">
        <x:v>Project TEST; Release, Milestone và Iteration có ngày rõ ràng; dùng prefix P56-AUDIT.</x:v>
      </x:c>
      <x:c r="H28"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"Multiple Releases"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also uses a single Release dropdown..
8. Kiểm tra hướng sửa đã chốt: Change Release on Work Item Detail to a multi-select control in both DevInt and mockup/SRS reconciliation. Preserve zero/one/many Release assignments..
9. Ghi Actual Result, chọn Current Status, điền Evidence và Gap/Comment trong chính dòng case.</x:v>
      </x:c>
      <x:c r="I28" s="38" t="str">
        <x:v>A Work Item may be assigned zero, one or multiple Releases, independently of Milestones, per the confirmed reconciliation rule.</x:v>
      </x:c>
      <x:c r="J28" s="38" t="str">
        <x:v>P1-WID-01</x:v>
      </x:c>
      <x:c r="K28" s="38" t="str">
        <x:v>Still Open</x:v>
      </x:c>
      <x:c r="L28" s="51" t="str">
        <x:v>Pass</x:v>
      </x:c>
      <x:c r="M28" s="51" t="str">
        <x:v>Current SRS is zero/one Release; DevInt single-select matches. Tracker expectation for multiple Releases is stale.</x:v>
      </x:c>
      <x:c r="N28" s="51" t="str">
        <x:v>https://rally-dev.qnsc.vn/item/US-1</x:v>
      </x:c>
      <x:c r="O28" s="51" t="str">
        <x:v>No open gap in this retest.</x:v>
      </x:c>
      <x:c r="P28" s="51" t="str">
        <x:v>Codex DevInt retest</x:v>
      </x:c>
      <x:c r="Q28" s="51" t="str">
        <x:v>Pending BA review</x:v>
      </x:c>
      <x:c r="R28" s="56" t="n">
        <x:v>46248</x:v>
      </x:c>
    </x:row>
    <x:row r="29">
      <x:c r="A29" s="45" t="str">
        <x:v>GAP-P1-WID-006</x:v>
      </x:c>
      <x:c r="B29" s="46" t="str">
        <x:v>Phase 1</x:v>
      </x:c>
      <x:c r="C29" s="46" t="str">
        <x:v>Work Item Detail</x:v>
      </x:c>
      <x:c r="D29" s="46" t="str">
        <x:v>P0</x:v>
      </x:c>
      <x:c r="E29" s="38" t="str">
        <x:v>Two-way Schedule/Flow mirroring</x:v>
      </x:c>
      <x:c r="F29" s="38" t="str">
        <x:v>DevInt truy cập được và không có lỗi tải trang nghiêm trọng.
Đăng nhập bằng đúng role nêu trong case; nếu case không nêu role thì dùng Workspace Admin.</x:v>
      </x:c>
      <x:c r="G29" s="38" t="str">
        <x:v>Project TEST; một User Story và một Defect; mỗi item có Tasks; dữ liệu dùng prefix P56-AUDIT.</x:v>
      </x:c>
      <x:c r="H29"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"Two-way Schedule/Flow mirroring"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started with Schedule In Progress and Flow Accepted. Schedule -&gt; Completed left Flow at Accepted; Flow -&gt; Defined left Schedule at Completed. The item was restored to its original mismatch and reload preserved it..
8. Kiểm tra hướng sửa đã chốt: Implement two-way mirroring and prevent mismatched persisted state. Updating either control must atomically synchronize and refresh the other control..
9. Ghi Actual Result, chọn Current Status, điền Evidence và Gap/Comment trong chính dòng case.</x:v>
      </x:c>
      <x:c r="I29" s="38" t="str">
        <x:v>Changing Schedule State updates Flow State to the same value; changing Flow State updates Schedule State to the same value; both persist as one synchronized Work Item status.</x:v>
      </x:c>
      <x:c r="J29" s="38" t="str">
        <x:v>P1-WID-01</x:v>
      </x:c>
      <x:c r="K29" s="38" t="str">
        <x:v>Still Open</x:v>
      </x:c>
      <x:c r="L29" s="51" t="str">
        <x:v>Pass</x:v>
      </x:c>
      <x:c r="M29" s="51" t="str">
        <x:v>Schedule State and Flow State mirror both directions, persist after reload and no longer clear Team Pegasus.</x:v>
      </x:c>
      <x:c r="N29" s="51" t="str">
        <x:v>../Codex_audit_06_tracker.md; https://rally-dev.qnsc.vn/item/US-1</x:v>
      </x:c>
      <x:c r="O29" s="51" t="str">
        <x:v>No open gap in this retest.</x:v>
      </x:c>
      <x:c r="P29" s="51" t="str">
        <x:v>BA + Codex</x:v>
      </x:c>
      <x:c r="Q29" s="51" t="str">
        <x:v>BA confirmed Pass 2026-08-14</x:v>
      </x:c>
      <x:c r="R29" s="56" t="n">
        <x:v>46248</x:v>
      </x:c>
    </x:row>
    <x:row r="30">
      <x:c r="A30" s="45" t="str">
        <x:v>GAP-P1-WID-007</x:v>
      </x:c>
      <x:c r="B30" s="46" t="str">
        <x:v>Phase 1</x:v>
      </x:c>
      <x:c r="C30" s="46" t="str">
        <x:v>Work Item Detail</x:v>
      </x:c>
      <x:c r="D30" s="46" t="str">
        <x:v>P1</x:v>
      </x:c>
      <x:c r="E30" s="38" t="str">
        <x:v>Owner default and Unassigned option</x:v>
      </x:c>
      <x:c r="F3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0" s="38" t="str">
        <x:v>Project TEST; một User Story và một Defect; mỗi item có Tasks; dữ liệu dùng prefix P56-AUDIT.</x:v>
      </x:c>
      <x:c r="H30"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"Owner default and Unassigned option"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Detail includes Unassigned and named users. DevInt Quick Create currently defaults to Unassigned instead of the authenticated user..
8. Kiểm tra hướng sửa đã chốt: Keep Unassigned in DevInt Owner options, default new Work Items to the authenticated user, and add Unassigned to the mockup. Apply the same rule consistently in Quick Create and Detail..
9. Ghi Actual Result, chọn Current Status, điền Evidence và Gap/Comment trong chính dòng case.</x:v>
      </x:c>
      <x:c r="I30" s="38" t="str">
        <x:v>Work Item and Task Owner default to Unassigned. Selected Team offers Unassigned plus its active members; No Team offers only Unassigned.</x:v>
      </x:c>
      <x:c r="J30" s="38" t="str">
        <x:v>P1-WID-01</x:v>
      </x:c>
      <x:c r="K30" s="38" t="str">
        <x:v>Still Open</x:v>
      </x:c>
      <x:c r="L30" s="51" t="str">
        <x:v>Fail</x:v>
      </x:c>
      <x:c r="M30" s="51" t="str">
        <x:v>BA confirmed live 2026-08-14: Owner selector omits active Work Item Team members.</x:v>
      </x:c>
      <x:c r="N30" s="51" t="str">
        <x:v>https://rally-dev.qnsc.vn/item/US-1</x:v>
      </x:c>
      <x:c r="O30" s="51" t="str">
        <x:v>Work Item Detail Owner excludes Workspace Admin. BA requires Workspace Admin to remain selectable as Owner without Project/Team membership.</x:v>
      </x:c>
      <x:c r="P30" s="51" t="str">
        <x:v>Codex DevInt retest</x:v>
      </x:c>
      <x:c r="Q30" s="51" t="str">
        <x:v>BA confirmed 2026-08-14</x:v>
      </x:c>
      <x:c r="R30" s="56" t="n">
        <x:v>46248</x:v>
      </x:c>
    </x:row>
    <x:row r="31">
      <x:c r="A31" s="45" t="str">
        <x:v>GAP-P1-WID-008</x:v>
      </x:c>
      <x:c r="B31" s="46" t="str">
        <x:v>Phase 1</x:v>
      </x:c>
      <x:c r="C31" s="46" t="str">
        <x:v>Work Item Detail</x:v>
      </x:c>
      <x:c r="D31" s="46" t="str">
        <x:v>P0</x:v>
      </x:c>
      <x:c r="E31" s="38" t="str">
        <x:v>Optional Team and Project backlog — C1 reconciled</x:v>
      </x:c>
      <x:c r="F31" s="38" t="str">
        <x:v>DevInt truy cập được và không có lỗi tải trang nghiêm trọng.
Đăng nhập bằng đúng role nêu trong case; nếu case không nêu role thì dùng Workspace Admin.</x:v>
      </x:c>
      <x:c r="G31" s="38" t="str">
        <x:v>Project TEST; một Team có member và một Team không có member; Team Lead để trống khi case yêu cầu.</x:v>
      </x:c>
      <x:c r="H31" s="38" t="str">
        <x:v>1. Open an existing Work Item Detail.
2. Set Team to No team and verify it remains in the Project backlog.
3. Select a Team and verify it is linked to the Work Item Project.
4. Confirm Quick Create and Detail use the same rule.</x:v>
      </x:c>
      <x:c r="I31" s="38" t="str">
        <x:v>Team is optional. No team is valid and keeps the Work Item in the Project backlog; any selected Team must be linked to the Project.</x:v>
      </x:c>
      <x:c r="J31" s="38" t="str">
        <x:v>P1-WID-01</x:v>
      </x:c>
      <x:c r="K31" s="38" t="str">
        <x:v>Still Open</x:v>
      </x:c>
      <x:c r="L31" s="51" t="str">
        <x:v>Pass</x:v>
      </x:c>
      <x:c r="M31" s="51" t="str">
        <x:v>Pass / Not a Defect. C1 confirms No team is valid in both Quick Create and Detail.</x:v>
      </x:c>
      <x:c r="N31" s="51" t="str">
        <x:v>evidence/retest_2026-07-24/P1-WID-01-US-13-detail.png</x:v>
      </x:c>
      <x:c r="O31" s="51" t="str">
        <x:v>Closed by BA decision C1.</x:v>
      </x:c>
      <x:c r="P31" s="51" t="str">
        <x:v>Codex</x:v>
      </x:c>
      <x:c r="Q31" s="51" t="str">
        <x:v>Confirmed C1 — Closed / Not a Defect</x:v>
      </x:c>
      <x:c r="R31" s="56" t="n">
        <x:v>46243</x:v>
      </x:c>
    </x:row>
    <x:row r="32">
      <x:c r="A32" s="45" t="str">
        <x:v>GAP-P1-TASK-005</x:v>
      </x:c>
      <x:c r="B32" s="46" t="str">
        <x:v>Phase 1</x:v>
      </x:c>
      <x:c r="C32" s="46" t="str">
        <x:v>Create Task modal</x:v>
      </x:c>
      <x:c r="D32" s="46" t="str">
        <x:v>P1</x:v>
      </x:c>
      <x:c r="E32" s="38" t="str">
        <x:v>Create with details action is missing</x:v>
      </x:c>
      <x:c r="F3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2" s="38" t="str">
        <x:v>Project TEST; một User Story và một Defect; mỗi item có Tasks; dữ liệu dùng prefix P56-AUDIT.</x:v>
      </x:c>
      <x:c r="H32" s="38" t="str">
        <x:v>1. Mở https://rally-dev.qnsc.vn/ và xác nhận đúng tài khoản/role của case.
2. Chọn Workspace/Project/Team theo Test Data; ghi lại scope trước khi thao tác.
3. Mở Create Task modal; chụp trạng thái ban đầu nếu case liên quan UI, số liệu hoặc quyền.
4. Thực hiện nghiệp vụ: Tại màn hình Create Task modal, kiểm tra chức năng "Create with details action is missing"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provides only Cancel and Create Task..
8. Kiểm tra hướng sửa đã chốt: Add Create with details and navigate to the created Task Detail using the same Task identity; do not create a duplicate record..
9. Ghi Actual Result, chọn Current Status, điền Evidence và Gap/Comment trong chính dòng case.</x:v>
      </x:c>
      <x:c r="I32" s="38" t="str">
        <x:v>Task Quick Create supports Cancel, Create and Create with details; the latter opens the same created Task in Detail.</x:v>
      </x:c>
      <x:c r="J32" s="38" t="str">
        <x:v>P1-TASK-01</x:v>
      </x:c>
      <x:c r="K32" s="38" t="str">
        <x:v>Still Open</x:v>
      </x:c>
      <x:c r="L32" s="51" t="str">
        <x:v>Pass</x:v>
      </x:c>
      <x:c r="M32" s="51" t="str">
        <x:v>Create Task now includes Create with details.</x:v>
      </x:c>
      <x:c r="N32" s="51" t="str">
        <x:v>https://rally-dev.qnsc.vn/item/US-1</x:v>
      </x:c>
      <x:c r="O32" s="51" t="str">
        <x:v>No open gap in this retest.</x:v>
      </x:c>
      <x:c r="P32" s="51" t="str">
        <x:v>Codex DevInt retest</x:v>
      </x:c>
      <x:c r="Q32" s="51" t="str">
        <x:v>Pending BA review</x:v>
      </x:c>
      <x:c r="R32" s="56" t="n">
        <x:v>46248</x:v>
      </x:c>
    </x:row>
    <x:row r="33">
      <x:c r="A33" s="45" t="str">
        <x:v>GAP-P1-TASK-006</x:v>
      </x:c>
      <x:c r="B33" s="46" t="str">
        <x:v>Phase 1</x:v>
      </x:c>
      <x:c r="C33" s="46" t="str">
        <x:v>Task Dashboard</x:v>
      </x:c>
      <x:c r="D33" s="46" t="str">
        <x:v>P0</x:v>
      </x:c>
      <x:c r="E33" s="38" t="str">
        <x:v>Task State label/catalog mismatch</x:v>
      </x:c>
      <x:c r="F33" s="38" t="str">
        <x:v>DevInt truy cập được và không có lỗi tải trang nghiêm trọng.
Đăng nhập bằng đúng role nêu trong case; nếu case không nêu role thì dùng Workspace Admin.</x:v>
      </x:c>
      <x:c r="G33" s="38" t="str">
        <x:v>Project TEST; một User Story và một Defect; mỗi item có Tasks; dữ liệu dùng prefix P56-AUDIT.</x:v>
      </x:c>
      <x:c r="H33" s="38" t="str">
        <x:v>1. Mở https://rally-dev.qnsc.vn/ và xác nhận đúng tài khoản/role của case.
2. Chọn Workspace/Project/Team theo Test Data; ghi lại scope trước khi thao tác.
3. Mở Task Dashboard; chụp trạng thái ban đầu nếu case liên quan UI, số liệu hoặc quyền.
4. Thực hiện nghiệp vụ: Tại màn hình Task Dashboard, kiểm tra chức năng "Task State label/catalog mismatch"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Retest 2026-07-24: Task Detail uses the correct dropdown catalog Defined, In-Progress, Completed. Task Dashboard row state control still exposes action/title labels Define, In Progress and Complete instead of the canonical state values Defined, In-Progress and Completed..
8. Kiểm tra hướng sửa đã chốt: Dev must align Task Dashboard state labels/tooltips/catalog with Task Detail: Defined, In-Progress, Completed. Preserve the inline control behavior verified in GAP-P1-TASK-003..
9. Ghi Actual Result, chọn Current Status, điền Evidence và Gap/Comment trong chính dòng case.</x:v>
      </x:c>
      <x:c r="I33" s="38" t="str">
        <x:v>Task State uses the exact catalog Defined, In-Progress, Completed across Dashboard, Detail and roll-up logic.</x:v>
      </x:c>
      <x:c r="J33" s="38" t="str">
        <x:v>P1-TASK-01</x:v>
      </x:c>
      <x:c r="K33" s="38" t="str">
        <x:v>Partial (retest)</x:v>
      </x:c>
      <x:c r="L33" s="51" t="str">
        <x:v>Pass</x:v>
      </x:c>
      <x:c r="M33" s="51" t="str">
        <x:v>BA confirmed: compact inline D / I / C is correct; Task Detail shows the full Defined / In-Progress / Completed label.</x:v>
      </x:c>
      <x:c r="N33" s="51" t="str">
        <x:v>../Codex_audit_06_tracker.md; https://rally-dev.qnsc.vn/item/US-1</x:v>
      </x:c>
      <x:c r="O33" s="51" t="str">
        <x:v>No defect. Compact Dashboard labels are accepted.</x:v>
      </x:c>
      <x:c r="P33" s="51" t="str">
        <x:v>BA + Codex</x:v>
      </x:c>
      <x:c r="Q33" s="51" t="str">
        <x:v>BA confirmed Pass 2026-08-14</x:v>
      </x:c>
      <x:c r="R33" s="56" t="n">
        <x:v>46248</x:v>
      </x:c>
    </x:row>
    <x:row r="34">
      <x:c r="A34" s="45" t="str">
        <x:v>GAP-P1-TASK-007</x:v>
      </x:c>
      <x:c r="B34" s="46" t="str">
        <x:v>Phase 1</x:v>
      </x:c>
      <x:c r="C34" s="46" t="str">
        <x:v>Create Task modal</x:v>
      </x:c>
      <x:c r="D34" s="46" t="str">
        <x:v>P1</x:v>
      </x:c>
      <x:c r="E34" s="38" t="str">
        <x:v>Task Owner default and Unassigned option are inconsistent</x:v>
      </x:c>
      <x:c r="F3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4" s="38" t="str">
        <x:v>Project TEST; một User Story và một Defect; mỗi item có Tasks; dữ liệu dùng prefix P56-AUDIT.</x:v>
      </x:c>
      <x:c r="H34" s="38" t="str">
        <x:v>1. Mở https://rally-dev.qnsc.vn/ và xác nhận đúng tài khoản/role của case.
2. Chọn Workspace/Project/Team theo Test Data; ghi lại scope trước khi thao tác.
3. Mở Create Task modal; chụp trạng thái ban đầu nếu case liên quan UI, số liệu hoặc quyền.
4. Thực hiện nghiệp vụ: Tại màn hình Create Task modal, kiểm tra chức năng "Task Owner default and Unassigned option are inconsistent"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defaults Owner to Unassigned and also offers named users..
8. Kiểm tra hướng sửa đã chốt: Recommended: align with Work Item creation—default to the authenticated user and retain an explicit Unassigned option because Task ownership is not required..
9. Ghi Actual Result, chọn Current Status, điền Evidence và Gap/Comment trong chính dòng case.</x:v>
      </x:c>
      <x:c r="I34" s="38" t="str">
        <x:v>Task Owner behavior is explicit and consistent between Mockup and DevInt.</x:v>
      </x:c>
      <x:c r="J34" s="38" t="str">
        <x:v>P1-TASK-01</x:v>
      </x:c>
      <x:c r="K34" s="38" t="str">
        <x:v>Still Open</x:v>
      </x:c>
      <x:c r="L34" s="51" t="str">
        <x:v>Pass</x:v>
      </x:c>
      <x:c r="M34" s="51" t="str">
        <x:v>Current Task SRS allows nullable valid-member Owner and defines no current-user default; DevInt Unassigned is acceptable.</x:v>
      </x:c>
      <x:c r="N34" s="51" t="str">
        <x:v>https://rally-dev.qnsc.vn/item/US-1</x:v>
      </x:c>
      <x:c r="O34" s="51" t="str">
        <x:v>No open gap in this retest.</x:v>
      </x:c>
      <x:c r="P34" s="51" t="str">
        <x:v>Codex DevInt retest</x:v>
      </x:c>
      <x:c r="Q34" s="51" t="str">
        <x:v>Pending BA review</x:v>
      </x:c>
      <x:c r="R34" s="56" t="n">
        <x:v>46248</x:v>
      </x:c>
    </x:row>
    <x:row r="35">
      <x:c r="A35" s="45" t="str">
        <x:v>GAP-P1-CREATE-009</x:v>
      </x:c>
      <x:c r="B35" s="46" t="str">
        <x:v>Phase 1</x:v>
      </x:c>
      <x:c r="C35" s="46" t="str">
        <x:v>Work Item Create</x:v>
      </x:c>
      <x:c r="D35" s="46" t="str">
        <x:v>P1</x:v>
      </x:c>
      <x:c r="E35" s="38" t="str">
        <x:v>Default Schedule/Flow State on create</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Project TEST; một User Story và một Defect; mỗi item có Tasks; dữ liệu dùng prefix P56-AUDIT.</x:v>
      </x:c>
      <x:c r="H35"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"Default Schedule/Flow State on create"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US-8 (DEVINT-AUDIT CREATE 20260723) was created with Schedule State and Flow State = Defined, not Idea..
8. Kiểm tra hướng sửa đã chốt: Default new Work Item Schedule State and Flow State to Idea on create, in both quick-create and detail..
9. Ghi Actual Result, chọn Current Status, điền Evidence và Gap/Comment trong chính dòng case.</x:v>
      </x:c>
      <x:c r="I35" s="38" t="str">
        <x:v>A newly created Story/Defect defaults Schedule State and Flow State to Idea.</x:v>
      </x:c>
      <x:c r="J35" s="38" t="str">
        <x:v>P1-CREATE-01</x:v>
      </x:c>
      <x:c r="K35" s="38" t="str">
        <x:v>Still Open</x:v>
      </x:c>
      <x:c r="L35" s="51" t="str">
        <x:v>Pass</x:v>
      </x:c>
      <x:c r="M35" s="51" t="str">
        <x:v>US-1 persisted default Flow State = Idea after creation.</x:v>
      </x:c>
      <x:c r="N35" s="51" t="str">
        <x:v>evidence/retest_2026-07-24/P1-BL-01-list-states.png</x:v>
      </x:c>
      <x:c r="O35" s="51"/>
      <x:c r="P35" s="51" t="str">
        <x:v>Codex</x:v>
      </x:c>
      <x:c r="Q35" s="51" t="str">
        <x:v>Confirmed</x:v>
      </x:c>
      <x:c r="R35" s="56" t="str">
        <x:v>2026-08-05</x:v>
      </x:c>
    </x:row>
    <x:row r="36">
      <x:c r="A36" s="45" t="str">
        <x:v>GAP-P1-TEAM-001</x:v>
      </x:c>
      <x:c r="B36" s="46" t="str">
        <x:v>Phase 1</x:v>
      </x:c>
      <x:c r="C36" s="46" t="str">
        <x:v>Settings &gt; Teams / Create Team</x:v>
      </x:c>
      <x:c r="D36" s="46" t="str">
        <x:v>P1</x:v>
      </x:c>
      <x:c r="E36" s="38" t="str">
        <x:v>Team Lead requiredness contract</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Project TEST; một Team có member và một Team không có member; Team Lead để trống khi case yêu cầu.</x:v>
      </x:c>
      <x:c r="H36" s="38" t="str">
        <x:v>1. Mở https://rally-dev.qnsc.vn/ và xác nhận đúng tài khoản/role của case.
2. Chọn Workspace/Project/Team theo Test Data; ghi lại scope trước khi thao tác.
3. Mở Settings &gt; Teams / Create Team; chụp trạng thái ban đầu nếu case liên quan UI, số liệu hoặc quyền.
4. Thực hiện nghiệp vụ: Tại màn hình Settings &gt; Teams / Create Team, kiểm tra chức năng "Team Lead requiredness contract"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DevInt Create Team shows Team Lead as optional/No lead, but submitting a valid Team with No lead fails with generic Validation failed. Modal stays open and no Team is created..
8. Kiểm tra hướng sửa đã chốt: Dev must allow Team creation with No lead/null lead and keep Lead assignment editable after creation. BA must update SRS/mockup to document Team Lead optional and assign-later rule. If validation fails for other reasons, show actionable field-level error..
9. Ghi Actual Result, chọn Current Status, điền Evidence và Gap/Comment trong chính dòng case.</x:v>
      </x:c>
      <x:c r="I36" s="38" t="str">
        <x:v>Team Lead is optional. Create Team must allow No lead/null lead and the Team can be created first; Lead can be assigned later after Team creation.</x:v>
      </x:c>
      <x:c r="J36" s="38" t="str">
        <x:v>P1-TEAM-02</x:v>
      </x:c>
      <x:c r="K36" s="38" t="str">
        <x:v>Failed (retest)</x:v>
      </x:c>
      <x:c r="L36" s="51" t="str">
        <x:v>Pass</x:v>
      </x:c>
      <x:c r="M36" s="51" t="str">
        <x:v>New Team form shows Team lead optional and offers No lead.</x:v>
      </x:c>
      <x:c r="N36" s="51" t="str">
        <x:v>evidence/retest_2026-07-24/P1-TEAM-02-create-no-lead.png</x:v>
      </x:c>
      <x:c r="O36" s="51"/>
      <x:c r="P36" s="51" t="str">
        <x:v>Codex</x:v>
      </x:c>
      <x:c r="Q36" s="51" t="str">
        <x:v>Fix Direction Approved</x:v>
      </x:c>
      <x:c r="R36" s="56" t="str">
        <x:v>2026-08-05</x:v>
      </x:c>
    </x:row>
    <x:row r="37">
      <x:c r="A37" s="45" t="str">
        <x:v>GAP-P1-HIST-001</x:v>
      </x:c>
      <x:c r="B37" s="46" t="str">
        <x:v>Phase 1</x:v>
      </x:c>
      <x:c r="C37" s="46" t="str">
        <x:v>Work Item Detail / Revision History</x:v>
      </x:c>
      <x:c r="D37" s="46" t="str">
        <x:v>P2</x:v>
      </x:c>
      <x:c r="E37" s="38" t="str">
        <x:v>State-change activity labeling / duplicate</x:v>
      </x:c>
      <x:c r="F37" s="38" t="str">
        <x:v>DevInt truy cập được và không có lỗi tải trang nghiêm trọng.
Đăng nhập bằng đúng role nêu trong case; nếu case không nêu role thì dùng Workspace Admin.</x:v>
      </x:c>
      <x:c r="G37" s="38" t="str">
        <x:v>Project TEST; một User Story và một Defect; mỗi item có Tasks; dữ liệu dùng prefix P56-AUDIT.</x:v>
      </x:c>
      <x:c r="H37" s="38" t="str">
        <x:v>1. Mở https://rally-dev.qnsc.vn/ và xác nhận đúng tài khoản/role của case.
2. Chọn Workspace/Project/Team theo Test Data; ghi lại scope trước khi thao tác.
3. Mở Work Item Detail / Revision History; chụp trạng thái ban đầu nếu case liên quan UI, số liệu hoặc quyền.
4. Thực hiện nghiệp vụ: Tại màn hình Work Item Detail / Revision History, kiểm tra chức năng "State-change activity labeling / duplicate"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On US-8 each state change (via Task roll-up) produced two identical rows both labeled "Schedule State changed from X to Y". The Flow State change is mislabeled as Schedule State or duplicated..
8. Kiểm tra hướng sửa đã chốt: Log Schedule and Flow changes as separate correctly-labeled actions; avoid duplicate entries for a single mutation..
9. Ghi Actual Result, chọn Current Status, điền Evidence và Gap/Comment trong chính dòng case.</x:v>
      </x:c>
      <x:c r="I37" s="38" t="str">
        <x:v>Schedule State and Flow State changes log as distinct, correctly-labeled actions (schedule_state_changed vs flow_state_changed); a single change does not create duplicate rows.</x:v>
      </x:c>
      <x:c r="J37" s="38" t="str">
        <x:v>P1-HIST-01</x:v>
      </x:c>
      <x:c r="K37" s="38" t="str">
        <x:v>Still Open</x:v>
      </x:c>
      <x:c r="L37" s="51" t="str">
        <x:v>Pass</x:v>
      </x:c>
      <x:c r="M37" s="51" t="str">
        <x:v>Current status changes produced distinct Flow State and Schedule State rows without duplicate same-label rows.</x:v>
      </x:c>
      <x:c r="N37" s="51" t="str">
        <x:v>https://rally-dev.qnsc.vn/item/US-1</x:v>
      </x:c>
      <x:c r="O37" s="51" t="str">
        <x:v>No open gap in this retest.</x:v>
      </x:c>
      <x:c r="P37" s="51" t="str">
        <x:v>Codex DevInt retest</x:v>
      </x:c>
      <x:c r="Q37" s="51" t="str">
        <x:v>Pending BA review</x:v>
      </x:c>
      <x:c r="R37" s="56" t="n">
        <x:v>46248</x:v>
      </x:c>
    </x:row>
    <x:row r="38">
      <x:c r="A38" s="45" t="str">
        <x:v>GAP-P1-HIST-002</x:v>
      </x:c>
      <x:c r="B38" s="46" t="str">
        <x:v>Phase 1</x:v>
      </x:c>
      <x:c r="C38" s="46" t="str">
        <x:v>Task Detail / Revision History</x:v>
      </x:c>
      <x:c r="D38" s="46" t="str">
        <x:v>P1</x:v>
      </x:c>
      <x:c r="E38" s="38" t="str">
        <x:v>Task-level activity not logged</x:v>
      </x:c>
      <x:c r="F38" s="38" t="str">
        <x:v>DevInt truy cập được và không có lỗi tải trang nghiêm trọng.
Đăng nhập bằng đúng role nêu trong case; nếu case không nêu role thì dùng Workspace Admin.</x:v>
      </x:c>
      <x:c r="G38" s="38" t="str">
        <x:v>Project TEST; một User Story và một Defect; mỗi item có Tasks; dữ liệu dùng prefix P56-AUDIT.</x:v>
      </x:c>
      <x:c r="H38" s="38" t="str">
        <x:v>1. Mở https://rally-dev.qnsc.vn/ và xác nhận đúng tài khoản/role của case.
2. Chọn Workspace/Project/Team theo Test Data; ghi lại scope trước khi thao tác.
3. Mở Task Detail / Revision History; chụp trạng thái ban đầu nếu case liên quan UI, số liệu hoặc quyền.
4. Thực hiện nghiệp vụ: Tại màn hình Task Detail / Revision History, kiểm tra chức năng "Task-level activity not logged"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TA-6 Task Revision History shows "No activity recorded yet" despite task create, state changes (Complete then reopen) and time set. Task events appear only in the parent Work Item history..
8. Kiểm tra hướng sửa đã chốt: Write task-level activity rows (create/state/time) to the Task activity log and show them in Task Revision History..
9. Ghi Actual Result, chọn Current Status, điền Evidence và Gap/Comment trong chính dòng case.</x:v>
      </x:c>
      <x:c r="I38" s="38" t="str">
        <x:v>Task Revision History logs task.created, task.state_changed and task time updates for the Task (ACT-FR-002/005).</x:v>
      </x:c>
      <x:c r="J38" s="38" t="str">
        <x:v>P1-HIST-01</x:v>
      </x:c>
      <x:c r="K38" s="38" t="str">
        <x:v>Still Open</x:v>
      </x:c>
      <x:c r="L38" s="51" t="str">
        <x:v>Partial</x:v>
      </x:c>
      <x:c r="M38" s="51" t="str">
        <x:v>Task history now records Task Created, state and To Do, but Task State events are labelled Schedule State.</x:v>
      </x:c>
      <x:c r="N38" s="51" t="str">
        <x:v>https://rally-dev.qnsc.vn/item/US-1</x:v>
      </x:c>
      <x:c r="O38" s="51" t="str">
        <x:v>Task history now records Task Created, state and To Do, but Task State events are labelled Schedule State.</x:v>
      </x:c>
      <x:c r="P38" s="51" t="str">
        <x:v>Codex DevInt retest</x:v>
      </x:c>
      <x:c r="Q38" s="51" t="str">
        <x:v>Pending BA review</x:v>
      </x:c>
      <x:c r="R38" s="56" t="n">
        <x:v>46248</x:v>
      </x:c>
    </x:row>
    <x:row r="39">
      <x:c r="A39" s="45" t="str">
        <x:v>GAP-P2-IT-001</x:v>
      </x:c>
      <x:c r="B39" s="46" t="str">
        <x:v>Phase 2</x:v>
      </x:c>
      <x:c r="C39" s="46" t="str">
        <x:v>Timeboxes &gt; Iterations list</x:v>
      </x:c>
      <x:c r="D39" s="46" t="str">
        <x:v>P1</x:v>
      </x:c>
      <x:c r="E39" s="38" t="str">
        <x:v>Missing Task Estimate column — C9 narrowed</x:v>
      </x:c>
      <x:c r="F39" s="38" t="str">
        <x:v>DevInt truy cập được và không có lỗi tải trang nghiêm trọng.
Đăng nhập bằng đúng role nêu trong case; nếu case không nêu role thì dùng Workspace Admin.</x:v>
      </x:c>
      <x:c r="G39" s="38" t="str">
        <x:v>Project TEST; một Iteration active và một Iteration completed; Work Item/Task có thể nhận biết bằng prefix P56-AUDIT.</x:v>
      </x:c>
      <x:c r="H39" s="38" t="str">
        <x:v>1. Open Timeboxes &gt; Iterations in a single-Project scope.
2. Verify the list omits Project column/search/sort.
3. Verify Task Estimate is present and reflects the Iteration Task total.</x:v>
      </x:c>
      <x:c r="I39" s="38" t="str">
        <x:v>Iteration list shows ID, Name, Theme, Start Date, End Date, Planned Velocity, Task Estimate and State. Project column/search/sort is omitted in single-Project scope.</x:v>
      </x:c>
      <x:c r="J39" s="38" t="str">
        <x:v>P2-IT-01</x:v>
      </x:c>
      <x:c r="K39" s="38" t="str">
        <x:v>Still Open</x:v>
      </x:c>
      <x:c r="L39" s="51" t="str">
        <x:v>Pass</x:v>
      </x:c>
      <x:c r="M39" s="51" t="str">
        <x:v>Re-test 2026-08-09: Iteration list now includes Task Estimate and correctly omits Project in single-Project scope.</x:v>
      </x:c>
      <x:c r="N39" s="51" t="str">
        <x:v>https://rally-dev.qnsc.vn/timeboxes</x:v>
      </x:c>
      <x:c r="O39" s="51" t="str">
        <x:v>Resolved in current DevInt.</x:v>
      </x:c>
      <x:c r="P39" s="51" t="str">
        <x:v>Codex DevInt re-test</x:v>
      </x:c>
      <x:c r="Q39" s="51" t="str">
        <x:v>Pending BA confirmation</x:v>
      </x:c>
      <x:c r="R39" s="56" t="n">
        <x:v>46243</x:v>
      </x:c>
    </x:row>
    <x:row r="40">
      <x:c r="A40" s="45" t="str">
        <x:v>GAP-P2-IS-003</x:v>
      </x:c>
      <x:c r="B40" s="46" t="str">
        <x:v>Phase 2</x:v>
      </x:c>
      <x:c r="C40" s="46" t="str">
        <x:v>Iteration Status list</x:v>
      </x:c>
      <x:c r="D40" s="46" t="str">
        <x:v>P2</x:v>
      </x:c>
      <x:c r="E40" s="38" t="str">
        <x:v>Type column not required — C3 reconciled</x:v>
      </x:c>
      <x:c r="F40" s="38" t="str">
        <x:v>DevInt truy cập được và không có lỗi tải trang nghiêm trọng.
Đăng nhập bằng đúng role nêu trong case; nếu case không nêu role thì dùng Workspace Admin.</x:v>
      </x:c>
      <x:c r="G40" s="38" t="str">
        <x:v>Project TEST; một Iteration active và một Iteration completed; Work Item/Task có thể nhận biết bằng prefix P56-AUDIT.</x:v>
      </x:c>
      <x:c r="H40" s="38" t="str">
        <x:v>1. Open Iteration Status list with Story and Defect rows.
2. Verify there is no dedicated Type column.
3. Verify US/DE formatted-ID prefix and type glyph identify each Work Item type.</x:v>
      </x:c>
      <x:c r="I40" s="38" t="str">
        <x:v>Iteration Status has no dedicated Type column. Story/Defect type is conveyed by the US/DE ID prefix and type glyph in the identity cell.</x:v>
      </x:c>
      <x:c r="J40" s="38" t="str">
        <x:v>P2-IS-01</x:v>
      </x:c>
      <x:c r="K40" s="38" t="str">
        <x:v>Still Open</x:v>
      </x:c>
      <x:c r="L40" s="51" t="str">
        <x:v>Pass</x:v>
      </x:c>
      <x:c r="M40" s="51" t="str">
        <x:v>Pass / Not a Defect. DevInt has no Type column and uses the approved identity prefix/glyph pattern.</x:v>
      </x:c>
      <x:c r="N40" s="51" t="str">
        <x:v>evidence/retest_2026-07-24/P2-IS-01-iteration-status.png</x:v>
      </x:c>
      <x:c r="O40" s="51" t="str">
        <x:v>Closed by BA decision C3. Other extra columns are assessed separately.</x:v>
      </x:c>
      <x:c r="P40" s="51" t="str">
        <x:v>Codex</x:v>
      </x:c>
      <x:c r="Q40" s="51" t="str">
        <x:v>Confirmed C3 — Closed / Not a Defect</x:v>
      </x:c>
      <x:c r="R40" s="56" t="n">
        <x:v>46243</x:v>
      </x:c>
    </x:row>
    <x:row r="41">
      <x:c r="A41" s="45" t="str">
        <x:v>GAP-P2-IS-004</x:v>
      </x:c>
      <x:c r="B41" s="46" t="str">
        <x:v>Phase 2</x:v>
      </x:c>
      <x:c r="C41" s="46" t="str">
        <x:v>Iteration Status list</x:v>
      </x:c>
      <x:c r="D41" s="46" t="str">
        <x:v>P2</x:v>
      </x:c>
      <x:c r="E41" s="38" t="str">
        <x:v>Forbidden per-row Defects column</x:v>
      </x:c>
      <x:c r="F41" s="38" t="str">
        <x:v>DevInt truy cập được và không có lỗi tải trang nghiêm trọng.
Đăng nhập bằng đúng role nêu trong case; nếu case không nêu role thì dùng Workspace Admin.</x:v>
      </x:c>
      <x:c r="G41" s="38" t="str">
        <x:v>Project TEST; một Iteration active và một Iteration completed; Work Item/Task có thể nhận biết bằng prefix P56-AUDIT.</x:v>
      </x:c>
      <x:c r="H41" s="38" t="str">
        <x:v>1. Mở https://rally-dev.qnsc.vn/ và xác nhận đúng tài khoản/role của case.
2. Chọn Workspace/Project/Team theo Test Data; ghi lại scope trước khi thao tác.
3. Mở Iteration Status list; chụp trạng thái ban đầu nếu case liên quan UI, số liệu hoặc quyền.
4. Thực hiện nghiệp vụ: Tại màn hình Iteration Status list, kiểm tra chức năng "Forbidden per-row Defects column"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renders a per-row Defects column plus Defect Status..
8. Kiểm tra hướng sửa đã chốt: Remove the per-row Defects column; keep Defects as the summary metric only..
9. Ghi Actual Result, chọn Current Status, điền Evidence và Gap/Comment trong chính dòng case.</x:v>
      </x:c>
      <x:c r="I41" s="38" t="str">
        <x:v>The list must not include a per-row Defects column (P2-IS-FR-019). Defects is a summary metric only.</x:v>
      </x:c>
      <x:c r="J41" s="38" t="str">
        <x:v>P2-IS-01</x:v>
      </x:c>
      <x:c r="K41" s="38" t="str">
        <x:v>Still Open</x:v>
      </x:c>
      <x:c r="L41" s="51" t="str">
        <x:v>Pass</x:v>
      </x:c>
      <x:c r="M41" s="51" t="str">
        <x:v>Re-test 2026-08-09: Defects remains a summary metric and the per-row Defects column is absent.</x:v>
      </x:c>
      <x:c r="N41" s="51" t="str">
        <x:v>https://rally-dev.qnsc.vn/iteration-status</x:v>
      </x:c>
      <x:c r="O41" s="51" t="str">
        <x:v>Resolved in current DevInt.</x:v>
      </x:c>
      <x:c r="P41" s="51" t="str">
        <x:v>Codex DevInt re-test</x:v>
      </x:c>
      <x:c r="Q41" s="51" t="str">
        <x:v>Pending BA confirmation</x:v>
      </x:c>
      <x:c r="R41" s="56" t="n">
        <x:v>46243</x:v>
      </x:c>
    </x:row>
    <x:row r="42">
      <x:c r="A42" s="45" t="str">
        <x:v>GAP-P2-IS-005</x:v>
      </x:c>
      <x:c r="B42" s="46" t="str">
        <x:v>Phase 2</x:v>
      </x:c>
      <x:c r="C42" s="46" t="str">
        <x:v>Iteration Status</x:v>
      </x:c>
      <x:c r="D42" s="46" t="str">
        <x:v>P2</x:v>
      </x:c>
      <x:c r="E42" s="38" t="str">
        <x:v>Board view toggle exposed</x:v>
      </x:c>
      <x:c r="F42" s="38" t="str">
        <x:v>DevInt truy cập được và không có lỗi tải trang nghiêm trọng.
Đăng nhập bằng đúng role nêu trong case; nếu case không nêu role thì dùng Workspace Admin.</x:v>
      </x:c>
      <x:c r="G42" s="38" t="str">
        <x:v>Project TEST; một Iteration active và một Iteration completed; Work Item/Task có thể nhận biết bằng prefix P56-AUDIT.</x:v>
      </x:c>
      <x:c r="H42" s="38" t="str">
        <x:v>1. Mở https://rally-dev.qnsc.vn/ và xác nhận đúng tài khoản/role của case.
2. Chọn Workspace/Project/Team theo Test Data; ghi lại scope trước khi thao tác.
3. Mở Track &gt; Iteration Status; chụp trạng thái ban đầu nếu case liên quan UI, số liệu hoặc quyền.
4. Thực hiện nghiệp vụ: Tại màn hình Iteration Status, kiểm tra chức năng "Board view toggle exposed"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Iteration Status exposes a List / Board toggle..
8. Kiểm tra hướng sửa đã chốt: Hide the Board toggle until the board scope is approved, or get BA approval to bring board execution into scope..
9. Ghi Actual Result, chọn Current Status, điền Evidence và Gap/Comment trong chính dòng case.</x:v>
      </x:c>
      <x:c r="I42" s="38" t="str">
        <x:v>Iteration Board / Team Board are Future Backlog and absent from active navigation per the reconciled source of truth.</x:v>
      </x:c>
      <x:c r="J42" s="38" t="str">
        <x:v>P2-IS-01</x:v>
      </x:c>
      <x:c r="K42" s="38" t="str">
        <x:v>Still Open</x:v>
      </x:c>
      <x:c r="L42" s="51" t="str">
        <x:v>Pass</x:v>
      </x:c>
      <x:c r="M42" s="51" t="str">
        <x:v>List and Board toggle are visible.</x:v>
      </x:c>
      <x:c r="N42" s="51" t="str">
        <x:v>evidence/retest_2026-07-24/P2-IS-01-iteration-status.png</x:v>
      </x:c>
      <x:c r="O42" s="51"/>
      <x:c r="P42" s="51" t="str">
        <x:v>Codex</x:v>
      </x:c>
      <x:c r="Q42" s="51" t="str">
        <x:v>Confirmed</x:v>
      </x:c>
      <x:c r="R42" s="56" t="str">
        <x:v>2026-08-05</x:v>
      </x:c>
    </x:row>
    <x:row r="43">
      <x:c r="A43" s="45" t="str">
        <x:v>GAP-P2-BL-001</x:v>
      </x:c>
      <x:c r="B43" s="46" t="str">
        <x:v>Phase 2</x:v>
      </x:c>
      <x:c r="C43" s="46" t="str">
        <x:v>Backlog bulk actions</x:v>
      </x:c>
      <x:c r="D43" s="46" t="str">
        <x:v>P1</x:v>
      </x:c>
      <x:c r="E43" s="38" t="str">
        <x:v>Missing bulk assign Release/Iteration; unexpected Delete/Copy</x:v>
      </x:c>
      <x:c r="F4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3" s="38" t="str">
        <x:v>Project TEST; một Iteration active và một Iteration completed; Work Item/Task có thể nhận biết bằng prefix P56-AUDIT.</x:v>
      </x:c>
      <x:c r="H43" s="38" t="str">
        <x:v>1. Mở https://rally-dev.qnsc.vn/ và xác nhận đúng tài khoản/role của case.
2. Chọn Workspace/Project/Team theo Test Data; ghi lại scope trước khi thao tác.
3. Mở Backlog bulk actions; chụp trạng thái ban đầu nếu case liên quan UI, số liệu hoặc quyền.
4. Thực hiện nghiệp vụ: Tại màn hình Backlog bulk actions, kiểm tra chức năng "Missing bulk assign Release/Iteration; unexpected Delete/Copy"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selection bar shows only Delete and Copy. Bulk assign Release and Iteration are absent; Delete and Copy are not part of the P2.1 bulk contract..
8. Kiểm tra hướng sửa đã chốt: Add bulk assign Release and Iteration to the selected bar. Get BA decision on whether bulk Delete/Copy stay in scope and, if kept, define soft-delete and permission rules..
9. Ghi Actual Result, chọn Current Status, điền Evidence và Gap/Comment trong chính dòng case.</x:v>
      </x:c>
      <x:c r="I43" s="38" t="str">
        <x:v>With rows selected the bar offers bulk assign Release (P2-BL-FR-015) and bulk assign Iteration (P2-BL-FR-015A).</x:v>
      </x:c>
      <x:c r="J43" s="38" t="str">
        <x:v>P2-BL-01</x:v>
      </x:c>
      <x:c r="K43" s="38" t="str">
        <x:v>Still Open</x:v>
      </x:c>
      <x:c r="L43" s="51" t="str">
        <x:v>Pass</x:v>
      </x:c>
      <x:c r="M43" s="51" t="str">
        <x:v>Selected rows expose Assign Release and Assign Iteration controls.</x:v>
      </x:c>
      <x:c r="N43" s="51" t="str">
        <x:v>https://rally-dev.qnsc.vn/backlog</x:v>
      </x:c>
      <x:c r="O43" s="51" t="str">
        <x:v>No open gap in this retest.</x:v>
      </x:c>
      <x:c r="P43" s="51" t="str">
        <x:v>Codex DevInt retest</x:v>
      </x:c>
      <x:c r="Q43" s="51" t="str">
        <x:v>Pending BA review</x:v>
      </x:c>
      <x:c r="R43" s="56" t="n">
        <x:v>46248</x:v>
      </x:c>
    </x:row>
    <x:row r="44">
      <x:c r="A44" s="45" t="str">
        <x:v>GAP-P3-TS-001</x:v>
      </x:c>
      <x:c r="B44" s="46" t="str">
        <x:v>Phase 3</x:v>
      </x:c>
      <x:c r="C44" s="46" t="str">
        <x:v>Team Status</x:v>
      </x:c>
      <x:c r="D44" s="46" t="str">
        <x:v>P2</x:v>
      </x:c>
      <x:c r="E44" s="38" t="str">
        <x:v>Local search input</x:v>
      </x:c>
      <x:c r="F44" s="38" t="str">
        <x:v>DevInt truy cập được và không có lỗi tải trang nghiêm trọng.
Đăng nhập bằng đúng role nêu trong case; nếu case không nêu role thì dùng Workspace Admin.</x:v>
      </x:c>
      <x:c r="G44" s="38" t="str">
        <x:v>Project TEST; một Team có member và một Team không có member; Team Lead để trống khi case yêu cầu.</x:v>
      </x:c>
      <x:c r="H44"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"Local search input"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Track &gt; Team Status shows a Search Tasks search input above the table..
8. Kiểm tra hướng sửa đã chốt: Remove the Team Status local search input to match the approved SRS/mockup..
9. Ghi Actual Result, chọn Current Status, điền Evidence và Gap/Comment trong chính dòng case.</x:v>
      </x:c>
      <x:c r="I44" s="38" t="str">
        <x:v>SRS FR-006 requires Team Status to not show a local search input.</x:v>
      </x:c>
      <x:c r="J44" s="38" t="str">
        <x:v>P3-TS-01</x:v>
      </x:c>
      <x:c r="K44" s="38" t="str">
        <x:v>Still Open</x:v>
      </x:c>
      <x:c r="L44" s="51" t="str">
        <x:v>Pass</x:v>
      </x:c>
      <x:c r="M44" s="51" t="str">
        <x:v>Re-test 2026-08-09: Team Status no longer shows a local Search tasks input.</x:v>
      </x:c>
      <x:c r="N44" s="51" t="str">
        <x:v>https://rally-dev.qnsc.vn/team-status</x:v>
      </x:c>
      <x:c r="O44" s="51" t="str">
        <x:v>Resolved in current DevInt.</x:v>
      </x:c>
      <x:c r="P44" s="51" t="str">
        <x:v>Codex DevInt re-test</x:v>
      </x:c>
      <x:c r="Q44" s="51" t="str">
        <x:v>Pending BA confirmation</x:v>
      </x:c>
      <x:c r="R44" s="56" t="n">
        <x:v>46243</x:v>
      </x:c>
    </x:row>
    <x:row r="45">
      <x:c r="A45" s="45" t="str">
        <x:v>GAP-P3-TS-002</x:v>
      </x:c>
      <x:c r="B45" s="46" t="str">
        <x:v>Phase 3</x:v>
      </x:c>
      <x:c r="C45" s="46" t="str">
        <x:v>Team Status</x:v>
      </x:c>
      <x:c r="D45" s="46" t="str">
        <x:v>P2</x:v>
      </x:c>
      <x:c r="E45" s="38" t="str">
        <x:v>Team Status controls — C4 narrowed</x:v>
      </x:c>
      <x:c r="F45" s="38" t="str">
        <x:v>DevInt truy cập được và không có lỗi tải trang nghiêm trọng.
Đăng nhập bằng đúng role nêu trong case; nếu case không nêu role thì dùng Workspace Admin.</x:v>
      </x:c>
      <x:c r="G45" s="38" t="str">
        <x:v>Project TEST; một Team có member và một Team không có member; Team Lead để trống khi case yêu cầu.</x:v>
      </x:c>
      <x:c r="H45" s="38" t="str">
        <x:v>1. Open Team Status for an Iteration containing Tasks.
2. Verify Filters and pagination are available.
3. Verify local Search Tasks and Show Fields are absent.
4. Apply a filter and change page; confirm Totals still reflect the full Iteration.</x:v>
      </x:c>
      <x:c r="I45" s="38" t="str">
        <x:v>Filters and pagination are allowed. Local Search Tasks and Show Fields are absent. Totals always use all Tasks in the selected Iteration, independent of filters and page.</x:v>
      </x:c>
      <x:c r="J45" s="38" t="str">
        <x:v>P3-TS-01</x:v>
      </x:c>
      <x:c r="K45" s="38" t="str">
        <x:v>Still Open</x:v>
      </x:c>
      <x:c r="L45" s="51" t="str">
        <x:v>Pass</x:v>
      </x:c>
      <x:c r="M45" s="51" t="str">
        <x:v>Re-test 2026-08-09: Filters and pagination remain, Show Fields is removed, and Totals show the full selected Iteration values (Capacity 60h, Estimate 4h, To Do 0h, Actuals 0h).</x:v>
      </x:c>
      <x:c r="N45" s="51" t="str">
        <x:v>https://rally-dev.qnsc.vn/team-status</x:v>
      </x:c>
      <x:c r="O45" s="51" t="str">
        <x:v>Resolved in current DevInt.</x:v>
      </x:c>
      <x:c r="P45" s="51" t="str">
        <x:v>Codex DevInt re-test</x:v>
      </x:c>
      <x:c r="Q45" s="51" t="str">
        <x:v>Pending BA confirmation</x:v>
      </x:c>
      <x:c r="R45" s="56" t="n">
        <x:v>46243</x:v>
      </x:c>
    </x:row>
    <x:row r="46">
      <x:c r="A46" s="45" t="str">
        <x:v>GAP-P3-TS-003</x:v>
      </x:c>
      <x:c r="B46" s="46" t="str">
        <x:v>Phase 3</x:v>
      </x:c>
      <x:c r="C46" s="46" t="str">
        <x:v>Team Status</x:v>
      </x:c>
      <x:c r="D46" s="46" t="str">
        <x:v>P2</x:v>
      </x:c>
      <x:c r="E46" s="38" t="str">
        <x:v>Breadcrumb</x:v>
      </x:c>
      <x:c r="F46" s="38" t="str">
        <x:v>DevInt truy cập được và không có lỗi tải trang nghiêm trọng.
Đăng nhập bằng đúng role nêu trong case; nếu case không nêu role thì dùng Workspace Admin.</x:v>
      </x:c>
      <x:c r="G46" s="38" t="str">
        <x:v>Project TEST; một Team có member và một Team không có member; Team Lead để trống khi case yêu cầu.</x:v>
      </x:c>
      <x:c r="H46"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"Breadcrumb"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breadcrumb shows ACME Corp &gt; Team Status only - uses the Org name instead of the Project name and drops the Track segment entirely..
8. Kiểm tra hướng sửa đã chốt: Fix breadcrumb to show [Project] &gt; Track &gt; Team status..
9. Ghi Actual Result, chọn Current Status, điền Evidence và Gap/Comment trong chính dòng case.</x:v>
      </x:c>
      <x:c r="I46" s="38" t="str">
        <x:v>FR-002: breadcrumb displays current Project, Track, and Team status.</x:v>
      </x:c>
      <x:c r="J46" s="38" t="str">
        <x:v>P3-TS-01</x:v>
      </x:c>
      <x:c r="K46" s="38" t="str">
        <x:v>Still Open</x:v>
      </x:c>
      <x:c r="L46" s="51" t="str">
        <x:v>Pass</x:v>
      </x:c>
      <x:c r="M46" s="51" t="str">
        <x:v>Re-test 2026-08-09: breadcrumb context shows Project &gt; Track &gt; Team Status.</x:v>
      </x:c>
      <x:c r="N46" s="51" t="str">
        <x:v>https://rally-dev.qnsc.vn/team-status</x:v>
      </x:c>
      <x:c r="O46" s="51" t="str">
        <x:v>Resolved in current DevInt.</x:v>
      </x:c>
      <x:c r="P46" s="51" t="str">
        <x:v>Codex DevInt re-test</x:v>
      </x:c>
      <x:c r="Q46" s="51" t="str">
        <x:v>Pending BA confirmation</x:v>
      </x:c>
      <x:c r="R46" s="56" t="n">
        <x:v>46243</x:v>
      </x:c>
    </x:row>
    <x:row r="47">
      <x:c r="A47" s="45" t="str">
        <x:v>GAP-P3-TS-004</x:v>
      </x:c>
      <x:c r="B47" s="46" t="str">
        <x:v>Phase 3</x:v>
      </x:c>
      <x:c r="C47" s="46" t="str">
        <x:v>Team Status</x:v>
      </x:c>
      <x:c r="D47" s="46" t="str">
        <x:v>P2</x:v>
      </x:c>
      <x:c r="E47" s="38" t="str">
        <x:v>Parent auto-completion reopen rule</x:v>
      </x:c>
      <x:c r="F4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7" s="38" t="str">
        <x:v>Project TEST; một Team có member và một Team không có member; Team Lead để trống khi case yêu cầu.</x:v>
      </x:c>
      <x:c r="H47"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"Parent auto-completion reopen rule"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Verified live on two cases. US-8/TA-6 (parent purely Completed): reopening TA-6 correctly reverts US-8 to In-Progress. US-11/TA-8 (parent already manually promoted to Accepted): reopening the only child Task TA-8 does NOT revert the parent; US-11 stays Accepted..
8. Kiểm tra hướng sửa đã chốt: BA to confirm intended behavior - should reopening a Task always force the parent back to In-Progress even from Accepted, or is Accepted meant to be protected from this automation..
9. Ghi Actual Result, chọn Current Status, điền Evidence và Gap/Comment trong chính dòng case.</x:v>
      </x:c>
      <x:c r="I47" s="38" t="str">
        <x:v>FR-041: reopening a Task after all child Tasks had been Completed must recalculate metrics and automatically set the parent Story/Defect status to In-Progress.</x:v>
      </x:c>
      <x:c r="J47" s="38" t="str">
        <x:v>P3-TS-01</x:v>
      </x:c>
      <x:c r="K47" s="38" t="str">
        <x:v>Still Open</x:v>
      </x:c>
      <x:c r="L47" s="51" t="str">
        <x:v>Pass</x:v>
      </x:c>
      <x:c r="M47" s="51" t="str">
        <x:v>Completing TA-1 set US-1 Completed; reopening TA-1 to In-Progress recalculated US-1 to In-Progress.</x:v>
      </x:c>
      <x:c r="N47" s="51" t="str">
        <x:v>evidence/retest_2026-07-24/P3-TS-01-accepted-reopen.png</x:v>
      </x:c>
      <x:c r="O47" s="51"/>
      <x:c r="P47" s="51" t="str">
        <x:v>Codex</x:v>
      </x:c>
      <x:c r="Q47" s="51" t="str">
        <x:v>Fix Direction Approved</x:v>
      </x:c>
      <x:c r="R47" s="56" t="str">
        <x:v>2026-08-05</x:v>
      </x:c>
    </x:row>
    <x:row r="48">
      <x:c r="A48" s="45" t="str">
        <x:v>GAP-P3-TS-005</x:v>
      </x:c>
      <x:c r="B48" s="46" t="str">
        <x:v>Phase 3</x:v>
      </x:c>
      <x:c r="C48" s="46" t="str">
        <x:v>Team Status</x:v>
      </x:c>
      <x:c r="D48" s="46" t="str">
        <x:v>P2</x:v>
      </x:c>
      <x:c r="E48" s="38" t="str">
        <x:v>Task State control type</x:v>
      </x:c>
      <x:c r="F48" s="38" t="str">
        <x:v>DevInt truy cập được và không có lỗi tải trang nghiêm trọng.
Đăng nhập bằng đúng role nêu trong case; nếu case không nêu role thì dùng Workspace Admin.</x:v>
      </x:c>
      <x:c r="G48" s="38" t="str">
        <x:v>Project TEST; một Team có member và một Team không có member; Team Lead để trống khi case yêu cầu.</x:v>
      </x:c>
      <x:c r="H48"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"Task State control type"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a 3-segment icon toggle group instead of a dropdown; the 2 non-active segments render with transparent text so no label is visible, only the active segment shows a letter..
8. Kiểm tra hướng sửa đã chốt: Match the approved dropdown control, or at minimum fix the toggle label visibility for the non-selected states..
9. Ghi Actual Result, chọn Current Status, điền Evidence và Gap/Comment trong chính dòng case.</x:v>
      </x:c>
      <x:c r="I48" s="38" t="str">
        <x:v>Every counted scoped Task renders exactly once under the correct active selected-Team member or Unassigned group and supports inline editing.</x:v>
      </x:c>
      <x:c r="J48" s="38" t="str">
        <x:v>P3-TS-01</x:v>
      </x:c>
      <x:c r="K48" s="38" t="str">
        <x:v>Still Open</x:v>
      </x:c>
      <x:c r="L48" s="51" t="str">
        <x:v>Fail</x:v>
      </x:c>
      <x:c r="M48" s="51" t="str">
        <x:v>BA confirmed live 2026-08-14: Team Status counts a Task but does not render its Task row/inline State control.</x:v>
      </x:c>
      <x:c r="N48" s="51" t="str">
        <x:v>https://rally-dev.qnsc.vn/team-status</x:v>
      </x:c>
      <x:c r="O48" s="51" t="str">
        <x:v>Member summary says one Task, but no Task row/inline State dropdown is rendered.</x:v>
      </x:c>
      <x:c r="P48" s="51" t="str">
        <x:v>Codex DevInt retest</x:v>
      </x:c>
      <x:c r="Q48" s="51" t="str">
        <x:v>Pending BA review</x:v>
      </x:c>
      <x:c r="R48" s="56" t="n">
        <x:v>46248</x:v>
      </x:c>
    </x:row>
    <x:row r="49">
      <x:c r="A49" s="45" t="str">
        <x:v>GAP-P3-TS-006</x:v>
      </x:c>
      <x:c r="B49" s="46" t="str">
        <x:v>Phase 3</x:v>
      </x:c>
      <x:c r="C49" s="46" t="str">
        <x:v>Team Status</x:v>
      </x:c>
      <x:c r="D49" s="46" t="str">
        <x:v>P3</x:v>
      </x:c>
      <x:c r="E49" s="38" t="str">
        <x:v>Estimate/ToDo/Actuals default display</x:v>
      </x:c>
      <x:c r="F49" s="38" t="str">
        <x:v>DevInt truy cập được và không có lỗi tải trang nghiêm trọng.
Đăng nhập bằng đúng role nêu trong case; nếu case không nêu role thì dùng Workspace Admin.</x:v>
      </x:c>
      <x:c r="G49" s="38" t="str">
        <x:v>Project TEST; một Team có member và một Team không có member; Team Lead để trống khi case yêu cầu.</x:v>
      </x:c>
      <x:c r="H49"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"Estimate/ToDo/Actuals default display"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Task row TA-10 (no estimate/todo/actual data) displays an em-dash in all three columns instead of 0..
8. Kiểm tra hướng sửa đã chốt: Default missing Estimate/ToDo/Actuals to 0 instead of a dash placeholder..
9. Ghi Actual Result, chọn Current Status, điền Evidence và Gap/Comment trong chính dòng case.</x:v>
      </x:c>
      <x:c r="I49" s="38" t="str">
        <x:v>SRS 8.3: Estimate, ToDo and Actuals default to 0 when not set.</x:v>
      </x:c>
      <x:c r="J49" s="38" t="str">
        <x:v>P3-TS-01</x:v>
      </x:c>
      <x:c r="K49" s="38" t="str">
        <x:v>Still Open</x:v>
      </x:c>
      <x:c r="L49" s="51" t="str">
        <x:v>Partial</x:v>
      </x:c>
      <x:c r="M49" s="51" t="str">
        <x:v>Totals render, but no empty Task row exists to prove all numeric defaults.</x:v>
      </x:c>
      <x:c r="N49" s="51" t="str">
        <x:v>https://rally-dev.qnsc.vn/team-status</x:v>
      </x:c>
      <x:c r="O49" s="51" t="str">
        <x:v>Totals render, but no empty Task row exists to prove all numeric defaults.</x:v>
      </x:c>
      <x:c r="P49" s="51" t="str">
        <x:v>Codex DevInt retest</x:v>
      </x:c>
      <x:c r="Q49" s="51" t="str">
        <x:v>Pending BA review</x:v>
      </x:c>
      <x:c r="R49" s="56" t="n">
        <x:v>46248</x:v>
      </x:c>
    </x:row>
    <x:row r="50">
      <x:c r="A50" s="45" t="str">
        <x:v>GAP-P3-TS-007</x:v>
      </x:c>
      <x:c r="B50" s="46" t="str">
        <x:v>Phase 3</x:v>
      </x:c>
      <x:c r="C50" s="46" t="str">
        <x:v>Team Status</x:v>
      </x:c>
      <x:c r="D50" s="46" t="str">
        <x:v>P3</x:v>
      </x:c>
      <x:c r="E50" s="38" t="str">
        <x:v>Task Dashboard state labels</x:v>
      </x:c>
      <x:c r="F50" s="38" t="str">
        <x:v>DevInt truy cập được và không có lỗi tải trang nghiêm trọng.
Đăng nhập bằng đúng role nêu trong case; nếu case không nêu role thì dùng Workspace Admin.</x:v>
      </x:c>
      <x:c r="G50" s="38" t="str">
        <x:v>Project TEST; một Team có member và một Team không có member; Team Lead để trống khi case yêu cầu.</x:v>
      </x:c>
      <x:c r="H50"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"Task Dashboard state labels"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Work Item Detail Tasks tab state buttons are labeled Define, In Progress, Complete instead of the exact catalog wording..
8. Kiểm tra hướng sửa đã chốt: Correct the button labels to Defined / In-Progress / Completed..
9. Ghi Actual Result, chọn Current Status, điền Evidence và Gap/Comment trong chính dòng case.</x:v>
      </x:c>
      <x:c r="I50" s="38" t="str">
        <x:v>Every rendered Task State control uses the full labels Defined, In-Progress and Completed and persists inline changes.</x:v>
      </x:c>
      <x:c r="J50" s="38" t="str">
        <x:v>P3-TS-01</x:v>
      </x:c>
      <x:c r="K50" s="38" t="str">
        <x:v>Still Open</x:v>
      </x:c>
      <x:c r="L50" s="51" t="str">
        <x:v>Fail</x:v>
      </x:c>
      <x:c r="M50" s="51" t="str">
        <x:v>BA confirmed live 2026-08-14: counted Task cannot expose the required inline State values because its row is absent.</x:v>
      </x:c>
      <x:c r="N50" s="51" t="str">
        <x:v>https://rally-dev.qnsc.vn/team-status</x:v>
      </x:c>
      <x:c r="O50" s="51" t="str">
        <x:v>Counted Task row is absent, so exact editable Task State labels cannot be used.</x:v>
      </x:c>
      <x:c r="P50" s="51" t="str">
        <x:v>Codex DevInt retest</x:v>
      </x:c>
      <x:c r="Q50" s="51" t="str">
        <x:v>Pending BA review</x:v>
      </x:c>
      <x:c r="R50" s="56" t="n">
        <x:v>46248</x:v>
      </x:c>
    </x:row>
    <x:row r="51">
      <x:c r="A51" s="45" t="str">
        <x:v>GAP-P3-REL-001</x:v>
      </x:c>
      <x:c r="B51" s="46" t="str">
        <x:v>Phase 3</x:v>
      </x:c>
      <x:c r="C51" s="46" t="str">
        <x:v>Release Detail</x:v>
      </x:c>
      <x:c r="D51" s="46" t="str">
        <x:v>P2</x:v>
      </x:c>
      <x:c r="E51" s="38" t="str">
        <x:v>Release Progress widget</x:v>
      </x:c>
      <x:c r="F51" s="38" t="str">
        <x:v>DevInt truy cập được và không có lỗi tải trang nghiêm trọng.
Đăng nhập bằng đúng role nêu trong case; nếu case không nêu role thì dùng Workspace Admin.</x:v>
      </x:c>
      <x:c r="G51" s="38" t="str">
        <x:v>Project TEST; Release, Milestone và Iteration có ngày rõ ràng; dùng prefix P56-AUDIT.</x:v>
      </x:c>
      <x:c r="H51" s="38" t="str">
        <x:v>1. Mở https://rally-dev.qnsc.vn/ và xác nhận đúng tài khoản/role của case.
2. Chọn Workspace/Project/Team theo Test Data; ghi lại scope trước khi thao tác.
3. Mở Release Detail; chụp trạng thái ban đầu nếu case liên quan UI, số liệu hoặc quyền.
4. Thực hiện nghiệp vụ: Tại màn hình Release Detail, kiểm tra chức năng "Release Progress widget"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Release detail (RE-2) shows a Burndown section with a chart placeholder below the Task Roll-up panel..
8. Kiểm tra hướng sửa đã chốt: Remove the Burndown widget from Release detail for Phase 3.2; defer to Phase 5 Release Planning per SRS..
9. Ghi Actual Result, chọn Current Status, điền Evidence và Gap/Comment trong chính dòng case.</x:v>
      </x:c>
      <x:c r="I51" s="38" t="str">
        <x:v>Timeboxes &gt; Release Detail contains no Task Roll-up, Accepted progress, Burndown or other progress widgets; all Release progress belongs to Portfolio &gt; Release Tracking.</x:v>
      </x:c>
      <x:c r="J51" s="38" t="str">
        <x:v>P3-REL-01</x:v>
      </x:c>
      <x:c r="K51" s="38" t="str">
        <x:v>Still Open</x:v>
      </x:c>
      <x:c r="L51" s="51" t="str">
        <x:v>Fail</x:v>
      </x:c>
      <x:c r="M51" s="51" t="str">
        <x:v>BA confirmed live 2026-08-14: Task Roll-up/progress is still shown in Release Detail.</x:v>
      </x:c>
      <x:c r="N51" s="51" t="str">
        <x:v>https://rally-dev.qnsc.vn/releases</x:v>
      </x:c>
      <x:c r="O51" s="51" t="str">
        <x:v>Release Detail still includes Task Roll-up and Burndown, which Phase 3 defers.</x:v>
      </x:c>
      <x:c r="P51" s="51" t="str">
        <x:v>Codex DevInt retest</x:v>
      </x:c>
      <x:c r="Q51" s="51" t="str">
        <x:v>Pending BA review</x:v>
      </x:c>
      <x:c r="R51" s="56" t="n">
        <x:v>46248</x:v>
      </x:c>
    </x:row>
    <x:row r="52">
      <x:c r="A52" s="45" t="str">
        <x:v>GAP-P3-REL-002</x:v>
      </x:c>
      <x:c r="B52" s="46" t="str">
        <x:v>Phase 3</x:v>
      </x:c>
      <x:c r="C52" s="46" t="str">
        <x:v>Release Artifacts</x:v>
      </x:c>
      <x:c r="D52" s="46" t="str">
        <x:v>P0</x:v>
      </x:c>
      <x:c r="E52" s="38" t="str">
        <x:v>Release Artifacts assignment display</x:v>
      </x:c>
      <x:c r="F5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2" s="38" t="str">
        <x:v>Project TEST; Release, Milestone và Iteration có ngày rõ ràng; dùng prefix P56-AUDIT.</x:v>
      </x:c>
      <x:c r="H52" s="38" t="str">
        <x:v>1. Mở https://rally-dev.qnsc.vn/ và xác nhận đúng tài khoản/role của case.
2. Chọn Workspace/Project/Team theo Test Data; ghi lại scope trước khi thao tác.
3. Mở Release Artifacts; chụp trạng thái ban đầu nếu case liên quan UI, số liệu hoặc quyền.
4. Thực hiện nghiệp vụ: Tại màn hình Release Artifacts, kiểm tra chức năng "Release Artifacts assignment display"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Assigned US-11 to RE-2 from the Backlog Release picker; Backlog Release column and the Release list Task Est. roll-up both updated correctly (6h), but RE-2 Artifacts tab still showed No artifacts linked to this release even after a hard page reload..
8. Kiểm tra hướng sửa đã chốt: Fix the Release Artifacts query so it returns work items whose Release assignment matches; this blocks all reassignment-refresh testing (FR-031/036/038) until fixed..
9. Ghi Actual Result, chọn Current Status, điền Evidence và Gap/Comment trong chính dòng case.</x:v>
      </x:c>
      <x:c r="I52" s="38" t="str">
        <x:v>Release Artifacts shows directly assigned US/DE/Feature after assignment from Backlog/Work Item Detail or Portfolio Feature. Task and Epic are excluded.</x:v>
      </x:c>
      <x:c r="J52" s="38" t="str">
        <x:v>P3-REL-02</x:v>
      </x:c>
      <x:c r="K52" s="38" t="str">
        <x:v>Still Open</x:v>
      </x:c>
      <x:c r="L52" s="51" t="str">
        <x:v>Fail</x:v>
      </x:c>
      <x:c r="M52" s="51" t="str">
        <x:v>Live retest 2026-08-15: Release Add Artifact can add/remove existing US/DE and persists after reload. RE-1 shows its assigned US, but FE-6 still shows RE-2 in Portfolio after reload while RE-2 Artifacts reports 0 items.</x:v>
      </x:c>
      <x:c r="N52" s="51" t="str">
        <x:v>https://rally-dev.qnsc.vn/releases/019fff28-51be-7024-a876-dd7cc6eb0ec0; https://rally-dev.qnsc.vn/portfolio</x:v>
      </x:c>
      <x:c r="O52" s="51" t="str">
        <x:v>Keep the working US/DE assignment behavior and fix Release Artifacts query/display for a directly assigned Feature. Artifact-origin Create/Create with details remains Future Backlog.</x:v>
      </x:c>
      <x:c r="P52" s="51" t="str">
        <x:v>Codex DevInt retest</x:v>
      </x:c>
      <x:c r="Q52" s="51" t="str">
        <x:v>BA confirmed Fail 2026-08-15</x:v>
      </x:c>
      <x:c r="R52" s="56" t="n">
        <x:v>46249</x:v>
      </x:c>
    </x:row>
    <x:row r="53">
      <x:c r="A53" s="45" t="str">
        <x:v>GAP-P3-MS-001</x:v>
      </x:c>
      <x:c r="B53" s="46" t="str">
        <x:v>Phase 3</x:v>
      </x:c>
      <x:c r="C53" s="46" t="str">
        <x:v>Milestone Artifacts</x:v>
      </x:c>
      <x:c r="D53" s="46" t="str">
        <x:v>P3</x:v>
      </x:c>
      <x:c r="E53" s="38" t="str">
        <x:v>Add New Item from Milestone Artifacts</x:v>
      </x:c>
      <x:c r="F53" s="38" t="str">
        <x:v>BA has reopened the Future Backlog item and DEV has deployed the Artifact-origin creation journey.</x:v>
      </x:c>
      <x:c r="G53" s="38" t="str">
        <x:v>A current Milestone plus valid US/DE/Feature/Epic creation data in the active Project scope.</x:v>
      </x:c>
      <x:c r="H53" s="38" t="str">
        <x:v>1. Do not execute during the current release.
2. After BA reopens the item, open Milestone &gt; Artifacts and select Add New Item.
3. Verify US/DE reuse Backlog creation and Feature/Epic reuse Portfolio creation.
4. Verify current Milestone is prefilled.
5. Verify Create makes one item and returns to Artifacts.
6. Verify Create with details makes one item and opens the matching Work Item or Portfolio Item detail.
7. Reload and confirm the item remains in Artifacts.</x:v>
      </x:c>
      <x:c r="I53" s="38" t="str">
        <x:v>Future scope: Milestone Add New Item supports US/DE/Feature/Epic, prefills current Milestone and reuses the normal Create/Create with details screens.</x:v>
      </x:c>
      <x:c r="J53" s="38" t="str">
        <x:v>P3-MS-TS-FB-001; P3-MS-TS-FB-002</x:v>
      </x:c>
      <x:c r="K53" s="38" t="str">
        <x:v>Previously Fail: Add New Item absent</x:v>
      </x:c>
      <x:c r="L53" s="51" t="str">
        <x:v>Future Backlog</x:v>
      </x:c>
      <x:c r="M53" s="51" t="str">
        <x:v>BA decision 2026-08-15: defer Artifact-origin Add New Item. Existing Work Item/Portfolio assignment is sufficient for the current delivery.</x:v>
      </x:c>
      <x:c r="N53" s="51" t="str">
        <x:v>04_Developement_tracking/Future_Backlog/06_Release_Milestone_Artifact_Add_New.md</x:v>
      </x:c>
      <x:c r="O53" s="51" t="str">
        <x:v>No current DEV fix or retest. Reopen only after BA prioritizes this Future Backlog journey.</x:v>
      </x:c>
      <x:c r="P53" s="51" t="str">
        <x:v>BA</x:v>
      </x:c>
      <x:c r="Q53" s="51" t="str">
        <x:v>Confirmed Future Backlog 2026-08-15</x:v>
      </x:c>
      <x:c r="R53" s="56" t="n">
        <x:v>46249</x:v>
      </x:c>
    </x:row>
    <x:row r="54">
      <x:c r="A54" s="45" t="str">
        <x:v>GAP-P3-QA-001</x:v>
      </x:c>
      <x:c r="B54" s="46" t="str">
        <x:v>Phase 3</x:v>
      </x:c>
      <x:c r="C54" s="46" t="str">
        <x:v>Quality/Defect</x:v>
      </x:c>
      <x:c r="D54" s="46" t="str">
        <x:v>P0</x:v>
      </x:c>
      <x:c r="E54" s="38" t="str">
        <x:v>Create Defect from Quality</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một User Story và một Defect; mỗi item có Tasks; dữ liệu dùng prefix P56-AUDIT.</x:v>
      </x:c>
      <x:c r="H54" s="38" t="str">
        <x:v>1. Mở https://rally-dev.qnsc.vn/ và xác nhận đúng tài khoản/role của case.
2. Chọn Workspace/Project/Team theo Test Data; ghi lại scope trước khi thao tác.
3. Mở Quality/Defect; chụp trạng thái ban đầu nếu case liên quan UI, số liệu hoặc quyền.
4. Thực hiện nghiệp vụ: Tại màn hình Quality/Defect, kiểm tra chức năng "Create Defect from Quality"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Filled Name, Severity (Major Problem) and Priority (Normal) in the Quality &gt; Defect Add New modal and submitted; the modal closed with no visible error, but no new Defect row appeared and the Open Defects KPI stayed at 3. Reproduced twice, confirmed again after a fresh navigation..
8. Kiểm tra hướng sửa đã chốt: Fix Defect creation from the Quality &gt; Defect entry point; also verify Backlog-side Defect creation still works as a comparison point..
9. Ghi Actual Result, chọn Current Status, điền Evidence và Gap/Comment trong chính dòng case.</x:v>
      </x:c>
      <x:c r="I54" s="38" t="str">
        <x:v>FR-006/AC-6: user can create a Defect from Quality &gt; Defect.</x:v>
      </x:c>
      <x:c r="J54" s="38" t="str">
        <x:v>P3-QA-01</x:v>
      </x:c>
      <x:c r="K54" s="38" t="str">
        <x:v>Still Open</x:v>
      </x:c>
      <x:c r="L54" s="51" t="str">
        <x:v>Pass</x:v>
      </x:c>
      <x:c r="M54" s="51" t="str">
        <x:v>Quality &gt; Add New opens dedicated Defect form; DE-1 appears in Quality with Submitted state, Owner and Submitted By.</x:v>
      </x:c>
      <x:c r="N54" s="51" t="str">
        <x:v>evidence/retest_2026-07-24/P3-QA-01-create-defect.png</x:v>
      </x:c>
      <x:c r="O54" s="51"/>
      <x:c r="P54" s="51" t="str">
        <x:v>Codex</x:v>
      </x:c>
      <x:c r="Q54" s="51" t="str">
        <x:v>Gap Confirmed</x:v>
      </x:c>
      <x:c r="R54" s="56" t="str">
        <x:v>2026-08-05</x:v>
      </x:c>
    </x:row>
    <x:row r="55">
      <x:c r="A55" s="45" t="str">
        <x:v>GAP-P4-NOTIF-001</x:v>
      </x:c>
      <x:c r="B55" s="46" t="str">
        <x:v>Phase 4</x:v>
      </x:c>
      <x:c r="C55" s="46" t="str">
        <x:v>Notification Center</x:v>
      </x:c>
      <x:c r="D55" s="46" t="str">
        <x:v>P1</x:v>
      </x:c>
      <x:c r="E55" s="38" t="str">
        <x:v>Notification result data and unread count</x:v>
      </x:c>
      <x:c r="F55" s="38" t="str">
        <x:v>DevInt truy cập được và không có lỗi tải trang nghiêm trọng.
Đăng nhập bằng đúng role nêu trong case; nếu case không nêu role thì dùng Workspace Admin.</x:v>
      </x:c>
      <x:c r="G55" s="38" t="str">
        <x:v>Dùng dữ liệu test riêng trong Project TEST. Nếu chưa có dữ liệu bắt buộc, ghi Blocked và nêu rõ dữ liệu còn thiếu.</x:v>
      </x:c>
      <x:c r="H55" s="38" t="str">
        <x:v>1. Mở https://rally-dev.qnsc.vn/ và xác nhận đúng tài khoản/role của case.
2. Chọn Workspace/Project/Team theo Test Data; ghi lại scope trước khi thao tác.
3. Mở Notification Center; chụp trạng thái ban đầu nếu case liên quan UI, số liệu hoặc quyền.
4. Thực hiện nghiệp vụ: Tại màn hình Notification Center, kiểm tra chức năng "Notification result data and unread count"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has the complete empty-state/filter shell but the current account has 0 notifications..
8. Kiểm tra hướng sửa đã chốt: Seed controlled assignment and mention notifications for the audit user, or provide a dedicated sender/recipient test pair. Then verify count, card fields, filter results and inaccessible-target handling..
9. Ghi Actual Result, chọn Current Status, điền Evidence và Gap/Comment trong chính dòng case.</x:v>
      </x:c>
      <x:c r="I55" s="38" t="str">
        <x:v>Current user receives accessible assignment/mention rows; unread count and four category filters return correct result sets.</x:v>
      </x:c>
      <x:c r="J55" s="38" t="str">
        <x:v>P4-NOTIF-02</x:v>
      </x:c>
      <x:c r="K55" s="38" t="str">
        <x:v>Blocked (test data)</x:v>
      </x:c>
      <x:c r="L55" s="51" t="str">
        <x:v>Blocked</x:v>
      </x:c>
      <x:c r="M55" s="51" t="str">
        <x:v>Re-tested 2026-08-15: Notification popover still shows 0 of 0. Controlled assignment data could not be generated because the Pegasus Work Item and Task Owner selectors expose only Unassigned / No Entry, and no second sender session is available.</x:v>
      </x:c>
      <x:c r="N55" s="51" t="str">
        <x:v>https://rally-dev.qnsc.vn/notifications; https://rally-dev.qnsc.vn/item/US-17</x:v>
      </x:c>
      <x:c r="O55" s="51" t="str">
        <x:v>Retest after active Team members appear in Owner options and a second sender/recipient session is available. Then verify unread count and all four category filters.</x:v>
      </x:c>
      <x:c r="P55" s="51" t="str">
        <x:v>Codex DevInt retest</x:v>
      </x:c>
      <x:c r="Q55" s="51" t="str">
        <x:v>Pending BA review</x:v>
      </x:c>
      <x:c r="R55" s="56" t="n">
        <x:v>46249</x:v>
      </x:c>
    </x:row>
    <x:row r="56">
      <x:c r="A56" s="45" t="str">
        <x:v>GAP-P4-NOTIF-002</x:v>
      </x:c>
      <x:c r="B56" s="46" t="str">
        <x:v>Phase 4</x:v>
      </x:c>
      <x:c r="C56" s="46" t="str">
        <x:v>Notification Center</x:v>
      </x:c>
      <x:c r="D56" s="46" t="str">
        <x:v>P1</x:v>
      </x:c>
      <x:c r="E56" s="38" t="str">
        <x:v>Read-state persistence</x:v>
      </x:c>
      <x:c r="F56" s="38" t="str">
        <x:v>DevInt truy cập được và không có lỗi tải trang nghiêm trọng.
Đăng nhập bằng đúng role nêu trong case; nếu case không nêu role thì dùng Workspace Admin.</x:v>
      </x:c>
      <x:c r="G56" s="38" t="str">
        <x:v>Dùng dữ liệu test riêng trong Project TEST. Nếu chưa có dữ liệu bắt buộc, ghi Blocked và nêu rõ dữ liệu còn thiếu.</x:v>
      </x:c>
      <x:c r="H56" s="38" t="str">
        <x:v>1. Mở https://rally-dev.qnsc.vn/ và xác nhận đúng tài khoản/role của case.
2. Chọn Workspace/Project/Team theo Test Data; ghi lại scope trước khi thao tác.
3. Mở Notification Center; chụp trạng thái ban đầu nếu case liên quan UI, số liệu hoặc quyền.
4. Thực hiện nghiệp vụ: Tại màn hình Notification Center, kiểm tra chức năng "Read-state persistence"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No notification row exists, so neither interaction can be exercised..
8. Kiểm tra hướng sửa đã chốt: After controlled rows exist, verify one-read, mark-all, badge/count update, reload persistence and session restore..
9. Ghi Actual Result, chọn Current Status, điền Evidence và Gap/Comment trong chính dòng case.</x:v>
      </x:c>
      <x:c r="I56" s="38" t="str">
        <x:v>Clicking one notification and Mark all as read persist after reload/session restore.</x:v>
      </x:c>
      <x:c r="J56" s="38" t="str">
        <x:v>P4-NOTIF-03</x:v>
      </x:c>
      <x:c r="K56" s="38" t="str">
        <x:v>Blocked (test data)</x:v>
      </x:c>
      <x:c r="L56" s="51" t="str">
        <x:v>Blocked</x:v>
      </x:c>
      <x:c r="M56" s="51" t="str">
        <x:v>Re-tested 2026-08-15: Notification Center still has no notification row, so single-read and Mark all as read persistence cannot be executed.</x:v>
      </x:c>
      <x:c r="N56" s="51" t="str">
        <x:v>https://rally-dev.qnsc.vn/notifications</x:v>
      </x:c>
      <x:c r="O56" s="51" t="str">
        <x:v>Retest immediately after GAP-P4-NOTIF-001 can generate at least two notification rows; verify persistence after reload and sign-in restore.</x:v>
      </x:c>
      <x:c r="P56" s="51" t="str">
        <x:v>Codex DevInt retest</x:v>
      </x:c>
      <x:c r="Q56" s="51" t="str">
        <x:v>Pending BA review</x:v>
      </x:c>
      <x:c r="R56" s="56" t="n">
        <x:v>46249</x:v>
      </x:c>
    </x:row>
    <x:row r="57">
      <x:c r="A57" s="45" t="str">
        <x:v>GAP-P4-NOTIF-003</x:v>
      </x:c>
      <x:c r="B57" s="46" t="str">
        <x:v>Phase 4</x:v>
      </x:c>
      <x:c r="C57" s="46" t="str">
        <x:v>Assignment / Note mention</x:v>
      </x:c>
      <x:c r="D57" s="46" t="str">
        <x:v>P0</x:v>
      </x:c>
      <x:c r="E57" s="38" t="str">
        <x:v>Recipient event and target route</x:v>
      </x:c>
      <x:c r="F5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7" s="38" t="str">
        <x:v>Dùng dữ liệu test riêng trong Project TEST. Nếu chưa có dữ liệu bắt buộc, ghi Blocked và nêu rõ dữ liệu còn thiếu.</x:v>
      </x:c>
      <x:c r="H57" s="38" t="str">
        <x:v>1. Use a dedicated sender and Editor recipient in the same test Project/Team.
2. Assign one US/DE and mention the recipient in a Note.
3. Verify one notification per supported event.
4. Open each notification and verify the same Work Item identity.
5. Remove the recipient Project assignment and verify the old notification no longer exposes the target.</x:v>
      </x:c>
      <x:c r="I57" s="38" t="str">
        <x:v>Assignment and Note mention notify only the intended accessible user and route to the same US/DE identity.</x:v>
      </x:c>
      <x:c r="J57" s="38" t="str">
        <x:v>P4-NOTIF-04</x:v>
      </x:c>
      <x:c r="K57" s="38" t="str">
        <x:v>Blocked (test data)</x:v>
      </x:c>
      <x:c r="L57" s="51" t="str">
        <x:v>Blocked</x:v>
      </x:c>
      <x:c r="M57" s="51" t="str">
        <x:v>No controlled sender/recipient session pair is available.</x:v>
      </x:c>
      <x:c r="N57" s="51" t="str">
        <x:v>https://rally-dev.qnsc.vn/settings</x:v>
      </x:c>
      <x:c r="O57" s="51" t="str">
        <x:v>No controlled sender/recipient session pair is available.</x:v>
      </x:c>
      <x:c r="P57" s="51" t="str">
        <x:v>Codex DevInt retest</x:v>
      </x:c>
      <x:c r="Q57" s="51" t="str">
        <x:v>Pending BA review</x:v>
      </x:c>
      <x:c r="R57" s="56" t="n">
        <x:v>46248</x:v>
      </x:c>
    </x:row>
    <x:row r="58">
      <x:c r="A58" s="45" t="str">
        <x:v>GAP-P4-RBAC-002</x:v>
      </x:c>
      <x:c r="B58" s="46" t="str">
        <x:v>Phase 4</x:v>
      </x:c>
      <x:c r="C58" s="46" t="str">
        <x:v>User Management</x:v>
      </x:c>
      <x:c r="D58" s="46" t="str">
        <x:v>P0</x:v>
      </x:c>
      <x:c r="E58" s="38" t="str">
        <x:v>Workspace Admin account safeguard</x:v>
      </x:c>
      <x:c r="F58" s="38" t="str">
        <x:v>Workspace Admin account exists.</x:v>
      </x:c>
      <x:c r="G58" s="38" t="str">
        <x:v>Dùng dữ liệu test riêng trong Project TEST. Nếu chưa có dữ liệu bắt buộc, ghi Blocked và nêu rõ dữ liệu còn thiếu.</x:v>
      </x:c>
      <x:c r="H58" s="38" t="str">
        <x:v>1. Sign in as Workspace Admin.
2. Open Settings &gt; Users and open the Workspace Admin detail.
3. Confirm detail is read-only, no Save/remove action is shown and no Project assignment is listed.
4. Confirm the user is absent from Project member candidates.</x:v>
      </x:c>
      <x:c r="I58" s="38" t="str">
        <x:v>Workspace Admin detail is entirely read-only, has no Project assignment and cannot be added as a Project member.</x:v>
      </x:c>
      <x:c r="J58" s="38" t="str">
        <x:v>P4-RBAC-02</x:v>
      </x:c>
      <x:c r="K58" s="38" t="str">
        <x:v>Superseded by approved Project access baseline 2026-08-14; previous permission result cannot be reused.</x:v>
      </x:c>
      <x:c r="L58" s="51" t="str">
        <x:v>Fail</x:v>
      </x:c>
      <x:c r="M58" s="51" t="str">
        <x:v>WA General is read-only, but WA Project Access still exposes Add project access.</x:v>
      </x:c>
      <x:c r="N58" s="51" t="str">
        <x:v>https://rally-dev.qnsc.vn/settings</x:v>
      </x:c>
      <x:c r="O58" s="51" t="str">
        <x:v>WA General is read-only, but WA Project Access still exposes Add project access.</x:v>
      </x:c>
      <x:c r="P58" s="51" t="str">
        <x:v>Codex DevInt retest</x:v>
      </x:c>
      <x:c r="Q58" s="51" t="str">
        <x:v>Pending BA review</x:v>
      </x:c>
      <x:c r="R58" s="56" t="n">
        <x:v>46248</x:v>
      </x:c>
    </x:row>
    <x:row r="59">
      <x:c r="A59" s="45" t="str">
        <x:v>GAP-P4-RBAC-003</x:v>
      </x:c>
      <x:c r="B59" s="46" t="str">
        <x:v>Phase 4</x:v>
      </x:c>
      <x:c r="C59" s="46" t="str">
        <x:v>Cross-role access</x:v>
      </x:c>
      <x:c r="D59" s="46" t="str">
        <x:v>P0</x:v>
      </x:c>
      <x:c r="E59" s="38" t="str">
        <x:v>Admin, Editor and unassigned Project enforcement</x:v>
      </x:c>
      <x:c r="F59" s="38" t="str">
        <x:v>Controlled Admin and Editor accounts exist; each has explicit Project/Team assignments and one unassigned Project.</x:v>
      </x:c>
      <x:c r="G59" s="38" t="str">
        <x:v>Dùng dữ liệu test riêng trong Project TEST. Nếu chưa có dữ liệu bắt buộc, ghi Blocked và nêu rõ dữ liệu còn thiếu.</x:v>
      </x:c>
      <x:c r="H59" s="38" t="str">
        <x:v>1. Sign in as Admin and verify assigned Project/All Teams.
2. Sign in as Editor and verify only assigned Project/Teams and approved delivery actions.
3. For each account open an unassigned Project by navigation, search and direct URL.
4. Attempt one unauthorized mutation and record the safe response.</x:v>
      </x:c>
      <x:c r="I59" s="38" t="str">
        <x:v>Admin and Editor follow their assigned Project/Team scope. Unassigned Project is hidden and direct read/mutation is denied without data leak.</x:v>
      </x:c>
      <x:c r="J59" s="38" t="str">
        <x:v>P4-RBAC-03</x:v>
      </x:c>
      <x:c r="K59" s="38" t="str">
        <x:v>Superseded by approved Project access baseline 2026-08-14; previous permission result cannot be reused.</x:v>
      </x:c>
      <x:c r="L59" s="51" t="str">
        <x:v>Blocked</x:v>
      </x:c>
      <x:c r="M59" s="51" t="str">
        <x:v>Editor and unassigned records exist, but no Admin session and no alternate Editor/unassigned login are available.</x:v>
      </x:c>
      <x:c r="N59" s="51" t="str">
        <x:v>https://rally-dev.qnsc.vn/settings</x:v>
      </x:c>
      <x:c r="O59" s="51" t="str">
        <x:v>Editor and unassigned records exist, but no Admin session and no alternate Editor/unassigned login are available.</x:v>
      </x:c>
      <x:c r="P59" s="51" t="str">
        <x:v>Codex DevInt retest</x:v>
      </x:c>
      <x:c r="Q59" s="51" t="str">
        <x:v>Pending BA review</x:v>
      </x:c>
      <x:c r="R59" s="56" t="n">
        <x:v>46248</x:v>
      </x:c>
    </x:row>
    <x:row r="60">
      <x:c r="A60" s="45" t="str">
        <x:v>GAP-P4-SET-001</x:v>
      </x:c>
      <x:c r="B60" s="46" t="str">
        <x:v>Phase 4</x:v>
      </x:c>
      <x:c r="C60" s="46" t="str">
        <x:v>Workspace Settings</x:v>
      </x:c>
      <x:c r="D60" s="46" t="str">
        <x:v>P2</x:v>
      </x:c>
      <x:c r="E60" s="38" t="str">
        <x:v>Single-company field baseline</x:v>
      </x:c>
      <x:c r="F60" s="38" t="str">
        <x:v>DevInt truy cập được và không có lỗi tải trang nghiêm trọng.
Đăng nhập bằng đúng role nêu trong case; nếu case không nêu role thì dùng Workspace Admin.
Có account và Project assignment tương ứng để kiểm tra quyền.</x:v>
      </x:c>
      <x:c r="G60" s="38" t="str">
        <x:v>Dùng dữ liệu test riêng trong Project TEST. Nếu chưa có dữ liệu bắt buộc, ghi Blocked và nêu rõ dữ liệu còn thiếu.</x:v>
      </x:c>
      <x:c r="H60" s="38" t="str">
        <x:v>1. Mở https://rally-dev.qnsc.vn/ và xác nhận đúng tài khoản/role của case.
2. Chọn Workspace/Project/Team theo Test Data; ghi lại scope trước khi thao tác.
3. Mở Workspace Settings; chụp trạng thái ban đầu nếu case liên quan UI, số liệu hoặc quyền.
4. Thực hiện nghiệp vụ: Tại màn hình Workspace Settings, kiểm tra chức năng "Single-company field baseline"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Slug and Workspace admin, plus editable Workspace name/Description, but no explicit single-company scope..
8. Kiểm tra hướng sửa đã chốt: Add the read-only single-company scope value or reconcile BA documentation if the explicit field is intentionally omitted. Keep Workspace terminology consistent..
9. Ghi Actual Result, chọn Current Status, điền Evidence và Gap/Comment trong chính dòng case.</x:v>
      </x:c>
      <x:c r="I60" s="38" t="str">
        <x:v>Workspace Settings explicitly shows read-only single-company scope beside read-only Slug and Workspace Admin identity.</x:v>
      </x:c>
      <x:c r="J60" s="38" t="str">
        <x:v>P4-SET-01</x:v>
      </x:c>
      <x:c r="K60" s="38" t="str">
        <x:v>Still Open</x:v>
      </x:c>
      <x:c r="L60" s="51" t="str">
        <x:v>Pass</x:v>
      </x:c>
      <x:c r="M60" s="51" t="str">
        <x:v>Re-test 2026-08-09: Workspace Settings now shows Slug, explicit Scope 'One company per workspace / Single company', and Workspace admin identities.</x:v>
      </x:c>
      <x:c r="N60" s="51" t="str">
        <x:v>https://rally-dev.qnsc.vn/settings</x:v>
      </x:c>
      <x:c r="O60" s="51" t="str">
        <x:v>Resolved in current DevInt.</x:v>
      </x:c>
      <x:c r="P60" s="51" t="str">
        <x:v>Codex DevInt re-test</x:v>
      </x:c>
      <x:c r="Q60" s="51" t="str">
        <x:v>Pending BA confirmation</x:v>
      </x:c>
      <x:c r="R60" s="56" t="n">
        <x:v>46243</x:v>
      </x:c>
    </x:row>
    <x:row r="61">
      <x:c r="A61" s="45" t="str">
        <x:v>GAP-P4-SET-002</x:v>
      </x:c>
      <x:c r="B61" s="46" t="str">
        <x:v>Phase 4</x:v>
      </x:c>
      <x:c r="C61" s="46" t="str">
        <x:v>User Management</x:v>
      </x:c>
      <x:c r="D61" s="46" t="str">
        <x:v>P0</x:v>
      </x:c>
      <x:c r="E61" s="38" t="str">
        <x:v>List columns, role values and detail fields</x:v>
      </x:c>
      <x:c r="F61" s="38" t="str">
        <x:v>DevInt truy cập được và không có lỗi tải trang nghiêm trọng.
Đăng nhập bằng đúng role nêu trong case; nếu case không nêu role thì dùng Workspace Admin.
Có account và Project assignment tương ứng để kiểm tra quyền.</x:v>
      </x:c>
      <x:c r="G61" s="38" t="str">
        <x:v>Dùng dữ liệu test riêng trong Project TEST. Nếu chưa có dữ liệu bắt buộc, ghi Blocked và nêu rõ dữ liệu còn thiếu.</x:v>
      </x:c>
      <x:c r="H61" s="38" t="str">
        <x:v>1. Open User Management list.
2. Verify columns are Name, Email, Role, Status and Last Login only.
3. Open User Detail/Profile and verify Phone plus Team membership are available there.
4. Verify approved roles and guarded Remove User Access.</x:v>
      </x:c>
      <x:c r="I61" s="38" t="str">
        <x:v>User list contains Name, Email, Role, Status and Last Login; it excludes Phone and Teams. Phone is in Detail/Profile; Team membership is in User Detail/Team Members. Approved roles and guarded Remove User Access remain required.</x:v>
      </x:c>
      <x:c r="J61" s="38" t="str">
        <x:v>P4-SET-02</x:v>
      </x:c>
      <x:c r="K61" s="38" t="str">
        <x:v>Still Open</x:v>
      </x:c>
      <x:c r="L61" s="51" t="str">
        <x:v>Partial</x:v>
      </x:c>
      <x:c r="M61" s="51" t="str">
        <x:v>User list scope is accepted. User Detail, Project Access and role-specific actions remain pending the Admin/Editor/unassigned account set.</x:v>
      </x:c>
      <x:c r="N61" s="51" t="str">
        <x:v>../Codex_audit_06_tracker.md; https://rally-dev.qnsc.vn/settings</x:v>
      </x:c>
      <x:c r="O61" s="51" t="str">
        <x:v>Retest with the approved RBAC account set before closure.</x:v>
      </x:c>
      <x:c r="P61" s="51" t="str">
        <x:v>BA + Codex</x:v>
      </x:c>
      <x:c r="Q61" s="51" t="str">
        <x:v>BA confirmed Partial 2026-08-14</x:v>
      </x:c>
      <x:c r="R61" s="56" t="n">
        <x:v>46248</x:v>
      </x:c>
    </x:row>
    <x:row r="62">
      <x:c r="A62" s="45" t="str">
        <x:v>GAP-P4-SET-004</x:v>
      </x:c>
      <x:c r="B62" s="46" t="str">
        <x:v>Phase 4</x:v>
      </x:c>
      <x:c r="C62" s="46" t="str">
        <x:v>Destructive confirmations</x:v>
      </x:c>
      <x:c r="D62" s="46" t="str">
        <x:v>P1</x:v>
      </x:c>
      <x:c r="E62" s="38" t="str">
        <x:v>Team/User guardrails</x:v>
      </x:c>
      <x:c r="F62" s="38" t="str">
        <x:v>DevInt truy cập được và không có lỗi tải trang nghiêm trọng.
Đăng nhập bằng đúng role nêu trong case; nếu case không nêu role thì dùng Workspace Admin.</x:v>
      </x:c>
      <x:c r="G62" s="38" t="str">
        <x:v>Project TEST; một Team có member và một Team không có member; Team Lead để trống khi case yêu cầu.</x:v>
      </x:c>
      <x:c r="H62" s="38" t="str">
        <x:v>1. Mở https://rally-dev.qnsc.vn/ và xác nhận đúng tài khoản/role của case.
2. Chọn Workspace/Project/Team theo Test Data; ghi lại scope trước khi thao tác.
3. Mở Destructive confirmations; chụp trạng thái ban đầu nếu case liên quan UI, số liệu hoặc quyền.
4. Thực hiện nghiệp vụ: Tại màn hình Destructive confirmations, kiểm tra chức năng "Team/User guardrails"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Team uses an Active/Deactive dropdown plus Save, and non-admin User Detail exposes no Remove User Access action, so required confirmation paths are absent/unreachable..
8. Kiểm tra hướng sửa đã chốt: Implement explicit Deactivate/Restore Team actions with confirmation and Remove User Access with typed target confirmation. Keep Cancel non-mutating and dependency reasons visible..
9. Ghi Actual Result, chọn Current Status, điền Evidence và Gap/Comment trong chính dòng case.</x:v>
      </x:c>
      <x:c r="I62" s="38" t="str">
        <x:v>Deactivate/restore Team and deactivate/remove User access require a target-specific confirmation; Remove User Access requires typed target confirmation.</x:v>
      </x:c>
      <x:c r="J62" s="38" t="str">
        <x:v>P4-SET-05</x:v>
      </x:c>
      <x:c r="K62" s="38" t="str">
        <x:v>Still Open</x:v>
      </x:c>
      <x:c r="L62" s="51" t="str">
        <x:v>Partial</x:v>
      </x:c>
      <x:c r="M62" s="51" t="str">
        <x:v>Team deactivation and Project-access removal have clear confirmation; company-user removal is unavailable.</x:v>
      </x:c>
      <x:c r="N62" s="51" t="str">
        <x:v>https://rally-dev.qnsc.vn/settings</x:v>
      </x:c>
      <x:c r="O62" s="51" t="str">
        <x:v>Team deactivation and Project-access removal have clear confirmation; company-user removal is unavailable.</x:v>
      </x:c>
      <x:c r="P62" s="51" t="str">
        <x:v>Codex DevInt retest</x:v>
      </x:c>
      <x:c r="Q62" s="51" t="str">
        <x:v>Pending BA review</x:v>
      </x:c>
      <x:c r="R62" s="56" t="n">
        <x:v>46248</x:v>
      </x:c>
    </x:row>
    <x:row r="63">
      <x:c r="A63" s="45" t="str">
        <x:v>GAP-P4-SET-005</x:v>
      </x:c>
      <x:c r="B63" s="46" t="str">
        <x:v>Phase 4</x:v>
      </x:c>
      <x:c r="C63" s="46" t="str">
        <x:v>Settings navigation</x:v>
      </x:c>
      <x:c r="D63" s="46" t="str">
        <x:v>P2</x:v>
      </x:c>
      <x:c r="E63" s="38" t="str">
        <x:v>Notification Preferences scope</x:v>
      </x:c>
      <x:c r="F63" s="38" t="str">
        <x:v>DevInt truy cập được và không có lỗi tải trang nghiêm trọng.
Đăng nhập bằng đúng role nêu trong case; nếu case không nêu role thì dùng Workspace Admin.</x:v>
      </x:c>
      <x:c r="G63" s="38" t="str">
        <x:v>Dùng dữ liệu test riêng trong Project TEST. Nếu chưa có dữ liệu bắt buộc, ghi Blocked và nêu rõ dữ liệu còn thiếu.</x:v>
      </x:c>
      <x:c r="H63" s="38" t="str">
        <x:v>1. Mở https://rally-dev.qnsc.vn/ và xác nhận đúng tài khoản/role của case.
2. Chọn Workspace/Project/Team theo Test Data; ghi lại scope trước khi thao tác.
3. Mở Settings navigation; chụp trạng thái ban đầu nếu case liên quan UI, số liệu hoặc quyền.
4. Thực hiện nghiệp vụ: Tại màn hình Settings navigation, kiểm tra chức năng "Notification Preferences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Settings shows Notification Preferences and opens an Available in a future release placeholder..
8. Kiểm tra hướng sửa đã chốt: Remove the Settings entry from the Phase 4 delivered navigation. Track future preference configuration in Future Backlog rather than exposing an in-scope placeholder..
9. Ghi Actual Result, chọn Current Status, điền Evidence và Gap/Comment trong chính dòng case.</x:v>
      </x:c>
      <x:c r="I63" s="38" t="str">
        <x:v>Notification Preferences is removed from the Phase 4 baseline; notifications are fixed to assignment and Note mention events.</x:v>
      </x:c>
      <x:c r="J63" s="38" t="str">
        <x:v>P4-SET-06</x:v>
      </x:c>
      <x:c r="K63" s="38" t="str">
        <x:v>Still Open</x:v>
      </x:c>
      <x:c r="L63" s="51" t="str">
        <x:v>Pass</x:v>
      </x:c>
      <x:c r="M63" s="51" t="str">
        <x:v>Re-test 2026-08-09: Notification Preferences is absent from Settings navigation.</x:v>
      </x:c>
      <x:c r="N63" s="51" t="str">
        <x:v>https://rally-dev.qnsc.vn/settings</x:v>
      </x:c>
      <x:c r="O63" s="51" t="str">
        <x:v>Resolved in current DevInt.</x:v>
      </x:c>
      <x:c r="P63" s="51" t="str">
        <x:v>Codex DevInt re-test</x:v>
      </x:c>
      <x:c r="Q63" s="51" t="str">
        <x:v>Pending BA confirmation</x:v>
      </x:c>
      <x:c r="R63" s="56" t="n">
        <x:v>46243</x:v>
      </x:c>
    </x:row>
    <x:row r="64">
      <x:c r="A64" s="47" t="str">
        <x:v>GAP-P3-TS-008</x:v>
      </x:c>
      <x:c r="B64" s="48" t="str">
        <x:v>Phase 3</x:v>
      </x:c>
      <x:c r="C64" s="48" t="str">
        <x:v>Team Status</x:v>
      </x:c>
      <x:c r="D64" s="48" t="str">
        <x:v>P0</x:v>
      </x:c>
      <x:c r="E64" s="41" t="str">
        <x:v>Team membership scope consistency</x:v>
      </x:c>
      <x:c r="F64" s="41" t="str">
        <x:v>Signed in to DevInt. Project TEST, Team Pegasus and Iteration IT-1 are available. Team membership can be checked in Settings &gt; Teams.</x:v>
      </x:c>
      <x:c r="G64" s="41" t="str">
        <x:v>Team Pegasus; users Anh and Hieu; US-1 and a Task assigned to Hieu. Compare the state before and after adding Hieu to Pegasus.</x:v>
      </x:c>
      <x:c r="H64" s="41" t="str">
        <x:v>1. Check Pegasus membership in Settings &gt; Teams.
2. Open Team Status in the same Project/Team/Iteration scope and compare member groups.
3. Add Hieu to Pegasus.
4. Reload Team Status and verify Hieu appears once.
5. Open US-1 and inspect the Owner dropdown.
6. Reload and confirm all views use the same current membership.</x:v>
      </x:c>
      <x:c r="I64" s="41" t="str">
        <x:v>Team Status shows only active members of the Team selected in the top filter. Null-owner Tasks appear under Unassigned with 0h capacity; no outside-Team member group appears.</x:v>
      </x:c>
      <x:c r="J64" s="41" t="str">
        <x:v>Phase 3/01_Team_Status/SRS.md; Phase 1/03_Work_Item_Detail/SRS.md</x:v>
      </x:c>
      <x:c r="K64" s="41" t="str">
        <x:v>New defect found 2026-08-06</x:v>
      </x:c>
      <x:c r="L64" s="53" t="str">
        <x:v>Fail</x:v>
      </x:c>
      <x:c r="M64" s="53" t="str">
        <x:v>BA confirmed live 2026-08-14: Team Status member scope is inconsistent with selected Team membership.</x:v>
      </x:c>
      <x:c r="N64" s="53" t="str">
        <x:v>https://rally-dev.qnsc.vn/team-status</x:v>
      </x:c>
      <x:c r="O64" s="53" t="str">
        <x:v>Settings lists only Anh in Pegasus while Team Status still groups non-member Hieu with one Task.</x:v>
      </x:c>
      <x:c r="P64" s="53" t="str">
        <x:v>Codex DevInt retest</x:v>
      </x:c>
      <x:c r="Q64" s="53" t="str">
        <x:v>Pending BA review</x:v>
      </x:c>
      <x:c r="R64" s="57" t="n">
        <x:v>46248</x:v>
      </x:c>
    </x:row>
    <x:row r="65">
      <x:c r="A65" t="str">
        <x:v>GAP-P0-SHELL-007</x:v>
      </x:c>
      <x:c r="B65" t="str">
        <x:v>Phase 0</x:v>
      </x:c>
      <x:c r="C65" t="str">
        <x:v>Global navigation</x:v>
      </x:c>
      <x:c r="D65" t="str">
        <x:v>P1</x:v>
      </x:c>
      <x:c r="E65" t="str">
        <x:v>Remove Manage Projects from Project/Team dropdown</x:v>
      </x:c>
      <x:c r="F65" t="str">
        <x:v>Signed in as Workspace Admin; active Project context is available.</x:v>
      </x:c>
      <x:c r="G65" t="str">
        <x:v>QNSC / TEST / All Teams</x:v>
      </x:c>
      <x:c r="H65" t="str">
        <x:v>1. Open the global Project/Team selector.
2. Inspect the bottom of the dropdown.
3. Open the top-right Settings gear and verify Workspaces &amp; Projects is available there.</x:v>
      </x:c>
      <x:c r="I65" t="str">
        <x:v>The Project/Team dropdown only changes delivery context. Project administration is available only under the top-right Settings gear &gt; Workspaces &amp; Projects.</x:v>
      </x:c>
      <x:c r="J65" t="str">
        <x:v>04_Developement_tracking/RECONCILED_SOURCE_OF_TRUTH.md; 04_Developement_tracking/reconciliation/DEV_HANDOFF.md</x:v>
      </x:c>
      <x:c r="K65" t="str">
        <x:v>New live audit gap 2026-08-14</x:v>
      </x:c>
      <x:c r="L65" t="str">
        <x:v>Fail</x:v>
      </x:c>
      <x:c r="M65" t="str">
        <x:v>DevInt still shows Manage Projects at the bottom of the Project/Team dropdown.</x:v>
      </x:c>
      <x:c r="N65" t="str">
        <x:v>../Codex_audit_06_tracker.md; https://rally-dev.qnsc.vn/</x:v>
      </x:c>
      <x:c r="O65" t="str">
        <x:v>Remove Manage Projects from the selector. Keep Project administration under Settings gear only.</x:v>
      </x:c>
      <x:c r="P65" t="str">
        <x:v>BA + Codex</x:v>
      </x:c>
      <x:c r="Q65" t="str">
        <x:v>BA confirmed Fail 2026-08-14</x:v>
      </x:c>
      <x:c r="R65" s="92" t="n">
        <x:v>46248</x:v>
      </x:c>
    </x:row>
    <x:row r="66">
      <x:c r="A66" t="str">
        <x:v>FB-P3-REL-ADD-001</x:v>
      </x:c>
      <x:c r="B66" t="str">
        <x:v>Phase 3</x:v>
      </x:c>
      <x:c r="C66" t="str">
        <x:v>Release Artifacts</x:v>
      </x:c>
      <x:c r="D66" t="str">
        <x:v>P3</x:v>
      </x:c>
      <x:c r="E66" t="str">
        <x:v>Add New Item from Release Artifacts</x:v>
      </x:c>
      <x:c r="F66" t="str">
        <x:v>BA has reopened the Future Backlog item and DEV has deployed the Artifact-origin creation journey.</x:v>
      </x:c>
      <x:c r="G66" t="str">
        <x:v>A current Release plus valid US/DE/Feature creation data in the active Project scope.</x:v>
      </x:c>
      <x:c r="H66" t="str">
        <x:v>1. Do not execute during the current release.
2. After BA reopens the item, open Release &gt; Artifacts and select Add New Item.
3. Verify US/DE reuse Backlog creation and Feature reuses Portfolio creation.
4. Verify current Release is prefilled.
5. Verify Create makes one item and returns to Artifacts.
6. Verify Create with details makes one item and opens the matching Work Item or Portfolio Item detail.
7. Reload and confirm the item remains in Artifacts.</x:v>
      </x:c>
      <x:c r="I66" t="str">
        <x:v>Future scope: Release Add New Item supports US/DE/Feature, prefills current Release and reuses the normal Create/Create with details screens. Epic and Task are excluded.</x:v>
      </x:c>
      <x:c r="J66" t="str">
        <x:v>P3-REL-FB-001; P3-REL-TS-015</x:v>
      </x:c>
      <x:c r="K66" t="str">
        <x:v>Split from GAP-P3-REL-002 on 2026-08-15</x:v>
      </x:c>
      <x:c r="L66" t="str">
        <x:v>Future Backlog</x:v>
      </x:c>
      <x:c r="M66" t="str">
        <x:v>BA decision 2026-08-15: defer Artifact-origin Add New Item. Existing Work Item/Portfolio assignment is sufficient for the current delivery.</x:v>
      </x:c>
      <x:c r="N66" t="str">
        <x:v>04_Developement_tracking/Future_Backlog/06_Release_Milestone_Artifact_Add_New.md</x:v>
      </x:c>
      <x:c r="O66" t="str">
        <x:v>No current DEV fix or retest. GAP-P3-REL-002 remains Fail only for assigned-item display.</x:v>
      </x:c>
      <x:c r="P66" t="str">
        <x:v>BA</x:v>
      </x:c>
      <x:c r="Q66" t="str">
        <x:v>Confirmed Future Backlog 2026-08-15</x:v>
      </x:c>
      <x:c r="R66" t="n">
        <x:v>46249</x:v>
      </x:c>
    </x:row>
    <x:row r="67">
      <x:c r="A67" t="str">
        <x:v>GAP-P3-MS-002</x:v>
      </x:c>
      <x:c r="B67" t="str">
        <x:v>Phase 3</x:v>
      </x:c>
      <x:c r="C67" t="str">
        <x:v>Milestone Artifacts</x:v>
      </x:c>
      <x:c r="D67" t="str">
        <x:v>P0</x:v>
      </x:c>
      <x:c r="E67" t="str">
        <x:v>Milestone Artifacts assignment display</x:v>
      </x:c>
      <x:c r="F67" t="str">
        <x:v>Signed in to DevInt with Portfolio Feature FE-6, Milestone MS-1 and permission to edit both items.</x:v>
      </x:c>
      <x:c r="G67" t="str">
        <x:v>Project AUDIT26; FE-6 AUD-FE2 Release Mismatch; MS-1 AUD-MS1 Cross Release; existing US-8 and US-9.</x:v>
      </x:c>
      <x:c r="H67" t="str">
        <x:v>1. Open FE-6 in Portfolio.
2. Assign MS-1 in the Milestone field and click Save.
3. Reload FE-6 and confirm MS-1 persists.
4. Open MS-1 &gt; Artifacts.
5. Verify FE-6 appears as a direct artifact.
6. Verify Feature/Epic descendants enter inherited scope once without duplicate counting.
7. Confirm Artifact-origin Create/Create with details is not required in the current scope.</x:v>
      </x:c>
      <x:c r="I67" t="str">
        <x:v>Milestone Artifacts shows directly assigned US/DE/Feature/Epic after reload. Feature/Epic descendants enter the inherited display/rollup scope once without duplicate counting. Artifact-origin Create/Create with details remains Future Backlog.</x:v>
      </x:c>
      <x:c r="J67" t="str">
        <x:v>P3-MS-009; Phase 3/03_Milestones/SRS.md</x:v>
      </x:c>
      <x:c r="K67" t="str">
        <x:v>Not Run after scope amendment 2026-08-15</x:v>
      </x:c>
      <x:c r="L67" t="str">
        <x:v>Fail</x:v>
      </x:c>
      <x:c r="M67" t="str">
        <x:v>Live retest 2026-08-15: Milestone Add Artifact can add/remove existing US/DE and persists after reload. FE-6 retains MS-1 after Save/reload, but MS-1 Artifacts still shows only US-8 and US-9; FE-6 is absent. Direct Feature display failed, so inherited Feature/Epic scope cannot be accepted.</x:v>
      </x:c>
      <x:c r="N67" t="str">
        <x:v>https://rally-dev.qnsc.vn/milestones/019fff28-b5b6-714d-a7e4-f05cbd5430c5; https://rally-dev.qnsc.vn/portfolio</x:v>
      </x:c>
      <x:c r="O67" t="str">
        <x:v>Fix Milestone Artifacts query/display for directly assigned Feature/Epic and de-duplicated inherited descendants. Keep existing US/DE behavior. Artifact-origin Create/Create with details remains Future Backlog.</x:v>
      </x:c>
      <x:c r="P67" t="str">
        <x:v>Codex DevInt retest</x:v>
      </x:c>
      <x:c r="Q67" t="str">
        <x:v>BA confirmed Fail 2026-08-15</x:v>
      </x:c>
      <x:c r="R67" t="n">
        <x:v>46249</x:v>
      </x:c>
    </x:row>
    <x:row r="68">
      <x:c r="A68"/>
      <x:c r="B68"/>
      <x:c r="C68"/>
      <x:c r="D68"/>
      <x:c r="E68"/>
      <x:c r="F68"/>
      <x:c r="G68"/>
      <x:c r="H68"/>
      <x:c r="I68"/>
      <x:c r="J68"/>
      <x:c r="K68"/>
      <x:c r="L68"/>
      <x:c r="M68"/>
      <x:c r="N68"/>
      <x:c r="O68"/>
      <x:c r="P68"/>
      <x:c r="Q68"/>
      <x:c r="R68"/>
    </x:row>
  </x:sheetData>
  <x:mergeCells>
    <x:mergeCell ref="A1:R1"/>
    <x:mergeCell ref="A2:R2"/>
  </x:mergeCells>
  <x:dataValidations count="2">
    <x:dataValidation type="list" sqref="L5:L64">
      <x:formula1>"Not Run,Pass,Partial,Fail,Blocked,Future Backlog,Not Required"</x:formula1>
    </x:dataValidation>
    <x:dataValidation type="list" sqref="Q5:Q64">
      <x:formula1>"Pending,Confirmed,Needs Discussion"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Phase 5 Production Retest</x:v>
      </x:c>
      <x:c r="B1" s="4"/>
      <x:c r="C1" s="4"/>
      <x:c r="D1" s="4"/>
      <x:c r="E1" s="4"/>
      <x:c r="F1" s="4"/>
      <x:c r="G1" s="4"/>
      <x:c r="H1" s="4"/>
      <x:c r="I1" s="4"/>
      <x:c r="J1" s="4"/>
      <x:c r="K1" s="4"/>
      <x:c r="L1" s="4"/>
      <x:c r="M1" s="4"/>
      <x:c r="N1" s="4"/>
      <x:c r="O1" s="4"/>
      <x:c r="P1" s="4"/>
      <x:c r="Q1" s="4"/>
      <x:c r="R1" s="4"/>
    </x:row>
    <x:row r="2" ht="34" customHeight="1">
      <x:c r="A2" s="8" t="str">
        <x:v>Historical Phase 5 deployed-product results. Current Project authorization must be re-tested against Current Access Baseline; former role wording is retained only as execution history.</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P5-PI-001</x:v>
      </x:c>
      <x:c r="B5" s="44" t="str">
        <x:v>Phase 5</x:v>
      </x:c>
      <x:c r="C5" s="44" t="str">
        <x:v>P5-PI - Portfolio Items</x:v>
      </x:c>
      <x:c r="D5" s="44" t="str">
        <x:v>P0</x:v>
      </x:c>
      <x:c r="E5" s="35" t="str">
        <x:v>Portfolio Items navigation</x:v>
      </x:c>
      <x:c r="F5" s="35" t="str">
        <x:v>DevInt truy cập được và không có lỗi tải trang nghiêm trọng.
Đăng nhập bằng đúng role nêu trong case; nếu case không nêu role thì dùng Workspace Admin.</x:v>
      </x:c>
      <x:c r="G5" s="35" t="str">
        <x:v>Project TEST; Epic P56-AUDIT-EPIC; Feature P56-AUDIT-FEATURE; Story/Defect liên kết và một record archived khi case yêu cầu.</x:v>
      </x:c>
      <x:c r="H5" s="35"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as Workspace Admin.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 s="35" t="str">
        <x:v>Portfolio Items opens as the first Portfolio dropdown entry and shows the confirmed Epic/Feature grid</x:v>
      </x:c>
      <x:c r="J5" s="35" t="str">
        <x:v>Phase 5/01_Portfolio_Items/SRS.md</x:v>
      </x:c>
      <x:c r="K5" s="35" t="str">
        <x:v>Pass / BA accepted 2026-07-28. Feature baseline smoke plus iterative Epic in-app browser review completed.</x:v>
      </x:c>
      <x:c r="L5" s="49" t="str">
        <x:v>Pass</x:v>
      </x:c>
      <x:c r="M5" s="49" t="str">
        <x:v>Pass. DevInt behavior matched the Expected Result for the tested branch; prior approved evidence was retained where applicable.</x:v>
      </x:c>
      <x:c r="N5" s="49" t="str">
        <x:v>DevInt browser retest 2026-08-06; controlled P56-AUDIT data. Detail: 07_Testing Plan/Codex_audit_06_tracker.md &gt; Phase 5 DevInt Execution Results.</x:v>
      </x:c>
      <x:c r="O5" s="49"/>
      <x:c r="P5" s="49" t="str">
        <x:v>Codex — Workspace Admin</x:v>
      </x:c>
      <x:c r="Q5" s="49" t="str">
        <x:v>Pending BA confirmation</x:v>
      </x:c>
      <x:c r="R5" s="55" t="n">
        <x:v>46240</x:v>
      </x:c>
    </x:row>
    <x:row r="6">
      <x:c r="A6" s="45" t="str">
        <x:v>P5-PI-002</x:v>
      </x:c>
      <x:c r="B6" s="46" t="str">
        <x:v>Phase 5</x:v>
      </x:c>
      <x:c r="C6" s="46" t="str">
        <x:v>P5-PI - Portfolio Items</x:v>
      </x:c>
      <x:c r="D6" s="46" t="str">
        <x:v>P0</x:v>
      </x:c>
      <x:c r="E6" s="38" t="str">
        <x:v>Project/Team-scoped list</x:v>
      </x:c>
      <x:c r="F6" s="38" t="str">
        <x:v>DevInt truy cập được và không có lỗi tải trang nghiêm trọng.
Đăng nhập bằng đúng role nêu trong case; nếu case không nêu role thì dùng Workspace Admin.</x:v>
      </x:c>
      <x:c r="G6" s="38" t="str">
        <x:v>Project TEST; Epic P56-AUDIT-EPIC; Feature P56-AUDIT-FEATURE; Story/Defect liên kết và một record archived khi case yêu cầu.</x:v>
      </x:c>
      <x:c r="H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Switch Project, then switch between All Teams and a specific Team while changing Type.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 s="38" t="str">
        <x:v>Project scope is preserved. All Teams can show Epic or Feature by Type; specific Team + Feature shows that Team's Features; specific Team + Epic shows Filter not show item.</x:v>
      </x:c>
      <x:c r="J6" s="38" t="str">
        <x:v>Phase 5/01_Portfolio_Items/SRS.md</x:v>
      </x:c>
      <x:c r="K6" s="38" t="str">
        <x:v>Pass / BA accepted 2026-07-28. Final Type/context behavior reviewed in app.</x:v>
      </x:c>
      <x:c r="L6" s="51" t="str">
        <x:v>Pass</x:v>
      </x:c>
      <x:c r="M6" s="51" t="str">
        <x:v>Pass. DevInt behavior matched the Expected Result for the tested branch; prior approved evidence was retained where applicable.</x:v>
      </x:c>
      <x:c r="N6" s="51" t="str">
        <x:v>DevInt browser retest 2026-08-06; controlled P56-AUDIT data. Detail: 07_Testing Plan/Codex_audit_06_tracker.md &gt; Phase 5 DevInt Execution Results.</x:v>
      </x:c>
      <x:c r="O6" s="51"/>
      <x:c r="P6" s="51" t="str">
        <x:v>Codex — Workspace Admin</x:v>
      </x:c>
      <x:c r="Q6" s="51" t="str">
        <x:v>Pending BA confirmation</x:v>
      </x:c>
      <x:c r="R6" s="56" t="n">
        <x:v>46240</x:v>
      </x:c>
    </x:row>
    <x:row r="7">
      <x:c r="A7" s="45" t="str">
        <x:v>P5-PI-003</x:v>
      </x:c>
      <x:c r="B7" s="46" t="str">
        <x:v>Phase 5</x:v>
      </x:c>
      <x:c r="C7" s="46" t="str">
        <x:v>P5-PI - Portfolio Items</x:v>
      </x:c>
      <x:c r="D7" s="46" t="str">
        <x:v>P0</x:v>
      </x:c>
      <x:c r="E7" s="38" t="str">
        <x:v>Workspace Admin inline edit</x:v>
      </x:c>
      <x:c r="F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 s="38" t="str">
        <x:v>Project TEST; Epic P56-AUDIT-EPIC; Feature P56-AUDIT-FEATURE; Story/Defect liên kết và một record archived khi case yêu cầu.</x:v>
      </x:c>
      <x:c r="H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Workspace Admin in NXP, edit Feature Name/Release/State/Project/Team/Owner and Epic Name/State/Project/Owner.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 s="38" t="str">
        <x:v>Inline edits apply immediately; Feature Project change keeps Team/Release valid; Epic has no Release or Team editor</x:v>
      </x:c>
      <x:c r="J7" s="38" t="str">
        <x:v>Phase 5/01_Portfolio_Items/SRS.md</x:v>
      </x:c>
      <x:c r="K7" s="38" t="str">
        <x:v>Pass / BA accepted 2026-07-28. Type-specific inline controls reviewed in app.</x:v>
      </x:c>
      <x:c r="L7" s="51" t="str">
        <x:v>Fail</x:v>
      </x:c>
      <x:c r="M7" s="51" t="str">
        <x:v>Project must be inherited from the active context and read-only. DevInt exposes an interactive Project selector; selecting AUDIT26 returns an unexpected error.</x:v>
      </x:c>
      <x:c r="N7" s="51" t="str">
        <x:v>../Codex_audit_06_tracker.md; https://rally-dev.qnsc.vn/portfolio</x:v>
      </x:c>
      <x:c r="O7" s="51" t="str">
        <x:v>Remove the editable Project selector and always inherit the current Project context.</x:v>
      </x:c>
      <x:c r="P7" s="51" t="str">
        <x:v>BA + Codex</x:v>
      </x:c>
      <x:c r="Q7" s="51" t="str">
        <x:v>BA confirmed Fail 2026-08-14</x:v>
      </x:c>
      <x:c r="R7" s="56" t="n">
        <x:v>46248</x:v>
      </x:c>
    </x:row>
    <x:row r="8">
      <x:c r="A8" s="45" t="str">
        <x:v>P5-PI-004</x:v>
      </x:c>
      <x:c r="B8" s="46" t="str">
        <x:v>Phase 5</x:v>
      </x:c>
      <x:c r="C8" s="46" t="str">
        <x:v>P5-PI - Portfolio Items</x:v>
      </x:c>
      <x:c r="D8" s="46" t="str">
        <x:v>P0</x:v>
      </x:c>
      <x:c r="E8" s="38" t="str">
        <x:v>Admin manages Portfolio in assigned Project</x:v>
      </x:c>
      <x:c r="F8" s="38" t="str">
        <x:v>User has Admin assignment in Project TEST; Portfolio test Feature exists.</x:v>
      </x:c>
      <x:c r="G8" s="38" t="str">
        <x:v>Project TEST; Epic P56-AUDIT-EPIC; Feature P56-AUDIT-FEATURE; Story/Defect liên kết và một record archived khi case yêu cầu.</x:v>
      </x:c>
      <x:c r="H8" s="38" t="str">
        <x:v>1. Sign in as Project Admin.
2. Open Portfolio Items in assigned Project.
3. Create, edit and archive a test Feature.
4. Reload and confirm persistence and scope.</x:v>
      </x:c>
      <x:c r="I8" s="38" t="str">
        <x:v>Admin can create/edit/archive Portfolio Items only in assigned Project.</x:v>
      </x:c>
      <x:c r="J8" s="38" t="str">
        <x:v>Phase 5/01_Portfolio_Items/SRS.md</x:v>
      </x:c>
      <x:c r="K8" s="38" t="str">
        <x:v>Superseded by approved Project access baseline 2026-08-14; previous permission result cannot be reused.</x:v>
      </x:c>
      <x:c r="L8" s="51" t="str">
        <x:v>Blocked</x:v>
      </x:c>
      <x:c r="M8" s="51" t="str">
        <x:v>No assigned-Project Admin login is available.</x:v>
      </x:c>
      <x:c r="N8" s="51" t="str">
        <x:v>https://rally-dev.qnsc.vn/portfolio</x:v>
      </x:c>
      <x:c r="O8" s="51" t="str">
        <x:v>No assigned-Project Admin login is available.</x:v>
      </x:c>
      <x:c r="P8" s="51" t="str">
        <x:v>Codex DevInt retest</x:v>
      </x:c>
      <x:c r="Q8" s="51" t="str">
        <x:v>Pending BA review</x:v>
      </x:c>
      <x:c r="R8" s="56" t="n">
        <x:v>46248</x:v>
      </x:c>
    </x:row>
    <x:row r="9">
      <x:c r="A9" s="45" t="str">
        <x:v>P5-PI-005</x:v>
      </x:c>
      <x:c r="B9" s="46" t="str">
        <x:v>Phase 5</x:v>
      </x:c>
      <x:c r="C9" s="46" t="str">
        <x:v>P5-PI - Portfolio Items</x:v>
      </x:c>
      <x:c r="D9" s="46" t="str">
        <x:v>P0</x:v>
      </x:c>
      <x:c r="E9" s="38" t="str">
        <x:v>Unassigned Project Portfolio isolation</x:v>
      </x:c>
      <x:c r="F9" s="38" t="str">
        <x:v>Same Admin user has no assignment in a second Project.</x:v>
      </x:c>
      <x:c r="G9" s="38" t="str">
        <x:v>Project TEST; Epic P56-AUDIT-EPIC; Feature P56-AUDIT-FEATURE; Story/Defect liên kết và một record archived khi case yêu cầu.</x:v>
      </x:c>
      <x:c r="H9" s="38" t="str">
        <x:v>1. Sign in as Admin.
2. Confirm the unassigned Project is absent from selectors/navigation.
3. Open its Portfolio URL directly.
4. Record safe denied/not-found behavior.</x:v>
      </x:c>
      <x:c r="I9" s="38" t="str">
        <x:v>Unassigned Project and Portfolio data are hidden; direct access is denied without metadata leak.</x:v>
      </x:c>
      <x:c r="J9" s="38" t="str">
        <x:v>Phase 5/01_Portfolio_Items/SRS.md</x:v>
      </x:c>
      <x:c r="K9" s="38" t="str">
        <x:v>Superseded by approved Project access baseline 2026-08-14; previous permission result cannot be reused.</x:v>
      </x:c>
      <x:c r="L9" s="51" t="str">
        <x:v>Blocked</x:v>
      </x:c>
      <x:c r="M9" s="51" t="str">
        <x:v>No second unassigned Project and no unassigned-user login are available.</x:v>
      </x:c>
      <x:c r="N9" s="51" t="str">
        <x:v>https://rally-dev.qnsc.vn/portfolio</x:v>
      </x:c>
      <x:c r="O9" s="51" t="str">
        <x:v>No second unassigned Project and no unassigned-user login are available.</x:v>
      </x:c>
      <x:c r="P9" s="51" t="str">
        <x:v>Codex DevInt retest</x:v>
      </x:c>
      <x:c r="Q9" s="51" t="str">
        <x:v>Pending BA review</x:v>
      </x:c>
      <x:c r="R9" s="56" t="n">
        <x:v>46248</x:v>
      </x:c>
    </x:row>
    <x:row r="10">
      <x:c r="A10" s="45" t="str">
        <x:v>P5-PI-006</x:v>
      </x:c>
      <x:c r="B10" s="46" t="str">
        <x:v>Phase 5</x:v>
      </x:c>
      <x:c r="C10" s="46" t="str">
        <x:v>P5-PI - Portfolio Items</x:v>
      </x:c>
      <x:c r="D10" s="46" t="str">
        <x:v>P0</x:v>
      </x:c>
      <x:c r="E10" s="38" t="str">
        <x:v>Editor cannot open Portfolio</x:v>
      </x:c>
      <x:c r="F10" s="38" t="str">
        <x:v>User has Editor assignment in Project TEST and at least one Team.</x:v>
      </x:c>
      <x:c r="G10" s="38" t="str">
        <x:v>Project TEST; Epic P56-AUDIT-EPIC; Feature P56-AUDIT-FEATURE; Story/Defect liên kết và một record archived khi case yêu cầu.</x:v>
      </x:c>
      <x:c r="H10" s="38" t="str">
        <x:v>1. Sign in as Editor.
2. Inspect Portfolio navigation.
3. Open Portfolio Items by direct URL.
4. Attempt one direct read if available and record the response.</x:v>
      </x:c>
      <x:c r="I10" s="38" t="str">
        <x:v>Portfolio navigation is hidden and direct access is safely denied; no Portfolio data is exposed.</x:v>
      </x:c>
      <x:c r="J10" s="38" t="str">
        <x:v>Phase 5/01_Portfolio_Items/SRS.md</x:v>
      </x:c>
      <x:c r="K10" s="38" t="str">
        <x:v>Superseded by approved Project access baseline 2026-08-14; previous permission result cannot be reused.</x:v>
      </x:c>
      <x:c r="L10" s="51" t="str">
        <x:v>Blocked</x:v>
      </x:c>
      <x:c r="M10" s="51" t="str">
        <x:v>No Editor login is available to verify hidden navigation and direct-route denial.</x:v>
      </x:c>
      <x:c r="N10" s="51" t="str">
        <x:v>https://rally-dev.qnsc.vn/portfolio</x:v>
      </x:c>
      <x:c r="O10" s="51" t="str">
        <x:v>No Editor login is available to verify hidden navigation and direct-route denial.</x:v>
      </x:c>
      <x:c r="P10" s="51" t="str">
        <x:v>Codex DevInt retest</x:v>
      </x:c>
      <x:c r="Q10" s="51" t="str">
        <x:v>Pending BA review</x:v>
      </x:c>
      <x:c r="R10" s="56" t="n">
        <x:v>46248</x:v>
      </x:c>
    </x:row>
    <x:row r="11">
      <x:c r="A11" s="45" t="str">
        <x:v>P5-PI-007</x:v>
      </x:c>
      <x:c r="B11" s="46" t="str">
        <x:v>Phase 5</x:v>
      </x:c>
      <x:c r="C11" s="46" t="str">
        <x:v>P5-PI - Portfolio Items</x:v>
      </x:c>
      <x:c r="D11" s="46" t="str">
        <x:v>P0</x:v>
      </x:c>
      <x:c r="E11" s="38" t="str">
        <x:v>Project-scoped Release options</x:v>
      </x:c>
      <x:c r="F1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1" s="38" t="str">
        <x:v>Project TEST; Epic P56-AUDIT-EPIC; Feature P56-AUDIT-FEATURE; Story/Defect liên kết và một record archived khi case yêu cầu.</x:v>
      </x:c>
      <x:c r="H1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Open/create/edit a Feature in NXP, then inspect Release selectors; switch a Feature to MOB.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1" s="38" t="str">
        <x:v>Release choices are limited to the Feature Project; MOB has no Nexus Platform Release choices and defaults to Unscheduled</x:v>
      </x:c>
      <x:c r="J11" s="38" t="str">
        <x:v>Phase 5/01_Portfolio_Items/SRS.md</x:v>
      </x:c>
      <x:c r="K11" s="38" t="str">
        <x:v>Pass (runtime smoke 2026-07-26)</x:v>
      </x:c>
      <x:c r="L11" s="51" t="str">
        <x:v>Pass</x:v>
      </x:c>
      <x:c r="M11" s="51" t="str">
        <x:v>AUDIT26 Feature Release selector exposes only Unscheduled, AUD-R1 and AUD-R2. Releases from Project TEST do not leak into the selector.</x:v>
      </x:c>
      <x:c r="N11" s="51" t="str">
        <x:v>DEVINT_RETEST_EXECUTION_PLAN_2026-08-14.md §8; https://rally-dev.qnsc.vn/portfolio</x:v>
      </x:c>
      <x:c r="O11" s="51" t="str">
        <x:v>Pass: Release options are Project-scoped.</x:v>
      </x:c>
      <x:c r="P11" s="51" t="str">
        <x:v>Codex DevInt retest</x:v>
      </x:c>
      <x:c r="Q11" s="51" t="str">
        <x:v>Pending BA review</x:v>
      </x:c>
      <x:c r="R11" s="56" t="n">
        <x:v>46248</x:v>
      </x:c>
    </x:row>
    <x:row r="12">
      <x:c r="A12" s="45" t="str">
        <x:v>P5-PI-008</x:v>
      </x:c>
      <x:c r="B12" s="46" t="str">
        <x:v>Phase 5</x:v>
      </x:c>
      <x:c r="C12" s="46" t="str">
        <x:v>P5-PI - Portfolio Items</x:v>
      </x:c>
      <x:c r="D12" s="46" t="str">
        <x:v>P0</x:v>
      </x:c>
      <x:c r="E12" s="38" t="str">
        <x:v>Create Feature paths</x:v>
      </x:c>
      <x:c r="F1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2" s="38" t="str">
        <x:v>Project TEST; Epic P56-AUDIT-EPIC; Feature P56-AUDIT-FEATURE; Story/Defect liên kết và một record archived khi case yêu cầu.</x:v>
      </x:c>
      <x:c r="H1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Use Create Feature and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2" s="38" t="str">
        <x:v>Both create a Feature in the current Project/Team; the details path opens the new Feature Detail page</x:v>
      </x:c>
      <x:c r="J12" s="38" t="str">
        <x:v>Phase 5/01_Portfolio_Items/SRS.md</x:v>
      </x:c>
      <x:c r="K12" s="38" t="str">
        <x:v>Not Run</x:v>
      </x:c>
      <x:c r="L12" s="51" t="str">
        <x:v>Pass</x:v>
      </x:c>
      <x:c r="M12" s="51" t="str">
        <x:v>Re-test 2026-08-09: Create with details created exactly FE-4 and navigated directly to its Feature Detail page.</x:v>
      </x:c>
      <x:c r="N12" s="51" t="str">
        <x:v>https://rally-dev.qnsc.vn/portfolio/019fe657-7173-7e33-b737-2edf1f4b6395</x:v>
      </x:c>
      <x:c r="O12" s="51" t="str">
        <x:v>Resolved in current DevInt.</x:v>
      </x:c>
      <x:c r="P12" s="51" t="str">
        <x:v>Codex DevInt re-test</x:v>
      </x:c>
      <x:c r="Q12" s="51" t="str">
        <x:v>Pending BA confirmation</x:v>
      </x:c>
      <x:c r="R12" s="56" t="n">
        <x:v>46243</x:v>
      </x:c>
    </x:row>
    <x:row r="13">
      <x:c r="A13" s="45" t="str">
        <x:v>P5-PI-009</x:v>
      </x:c>
      <x:c r="B13" s="46" t="str">
        <x:v>Phase 5</x:v>
      </x:c>
      <x:c r="C13" s="46" t="str">
        <x:v>P5-PI - Portfolio Items</x:v>
      </x:c>
      <x:c r="D13" s="46" t="str">
        <x:v>P0</x:v>
      </x:c>
      <x:c r="E13" s="38" t="str">
        <x:v>Feature detail backing fields</x:v>
      </x:c>
      <x:c r="F1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3" s="38" t="str">
        <x:v>Project TEST; Epic P56-AUDIT-EPIC; Feature P56-AUDIT-FEATURE; Story/Defect liên kết và một record archived khi case yêu cầu.</x:v>
      </x:c>
      <x:c r="H1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Edit Description, Notes, What Success Looks Like and attachment metadata, then navigate away and reopen the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3" s="38" t="str">
        <x:v>Values remain in the session-level Feature state and are not display-only placeholders</x:v>
      </x:c>
      <x:c r="J13" s="38" t="str">
        <x:v>Phase 5/01_Portfolio_Items/SRS.md</x:v>
      </x:c>
      <x:c r="K13" s="38" t="str">
        <x:v>Pass (runtime smoke 2026-07-26: seeded backing state visible; edit persistence remains BA/UAT path)</x:v>
      </x:c>
      <x:c r="L13" s="51" t="str">
        <x:v>Pass</x:v>
      </x:c>
      <x:c r="M13" s="51" t="str">
        <x:v>Existing Description persists after reopen. Uploaded attachment P5-PI-009_attachment_2026-08-14.txt remains visible after full reload with the correct name and size.</x:v>
      </x:c>
      <x:c r="N13" s="51" t="str">
        <x:v>../Codex_audit_06_tracker.md; https://rally-dev.qnsc.vn/portfolio</x:v>
      </x:c>
      <x:c r="O13" s="51" t="str">
        <x:v>No open gap in this retest.</x:v>
      </x:c>
      <x:c r="P13" s="51" t="str">
        <x:v>BA + Codex</x:v>
      </x:c>
      <x:c r="Q13" s="51" t="str">
        <x:v>BA confirmed Pass 2026-08-14</x:v>
      </x:c>
      <x:c r="R13" s="56" t="n">
        <x:v>46248</x:v>
      </x:c>
    </x:row>
    <x:row r="14">
      <x:c r="A14" s="45" t="str">
        <x:v>P5-PI-010</x:v>
      </x:c>
      <x:c r="B14" s="46" t="str">
        <x:v>Phase 5</x:v>
      </x:c>
      <x:c r="C14" s="46" t="str">
        <x:v>P5-PI - Portfolio Items</x:v>
      </x:c>
      <x:c r="D14" s="46" t="str">
        <x:v>P0</x:v>
      </x:c>
      <x:c r="E14" s="38" t="str">
        <x:v>Archive Feature</x:v>
      </x:c>
      <x:c r="F14"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4" s="38" t="str">
        <x:v>Project TEST; Epic P56-AUDIT-EPIC; Feature P56-AUDIT-FEATURE; Story/Defect liên kết và một record archived khi case yêu cầu.</x:v>
      </x:c>
      <x:c r="H1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Archive a Feature from Feature Detail and confirm the dialog.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4" s="38" t="str">
        <x:v>Feature disappears from the active-only list, remains read-only in the current detail context, and there is no hard delete or Restore action. The old Active/Archived/All selector is no longer part of the accepted toolbar.</x:v>
      </x:c>
      <x:c r="J14" s="38" t="str">
        <x:v>Phase 5/01_Portfolio_Items/SRS.md</x:v>
      </x:c>
      <x:c r="K14" s="38" t="str">
        <x:v>Pass (runtime smoke 2026-07-26 plus toolbar amendment 2026-07-28)</x:v>
      </x:c>
      <x:c r="L14" s="51" t="str">
        <x:v>Pass</x:v>
      </x:c>
      <x:c r="M14" s="51" t="str">
        <x:v>Pass. FE-1 archived successfully and disappeared from the active Portfolio list.</x:v>
      </x:c>
      <x:c r="N14" s="51" t="str">
        <x:v>DevInt browser retest 2026-08-06; controlled P56-AUDIT data. Detail: 07_Testing Plan/Codex_audit_06_tracker.md &gt; Phase 5 DevInt Execution Results.</x:v>
      </x:c>
      <x:c r="O14" s="51"/>
      <x:c r="P14" s="51" t="str">
        <x:v>Codex — Workspace Admin</x:v>
      </x:c>
      <x:c r="Q14" s="51" t="str">
        <x:v>Pending BA confirmation</x:v>
      </x:c>
      <x:c r="R14" s="56" t="n">
        <x:v>46240</x:v>
      </x:c>
    </x:row>
    <x:row r="15">
      <x:c r="A15" s="45" t="str">
        <x:v>P5-PI-011</x:v>
      </x:c>
      <x:c r="B15" s="46" t="str">
        <x:v>Phase 5</x:v>
      </x:c>
      <x:c r="C15" s="46" t="str">
        <x:v>P5-PI - Portfolio Items</x:v>
      </x:c>
      <x:c r="D15" s="46" t="str">
        <x:v>P0</x:v>
      </x:c>
      <x:c r="E15" s="38" t="str">
        <x:v>Archived Feature child guard</x:v>
      </x:c>
      <x:c r="F15"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5" s="38" t="str">
        <x:v>Project TEST; Epic P56-AUDIT-EPIC; Feature P56-AUDIT-FEATURE; Story/Defect liên kết và một record archived khi case yêu cầu.</x:v>
      </x:c>
      <x:c r="H1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archived Feature's Children tab.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5" s="38" t="str">
        <x:v>Add Item is absent and existing child/history data remains visible read-only</x:v>
      </x:c>
      <x:c r="J15" s="38" t="str">
        <x:v>Phase 5/01_Portfolio_Items/SRS.md</x:v>
      </x:c>
      <x:c r="K15" s="38" t="str">
        <x:v>Not Run</x:v>
      </x:c>
      <x:c r="L15" s="51" t="str">
        <x:v>Not Required</x:v>
      </x:c>
      <x:c r="M15" s="51" t="str">
        <x:v>BA confirmed 2026-08-14: archived Feature child guard is not required in the current acceptance scope.</x:v>
      </x:c>
      <x:c r="N15" s="51" t="str">
        <x:v>DEVINT_RETEST_EXECUTION_PLAN_2026-08-14.md §8; https://rally-dev.qnsc.vn/portfolio</x:v>
      </x:c>
      <x:c r="O15" s="51"/>
      <x:c r="P15" s="51" t="str">
        <x:v>Codex DevInt retest</x:v>
      </x:c>
      <x:c r="Q15" s="51" t="str">
        <x:v>BA confirmed Not Required 2026-08-14</x:v>
      </x:c>
      <x:c r="R15" s="56" t="n">
        <x:v>46248</x:v>
      </x:c>
    </x:row>
    <x:row r="16">
      <x:c r="A16" s="45" t="str">
        <x:v>P5-PI-012</x:v>
      </x:c>
      <x:c r="B16" s="46" t="str">
        <x:v>Phase 5</x:v>
      </x:c>
      <x:c r="C16" s="46" t="str">
        <x:v>P5-PI - Portfolio Items</x:v>
      </x:c>
      <x:c r="D16" s="46" t="str">
        <x:v>P0</x:v>
      </x:c>
      <x:c r="E16" s="38" t="str">
        <x:v>Feature progress/detail panel</x:v>
      </x:c>
      <x:c r="F16" s="38" t="str">
        <x:v>DevInt truy cập được và không có lỗi tải trang nghiêm trọng.
Đăng nhập bằng đúng role nêu trong case; nếu case không nêu role thì dùng Workspace Admin.</x:v>
      </x:c>
      <x:c r="G16" s="38" t="str">
        <x:v>Project TEST; Epic P56-AUDIT-EPIC; Feature P56-AUDIT-FEATURE; Story/Defect liên kết và một record archived khi case yêu cầu.</x:v>
      </x:c>
      <x:c r="H1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with linked Story/Defect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6" s="38" t="str">
        <x:v>Feature right panel starts with Owner then Project, shows four progress bars and Preliminary Estimate; Refined Estimate and Refined Work Item Count Estimate appear immediately below Creation Date; Feature Plan Estimate is absent; Percent Done bars use live child totals, Estimated Progress bars use refined/top-down denominators; old Progress field appears in left Details as a progress meter with Points/Count toggle</x:v>
      </x:c>
      <x:c r="J16" s="38" t="str">
        <x:v>Phase 5/01_Portfolio_Items/SRS.md</x:v>
      </x:c>
      <x:c r="K16" s="38" t="str">
        <x:v>Pass 2026-07-28. Browser DOM on FE-318 confirmed Preliminary Estimate in the right rail, then State/Release/Milestone/Creation Date followed immediately by both Refined fields; New Feature also exposes Preliminary Estimate. Prior formula and Plan Estimate checks passed 2026-07-26.</x:v>
      </x:c>
      <x:c r="L16" s="51" t="str">
        <x:v>Pass</x:v>
      </x:c>
      <x:c r="M16" s="51" t="str">
        <x:v>Pass. DevInt behavior matched the Expected Result for the tested branch; prior approved evidence was retained where applicable.</x:v>
      </x:c>
      <x:c r="N16" s="51" t="str">
        <x:v>DevInt browser retest 2026-08-06; controlled P56-AUDIT data. Detail: 07_Testing Plan/Codex_audit_06_tracker.md &gt; Phase 5 DevInt Execution Results.</x:v>
      </x:c>
      <x:c r="O16" s="51"/>
      <x:c r="P16" s="51" t="str">
        <x:v>Codex — Workspace Admin</x:v>
      </x:c>
      <x:c r="Q16" s="51" t="str">
        <x:v>Pending BA confirmation</x:v>
      </x:c>
      <x:c r="R16" s="56" t="n">
        <x:v>46240</x:v>
      </x:c>
    </x:row>
    <x:row r="17">
      <x:c r="A17" s="45" t="str">
        <x:v>P5-PI-022</x:v>
      </x:c>
      <x:c r="B17" s="46" t="str">
        <x:v>Phase 5</x:v>
      </x:c>
      <x:c r="C17" s="46" t="str">
        <x:v>P5-PI - Portfolio Items</x:v>
      </x:c>
      <x:c r="D17" s="46" t="str">
        <x:v>P0</x:v>
      </x:c>
      <x:c r="E17" s="38" t="str">
        <x:v>Portfolio list Percent Done columns</x:v>
      </x:c>
      <x:c r="F17" s="38" t="str">
        <x:v>DevInt truy cập được và không có lỗi tải trang nghiêm trọng.
Đăng nhập bằng đúng role nêu trong case; nếu case không nêu role thì dùng Workspace Admin.</x:v>
      </x:c>
      <x:c r="G17" s="38" t="str">
        <x:v>Project TEST; Epic P56-AUDIT-EPIC; Feature P56-AUDIT-FEATURE; Story/Defect liên kết và một record archived khi case yêu cầu.</x:v>
      </x:c>
      <x:c r="H1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as Workspace Admin.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7" s="38" t="str">
        <x:v>Feature grid does not show generic Progress; it shows Percent Done By Story Plan Estimate and Percent Done By Story Count, and both columns render progress bars with live child Story/Defect denominators</x:v>
      </x:c>
      <x:c r="J17" s="38" t="str">
        <x:v>Phase 5/01_Portfolio_Items/SRS.md</x:v>
      </x:c>
      <x:c r="K17" s="38" t="str">
        <x:v>Pass (runtime smoke 2026-07-27: headers present, generic Progress header absent, FE rows show points/count denominators such as 0% (0/6) and 0% (0/2), 8 progress-bar nodes rendered, sort header active, console errors empty)</x:v>
      </x:c>
      <x:c r="L17" s="51" t="str">
        <x:v>Pass</x:v>
      </x:c>
      <x:c r="M17" s="51" t="str">
        <x:v>Pass. DevInt behavior matched the Expected Result for the tested branch; prior approved evidence was retained where applicable.</x:v>
      </x:c>
      <x:c r="N17" s="51" t="str">
        <x:v>DevInt browser retest 2026-08-06; controlled P56-AUDIT data. Detail: 07_Testing Plan/Codex_audit_06_tracker.md &gt; Phase 5 DevInt Execution Results.</x:v>
      </x:c>
      <x:c r="O17" s="51"/>
      <x:c r="P17" s="51" t="str">
        <x:v>Codex — Workspace Admin</x:v>
      </x:c>
      <x:c r="Q17" s="51" t="str">
        <x:v>Pending BA confirmation</x:v>
      </x:c>
      <x:c r="R17" s="56" t="n">
        <x:v>46240</x:v>
      </x:c>
    </x:row>
    <x:row r="18">
      <x:c r="A18" s="45" t="str">
        <x:v>P5-PI-013</x:v>
      </x:c>
      <x:c r="B18" s="46" t="str">
        <x:v>Phase 5</x:v>
      </x:c>
      <x:c r="C18" s="46" t="str">
        <x:v>P5-PI - Portfolio Items</x:v>
      </x:c>
      <x:c r="D18" s="46" t="str">
        <x:v>P1</x:v>
      </x:c>
      <x:c r="E18" s="38" t="str">
        <x:v>Children tab work-item behavior</x:v>
      </x:c>
      <x:c r="F18" s="38" t="str">
        <x:v>DevInt truy cập được và không có lỗi tải trang nghiêm trọng.
Đăng nhập bằng đúng role nêu trong case; nếu case không nêu role thì dùng Workspace Admin.
Có account và Project assignment tương ứng để kiểm tra quyền.</x:v>
      </x:c>
      <x:c r="G18" s="38" t="str">
        <x:v>Project TEST; Epic P56-AUDIT-EPIC; Feature P56-AUDIT-FEATURE; Story/Defect liên kết và một record archived khi case yêu cầu.</x:v>
      </x:c>
      <x:c r="H1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switch to Children, search/filter/sort/resize/paginate, expand a Story/Defect to view Tasks.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8" s="38" t="str">
        <x:v>Children table behaves like the Backlog pattern; Task rows are read-only</x:v>
      </x:c>
      <x:c r="J18" s="38" t="str">
        <x:v>Phase 5/01_Portfolio_Items/SRS.md</x:v>
      </x:c>
      <x:c r="K18" s="38" t="str">
        <x:v>Not Run</x:v>
      </x:c>
      <x:c r="L18" s="51" t="str">
        <x:v>Partial</x:v>
      </x:c>
      <x:c r="M18" s="51" t="str">
        <x:v>Children uses the Backlog-like grid and expands Work Items, but available child US-5 has no Task rows to verify read-only behavior.</x:v>
      </x:c>
      <x:c r="N18" s="51" t="str">
        <x:v>https://rally-dev.qnsc.vn/portfolio</x:v>
      </x:c>
      <x:c r="O18" s="51" t="str">
        <x:v>Children uses the Backlog-like grid and expands Work Items, but available child US-5 has no Task rows to verify read-only behavior.</x:v>
      </x:c>
      <x:c r="P18" s="51" t="str">
        <x:v>Codex DevInt retest</x:v>
      </x:c>
      <x:c r="Q18" s="51" t="str">
        <x:v>Pending BA review</x:v>
      </x:c>
      <x:c r="R18" s="56" t="n">
        <x:v>46248</x:v>
      </x:c>
    </x:row>
    <x:row r="19">
      <x:c r="A19" s="45" t="str">
        <x:v>P5-PI-014</x:v>
      </x:c>
      <x:c r="B19" s="46" t="str">
        <x:v>Phase 5</x:v>
      </x:c>
      <x:c r="C19" s="46" t="str">
        <x:v>P5-PI - Portfolio Items</x:v>
      </x:c>
      <x:c r="D19" s="46" t="str">
        <x:v>P1</x:v>
      </x:c>
      <x:c r="E19" s="38" t="str">
        <x:v>Child row detail routing</x:v>
      </x:c>
      <x:c r="F19" s="38" t="str">
        <x:v>DevInt truy cập được và không có lỗi tải trang nghiêm trọng.
Đăng nhập bằng đúng role nêu trong case; nếu case không nêu role thì dùng Workspace Admin.</x:v>
      </x:c>
      <x:c r="G19" s="38" t="str">
        <x:v>Project TEST; Epic P56-AUDIT-EPIC; Feature P56-AUDIT-FEATURE; Story/Defect liên kết và một record archived khi case yêu cầu.</x:v>
      </x:c>
      <x:c r="H1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Click a Story/Defect row from the Children tab.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9" s="38" t="str">
        <x:v>The shared full Work Item Detail page opens with the same fields as Backlog/Iteration Status/Quality</x:v>
      </x:c>
      <x:c r="J19" s="38" t="str">
        <x:v>Phase 5/01_Portfolio_Items/SRS.md</x:v>
      </x:c>
      <x:c r="K19" s="38" t="str">
        <x:v>Not Run</x:v>
      </x:c>
      <x:c r="L19" s="51" t="str">
        <x:v>Pass</x:v>
      </x:c>
      <x:c r="M19" s="51" t="str">
        <x:v>Pass. Clicking child US-3 opened the shared Work Item Detail with Feature FE-1 shown.</x:v>
      </x:c>
      <x:c r="N19" s="51" t="str">
        <x:v>DevInt browser retest 2026-08-06; controlled P56-AUDIT data. Detail: 07_Testing Plan/Codex_audit_06_tracker.md &gt; Phase 5 DevInt Execution Results.</x:v>
      </x:c>
      <x:c r="O19" s="51"/>
      <x:c r="P19" s="51" t="str">
        <x:v>Codex — Workspace Admin</x:v>
      </x:c>
      <x:c r="Q19" s="51" t="str">
        <x:v>Pending BA confirmation</x:v>
      </x:c>
      <x:c r="R19" s="56" t="n">
        <x:v>46240</x:v>
      </x:c>
    </x:row>
    <x:row r="20">
      <x:c r="A20" s="45" t="str">
        <x:v>P5-PI-015</x:v>
      </x:c>
      <x:c r="B20" s="46" t="str">
        <x:v>Phase 5</x:v>
      </x:c>
      <x:c r="C20" s="46" t="str">
        <x:v>P5-PI - Portfolio Items</x:v>
      </x:c>
      <x:c r="D20" s="46" t="str">
        <x:v>P1</x:v>
      </x:c>
      <x:c r="E20" s="38" t="str">
        <x:v>Build and current access smoke evidence</x:v>
      </x:c>
      <x:c r="F20" s="38" t="str">
        <x:v>Current build plus Workspace Admin, Admin and Editor sessions; one unassigned Project.</x:v>
      </x:c>
      <x:c r="G20" s="38" t="str">
        <x:v>Project TEST; Epic P56-AUDIT-EPIC; Feature P56-AUDIT-FEATURE; Story/Defect liên kết và một record archived khi case yêu cầu.</x:v>
      </x:c>
      <x:c r="H20" s="38" t="str">
        <x:v>1. Run the production build.
2. Smoke Portfolio as Workspace Admin and assigned-Project Admin.
3. Verify Editor and unassigned Project navigation/direct-route denial.
4. Record console and scope evidence.</x:v>
      </x:c>
      <x:c r="I20" s="38" t="str">
        <x:v>Build passes; no serious console error; each current access boundary matches the 2026-08-14 baseline.</x:v>
      </x:c>
      <x:c r="J20" s="38" t="str">
        <x:v>Phase 5/01_Portfolio_Items/SRS.md</x:v>
      </x:c>
      <x:c r="K20" s="38" t="str">
        <x:v>Superseded by approved Project access baseline 2026-08-14; previous permission result cannot be reused.</x:v>
      </x:c>
      <x:c r="L20" s="51" t="str">
        <x:v>Partial</x:v>
      </x:c>
      <x:c r="M20" s="51" t="str">
        <x:v>DevInt Portfolio route loads and Workspace Admin access works; alternate access boundaries and deployment build evidence are unavailable.</x:v>
      </x:c>
      <x:c r="N20" s="51" t="str">
        <x:v>https://rally-dev.qnsc.vn/portfolio</x:v>
      </x:c>
      <x:c r="O20" s="51" t="str">
        <x:v>DevInt Portfolio route loads and Workspace Admin access works; alternate access boundaries and deployment build evidence are unavailable.</x:v>
      </x:c>
      <x:c r="P20" s="51" t="str">
        <x:v>Codex DevInt retest</x:v>
      </x:c>
      <x:c r="Q20" s="51" t="str">
        <x:v>Pending BA review</x:v>
      </x:c>
      <x:c r="R20" s="56" t="n">
        <x:v>46248</x:v>
      </x:c>
    </x:row>
    <x:row r="21">
      <x:c r="A21" s="45" t="str">
        <x:v>P5-PI-016</x:v>
      </x:c>
      <x:c r="B21" s="46" t="str">
        <x:v>Phase 5</x:v>
      </x:c>
      <x:c r="C21" s="46" t="str">
        <x:v>P5-PI - Portfolio Items</x:v>
      </x:c>
      <x:c r="D21" s="46" t="str">
        <x:v>P0</x:v>
      </x:c>
      <x:c r="E21" s="38" t="str">
        <x:v>Feature child Work Item creation</x:v>
      </x:c>
      <x:c r="F2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1" s="38" t="str">
        <x:v>Project TEST; Epic P56-AUDIT-EPIC; Feature P56-AUDIT-FEATURE; Story/Defect liên kết và một record archived khi case yêu cầu.</x:v>
      </x:c>
      <x:c r="H2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&gt; Children &gt; Add Item, create a Story/Defect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1" s="38" t="str">
        <x:v>Create with details creates exactly one item and opens that same item's Detail with Feature/Release/Milestone prefills preserved.</x:v>
      </x:c>
      <x:c r="J21" s="38" t="str">
        <x:v>Phase 5/01_Portfolio_Items/SRS.md</x:v>
      </x:c>
      <x:c r="K21" s="38" t="str">
        <x:v>Pass (runtime smoke 2026-07-26: FE-315 created US-4822 via shared Add Item flow and detail showed FE-315)</x:v>
      </x:c>
      <x:c r="L21" s="51" t="str">
        <x:v>Fail</x:v>
      </x:c>
      <x:c r="M21" s="51" t="str">
        <x:v>BA confirmed live 2026-08-14: Create works but Create with details cannot complete/open the created detail flow.</x:v>
      </x:c>
      <x:c r="N21" s="51" t="str">
        <x:v>https://rally-dev.qnsc.vn/portfolio</x:v>
      </x:c>
      <x:c r="O21" s="51" t="str">
        <x:v>`Add New` from FE-2 Children opens the shared New Work Item dialog without a Feature field or FE-2 prefill.</x:v>
      </x:c>
      <x:c r="P21" s="51" t="str">
        <x:v>Codex DevInt retest</x:v>
      </x:c>
      <x:c r="Q21" s="51" t="str">
        <x:v>Pending BA review</x:v>
      </x:c>
      <x:c r="R21" s="56" t="n">
        <x:v>46248</x:v>
      </x:c>
    </x:row>
    <x:row r="22">
      <x:c r="A22" s="45" t="str">
        <x:v>P5-PI-017</x:v>
      </x:c>
      <x:c r="B22" s="46" t="str">
        <x:v>Phase 5</x:v>
      </x:c>
      <x:c r="C22" s="46" t="str">
        <x:v>P5-PI - Portfolio Items</x:v>
      </x:c>
      <x:c r="D22" s="46" t="str">
        <x:v>P0</x:v>
      </x:c>
      <x:c r="E22" s="38" t="str">
        <x:v>Work Item Feature field</x:v>
      </x:c>
      <x:c r="F22" s="38" t="str">
        <x:v>DevInt truy cập được và không có lỗi tải trang nghiêm trọng.
Đăng nhập bằng đúng role nêu trong case; nếu case không nêu role thì dùng Workspace Admin.</x:v>
      </x:c>
      <x:c r="G22" s="38" t="str">
        <x:v>Project TEST; Epic P56-AUDIT-EPIC; Feature P56-AUDIT-FEATURE; Story/Defect liên kết và một record archived khi case yêu cầu.</x:v>
      </x:c>
      <x:c r="H2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Story/Defect Work Item Detail, change Feature within the same Project, then change Project.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2" s="38" t="str">
        <x:v>Feature selector offers only active same-Project Features; Project change clears invalid Feature assignment</x:v>
      </x:c>
      <x:c r="J22" s="38" t="str">
        <x:v>Phase 5/01_Portfolio_Items/SRS.md</x:v>
      </x:c>
      <x:c r="K22" s="38" t="str">
        <x:v>Partial Pass (runtime smoke 2026-07-26: same-Project active Feature options and selected value verified; Project-change invalid-clear remains BA/UAT Not Run)</x:v>
      </x:c>
      <x:c r="L22" s="51" t="str">
        <x:v>Fail</x:v>
      </x:c>
      <x:c r="M22" s="51" t="str">
        <x:v>Feature selection persists in Work Item Detail, but the inverse Feature/Epic Children relation is inconsistent for US-5 and US-12.</x:v>
      </x:c>
      <x:c r="N22" s="51" t="str">
        <x:v>../Codex_audit_06_tracker.md; https://rally-dev.qnsc.vn/item/US-12; https://rally-dev.qnsc.vn/portfolio</x:v>
      </x:c>
      <x:c r="O22" s="51" t="str">
        <x:v>Synchronize Work Item Feature assignment with the Feature/Epic Children projection.</x:v>
      </x:c>
      <x:c r="P22" s="51" t="str">
        <x:v>BA + Codex</x:v>
      </x:c>
      <x:c r="Q22" s="51" t="str">
        <x:v>BA confirmed Fail 2026-08-14</x:v>
      </x:c>
      <x:c r="R22" s="56" t="n">
        <x:v>46248</x:v>
      </x:c>
    </x:row>
    <x:row r="23">
      <x:c r="A23" s="45" t="str">
        <x:v>P5-PI-018</x:v>
      </x:c>
      <x:c r="B23" s="46" t="str">
        <x:v>Phase 5</x:v>
      </x:c>
      <x:c r="C23" s="46" t="str">
        <x:v>P5-PI - Portfolio Items</x:v>
      </x:c>
      <x:c r="D23" s="46" t="str">
        <x:v>P0</x:v>
      </x:c>
      <x:c r="E23" s="38" t="str">
        <x:v>Backlog-to-Iteration movement</x:v>
      </x:c>
      <x:c r="F2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3" s="38" t="str">
        <x:v>Project TEST; Epic P56-AUDIT-EPIC; Feature P56-AUDIT-FEATURE; Story/Defect liên kết và một record archived khi case yêu cầu.</x:v>
      </x:c>
      <x:c r="H2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From Plan &gt; Backlog, assign an Unscheduled Story/Defect to an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3" s="38" t="str">
        <x:v>Item disappears from Backlog and appears in that Iteration's status/execution view</x:v>
      </x:c>
      <x:c r="J23" s="38" t="str">
        <x:v>Phase 5/01_Portfolio_Items/SRS.md</x:v>
      </x:c>
      <x:c r="K23" s="38" t="str">
        <x:v>Pass (runtime smoke 2026-07-26: US-4822 moved to Sprint 24.3, left Backlog and appeared in Iteration Status)</x:v>
      </x:c>
      <x:c r="L23" s="51" t="str">
        <x:v>Pass</x:v>
      </x:c>
      <x:c r="M23" s="51" t="str">
        <x:v>Pass. DevInt behavior matched the Expected Result for the tested branch; prior approved evidence was retained where applicable.</x:v>
      </x:c>
      <x:c r="N23" s="51" t="str">
        <x:v>DevInt browser retest 2026-08-06; controlled P56-AUDIT data. Detail: 07_Testing Plan/Codex_audit_06_tracker.md &gt; Phase 5 DevInt Execution Results.</x:v>
      </x:c>
      <x:c r="O23" s="51"/>
      <x:c r="P23" s="51" t="str">
        <x:v>Codex — Workspace Admin</x:v>
      </x:c>
      <x:c r="Q23" s="51" t="str">
        <x:v>Pending BA confirmation</x:v>
      </x:c>
      <x:c r="R23" s="56" t="n">
        <x:v>46240</x:v>
      </x:c>
    </x:row>
    <x:row r="24">
      <x:c r="A24" s="45" t="str">
        <x:v>P5-PI-019</x:v>
      </x:c>
      <x:c r="B24" s="46" t="str">
        <x:v>Phase 5</x:v>
      </x:c>
      <x:c r="C24" s="46" t="str">
        <x:v>P5-PI - Portfolio Items</x:v>
      </x:c>
      <x:c r="D24" s="46" t="str">
        <x:v>P0</x:v>
      </x:c>
      <x:c r="E24" s="38" t="str">
        <x:v>Return item to Backlog</x:v>
      </x:c>
      <x:c r="F2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4" s="38" t="str">
        <x:v>Project TEST; Epic P56-AUDIT-EPIC; Feature P56-AUDIT-FEATURE; Story/Defect liên kết và một record archived khi case yêu cầu.</x:v>
      </x:c>
      <x:c r="H2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the assigned Work Item and change Iteration back to Unscheduled.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4" s="38" t="str">
        <x:v>Item returns to Plan &gt; Backlog</x:v>
      </x:c>
      <x:c r="J24" s="38" t="str">
        <x:v>Phase 5/01_Portfolio_Items/SRS.md</x:v>
      </x:c>
      <x:c r="K24" s="38" t="str">
        <x:v>Pass (runtime smoke 2026-07-26: US-4822 returned to Backlog after setting Iteration back to Unscheduled)</x:v>
      </x:c>
      <x:c r="L24" s="51" t="str">
        <x:v>Pass</x:v>
      </x:c>
      <x:c r="M24" s="51" t="str">
        <x:v>Pass. DevInt behavior matched the Expected Result for the tested branch; prior approved evidence was retained where applicable.</x:v>
      </x:c>
      <x:c r="N24" s="51" t="str">
        <x:v>DevInt browser retest 2026-08-06; controlled P56-AUDIT data. Detail: 07_Testing Plan/Codex_audit_06_tracker.md &gt; Phase 5 DevInt Execution Results.</x:v>
      </x:c>
      <x:c r="O24" s="51"/>
      <x:c r="P24" s="51" t="str">
        <x:v>Codex — Workspace Admin</x:v>
      </x:c>
      <x:c r="Q24" s="51" t="str">
        <x:v>Pending BA confirmation</x:v>
      </x:c>
      <x:c r="R24" s="56" t="n">
        <x:v>46240</x:v>
      </x:c>
    </x:row>
    <x:row r="25">
      <x:c r="A25" s="45" t="str">
        <x:v>P5-PI-020</x:v>
      </x:c>
      <x:c r="B25" s="46" t="str">
        <x:v>Phase 5</x:v>
      </x:c>
      <x:c r="C25" s="46" t="str">
        <x:v>P5-PI - Portfolio Items</x:v>
      </x:c>
      <x:c r="D25" s="46" t="str">
        <x:v>P0</x:v>
      </x:c>
      <x:c r="E25" s="38" t="str">
        <x:v>Task Estimate-first copy</x:v>
      </x:c>
      <x:c r="F2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5" s="38" t="str">
        <x:v>Project TEST; Epic P56-AUDIT-EPIC; Feature P56-AUDIT-FEATURE; Story/Defect liên kết và một record archived khi case yêu cầu.</x:v>
      </x:c>
      <x:c r="H2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Add a Task, enter Estimate before To Do, then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5" s="38" t="str">
        <x:v>To Do is copied from Estimate once; later Estimate/To Do/Actual edits do not recalculate each other</x:v>
      </x:c>
      <x:c r="J25" s="38" t="str">
        <x:v>Phase 5/01_Portfolio_Items/SRS.md</x:v>
      </x:c>
      <x:c r="K25" s="38" t="str">
        <x:v>Pass (runtime smoke 2026-07-26: TA-482201 copied Estimate 4 to To Do 4; later Estimate 6 left To Do unchanged)</x:v>
      </x:c>
      <x:c r="L25" s="51" t="str">
        <x:v>Pass</x:v>
      </x:c>
      <x:c r="M25" s="51" t="str">
        <x:v>Pass. DevInt behavior matched the Expected Result for the tested branch; prior approved evidence was retained where applicable.</x:v>
      </x:c>
      <x:c r="N25" s="51" t="str">
        <x:v>DevInt browser retest 2026-08-06; controlled P56-AUDIT data. Detail: 07_Testing Plan/Codex_audit_06_tracker.md &gt; Phase 5 DevInt Execution Results.</x:v>
      </x:c>
      <x:c r="O25" s="51"/>
      <x:c r="P25" s="51" t="str">
        <x:v>Codex — Workspace Admin</x:v>
      </x:c>
      <x:c r="Q25" s="51" t="str">
        <x:v>Pending BA confirmation</x:v>
      </x:c>
      <x:c r="R25" s="56" t="n">
        <x:v>46240</x:v>
      </x:c>
    </x:row>
    <x:row r="26">
      <x:c r="A26" s="45" t="str">
        <x:v>P5-PI-021</x:v>
      </x:c>
      <x:c r="B26" s="46" t="str">
        <x:v>Phase 5</x:v>
      </x:c>
      <x:c r="C26" s="46" t="str">
        <x:v>P5-PI - Portfolio Items</x:v>
      </x:c>
      <x:c r="D26" s="46" t="str">
        <x:v>P0</x:v>
      </x:c>
      <x:c r="E26" s="38" t="str">
        <x:v>Task Complete hour rule</x:v>
      </x:c>
      <x:c r="F2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6" s="38" t="str">
        <x:v>Project TEST; Epic P56-AUDIT-EPIC; Feature P56-AUDIT-FEATURE; Story/Defect liên kết và một record archived khi case yêu cầu.</x:v>
      </x:c>
      <x:c r="H2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Mark a Task Completed, then reopen it.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6" s="38" t="str">
        <x:v>Completing or reopening a Task leaves Estimate, To Do and Actual exactly unchanged; only explicit field edits may change them.</x:v>
      </x:c>
      <x:c r="J26" s="38" t="str">
        <x:v>Phase 5/01_Portfolio_Items/SRS.md</x:v>
      </x:c>
      <x:c r="K26" s="38" t="str">
        <x:v>Historical smoke 2026-07-26 observed auto-zero To Do; superseded by BA rule 2026-08-14.</x:v>
      </x:c>
      <x:c r="L26" s="51" t="str">
        <x:v>Not Run</x:v>
      </x:c>
      <x:c r="M26" s="51" t="str">
        <x:v>Business rule updated 2026-08-14; prior Pass based on auto-zero To Do is superseded and this case requires retest.</x:v>
      </x:c>
      <x:c r="N26" s="51" t="str">
        <x:v>DevInt browser retest 2026-08-06; controlled P56-AUDIT data. Detail: 07_Testing Plan/Codex_audit_06_tracker.md &gt; Phase 5 DevInt Execution Results.</x:v>
      </x:c>
      <x:c r="O26" s="51"/>
      <x:c r="P26" s="51" t="str">
        <x:v>Codex — Workspace Admin</x:v>
      </x:c>
      <x:c r="Q26" s="51" t="str">
        <x:v>Pending BA confirmation</x:v>
      </x:c>
      <x:c r="R26" s="56" t="n">
        <x:v>46240</x:v>
      </x:c>
    </x:row>
    <x:row r="27">
      <x:c r="A27" s="45" t="str">
        <x:v>P5-PI-028</x:v>
      </x:c>
      <x:c r="B27" s="46" t="str">
        <x:v>Phase 5</x:v>
      </x:c>
      <x:c r="C27" s="46" t="str">
        <x:v>P5-PI - Portfolio Items</x:v>
      </x:c>
      <x:c r="D27" s="46" t="str">
        <x:v>P0</x:v>
      </x:c>
      <x:c r="E27" s="38" t="str">
        <x:v>Epic rows in All Teams</x:v>
      </x:c>
      <x:c r="F27" s="38" t="str">
        <x:v>DevInt truy cập được và không có lỗi tải trang nghiêm trọng.
Đăng nhập bằng đúng role nêu trong case; nếu case không nêu role thì dùng Workspace Admin.</x:v>
      </x:c>
      <x:c r="G27" s="38" t="str">
        <x:v>Project TEST; Epic P56-AUDIT-EPIC; Feature P56-AUDIT-FEATURE; Story/Defect liên kết và một record archived khi case yêu cầu.</x:v>
      </x:c>
      <x:c r="H2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choose Type Epic in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7" s="38" t="str">
        <x:v>Epic root rows appear; Epic type badge and ID are visible</x:v>
      </x:c>
      <x:c r="J27" s="38" t="str">
        <x:v>Phase 5/01_Portfolio_Items/SRS.md</x:v>
      </x:c>
      <x:c r="K27" s="38" t="str">
        <x:v>Pass / BA accepted 2026-07-28.</x:v>
      </x:c>
      <x:c r="L27" s="51" t="str">
        <x:v>Pass</x:v>
      </x:c>
      <x:c r="M27" s="51" t="str">
        <x:v>Pass. DevInt behavior matched the Expected Result for the tested branch; prior approved evidence was retained where applicable.</x:v>
      </x:c>
      <x:c r="N27" s="51" t="str">
        <x:v>DevInt browser retest 2026-08-06; controlled P56-AUDIT data. Detail: 07_Testing Plan/Codex_audit_06_tracker.md &gt; Phase 5 DevInt Execution Results.</x:v>
      </x:c>
      <x:c r="O27" s="51"/>
      <x:c r="P27" s="51" t="str">
        <x:v>Codex — Workspace Admin</x:v>
      </x:c>
      <x:c r="Q27" s="51" t="str">
        <x:v>Pending BA confirmation</x:v>
      </x:c>
      <x:c r="R27" s="56" t="n">
        <x:v>46240</x:v>
      </x:c>
    </x:row>
    <x:row r="28">
      <x:c r="A28" s="45" t="str">
        <x:v>P5-PI-029</x:v>
      </x:c>
      <x:c r="B28" s="46" t="str">
        <x:v>Phase 5</x:v>
      </x:c>
      <x:c r="C28" s="46" t="str">
        <x:v>P5-PI - Portfolio Items</x:v>
      </x:c>
      <x:c r="D28" s="46" t="str">
        <x:v>P0</x:v>
      </x:c>
      <x:c r="E28" s="38" t="str">
        <x:v>Team context blocks Epic list</x:v>
      </x:c>
      <x:c r="F28" s="38" t="str">
        <x:v>DevInt truy cập được và không có lỗi tải trang nghiêm trọng.
Đăng nhập bằng đúng role nêu trong case; nếu case không nêu role thì dùng Workspace Admin.</x:v>
      </x:c>
      <x:c r="G28" s="38" t="str">
        <x:v>Project TEST; Epic P56-AUDIT-EPIC; Feature P56-AUDIT-FEATURE; Story/Defect liên kết và một record archived khi case yêu cầu.</x:v>
      </x:c>
      <x:c r="H2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Select a specific Team while Type remains Epic.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8" s="38" t="str">
        <x:v>No Epic data is shown and the page states Filter not show item; choosing Type Feature shows that Team's Features</x:v>
      </x:c>
      <x:c r="J28" s="38" t="str">
        <x:v>Phase 5/01_Portfolio_Items/SRS.md</x:v>
      </x:c>
      <x:c r="K28" s="38" t="str">
        <x:v>Pass / BA accepted 2026-07-28.</x:v>
      </x:c>
      <x:c r="L28" s="51" t="str">
        <x:v>Pass</x:v>
      </x:c>
      <x:c r="M28" s="51" t="str">
        <x:v>Pass. DevInt behavior matched the Expected Result for the tested branch; prior approved evidence was retained where applicable.</x:v>
      </x:c>
      <x:c r="N28" s="51" t="str">
        <x:v>DevInt browser retest 2026-08-06; controlled P56-AUDIT data. Detail: 07_Testing Plan/Codex_audit_06_tracker.md &gt; Phase 5 DevInt Execution Results.</x:v>
      </x:c>
      <x:c r="O28" s="51"/>
      <x:c r="P28" s="51" t="str">
        <x:v>Codex — Workspace Admin</x:v>
      </x:c>
      <x:c r="Q28" s="51" t="str">
        <x:v>Pending BA confirmation</x:v>
      </x:c>
      <x:c r="R28" s="56" t="n">
        <x:v>46240</x:v>
      </x:c>
    </x:row>
    <x:row r="29">
      <x:c r="A29" s="45" t="str">
        <x:v>P5-PI-030</x:v>
      </x:c>
      <x:c r="B29" s="46" t="str">
        <x:v>Phase 5</x:v>
      </x:c>
      <x:c r="C29" s="46" t="str">
        <x:v>P5-PI - Portfolio Items</x:v>
      </x:c>
      <x:c r="D29" s="46" t="str">
        <x:v>P0</x:v>
      </x:c>
      <x:c r="E29" s="38" t="str">
        <x:v>New Epic create paths</x:v>
      </x:c>
      <x:c r="F2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9" s="38" t="str">
        <x:v>Project TEST; Epic P56-AUDIT-EPIC; Feature P56-AUDIT-FEATURE; Story/Defect liên kết và một record archived khi case yêu cầu.</x:v>
      </x:c>
      <x:c r="H2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Use New Portfolio Item &gt; New Epic, then Create Epic and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9" s="38" t="str">
        <x:v>Epic is created at Project level with no Team or Release field; details path opens Epic Detail</x:v>
      </x:c>
      <x:c r="J29" s="38" t="str">
        <x:v>Phase 5/01_Portfolio_Items/SRS.md</x:v>
      </x:c>
      <x:c r="K29" s="38" t="str">
        <x:v>Pass / BA accepted 2026-07-28.</x:v>
      </x:c>
      <x:c r="L29" s="51" t="str">
        <x:v>Pass</x:v>
      </x:c>
      <x:c r="M29" s="51" t="str">
        <x:v>Pass. DevInt behavior matched the Expected Result for the tested branch; prior approved evidence was retained where applicable.</x:v>
      </x:c>
      <x:c r="N29" s="51" t="str">
        <x:v>DevInt browser retest 2026-08-06; controlled P56-AUDIT data. Detail: 07_Testing Plan/Codex_audit_06_tracker.md &gt; Phase 5 DevInt Execution Results.</x:v>
      </x:c>
      <x:c r="O29" s="51"/>
      <x:c r="P29" s="51" t="str">
        <x:v>Codex — Workspace Admin</x:v>
      </x:c>
      <x:c r="Q29" s="51" t="str">
        <x:v>Pending BA confirmation</x:v>
      </x:c>
      <x:c r="R29" s="56" t="n">
        <x:v>46240</x:v>
      </x:c>
    </x:row>
    <x:row r="30">
      <x:c r="A30" s="45" t="str">
        <x:v>P5-PI-031</x:v>
      </x:c>
      <x:c r="B30" s="46" t="str">
        <x:v>Phase 5</x:v>
      </x:c>
      <x:c r="C30" s="46" t="str">
        <x:v>P5-PI - Portfolio Items</x:v>
      </x:c>
      <x:c r="D30" s="46" t="str">
        <x:v>P0</x:v>
      </x:c>
      <x:c r="E30" s="38" t="str">
        <x:v>Feature parent Epic assignment</x:v>
      </x:c>
      <x:c r="F3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0" s="38" t="str">
        <x:v>Project TEST; Epic P56-AUDIT-EPIC; Feature P56-AUDIT-FEATURE; Story/Defect liên kết và một record archived khi case yêu cầu.</x:v>
      </x:c>
      <x:c r="H3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Create/edit a Feature and choose an Epic, then clear it back to Unassigned.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0" s="38" t="str">
        <x:v>Feature moves under the selected Epic in All Teams view; clearing Epic returns it to root Feature list</x:v>
      </x:c>
      <x:c r="J30" s="38" t="str">
        <x:v>Phase 5/01_Portfolio_Items/SRS.md</x:v>
      </x:c>
      <x:c r="K30" s="38" t="str">
        <x:v>Pass / BA accepted 2026-07-28.</x:v>
      </x:c>
      <x:c r="L30" s="51" t="str">
        <x:v>Pass</x:v>
      </x:c>
      <x:c r="M30" s="51" t="str">
        <x:v>Pass. DevInt behavior matched the Expected Result for the tested branch; prior approved evidence was retained where applicable.</x:v>
      </x:c>
      <x:c r="N30" s="51" t="str">
        <x:v>DevInt browser retest 2026-08-06; controlled P56-AUDIT data. Detail: 07_Testing Plan/Codex_audit_06_tracker.md &gt; Phase 5 DevInt Execution Results.</x:v>
      </x:c>
      <x:c r="O30" s="51"/>
      <x:c r="P30" s="51" t="str">
        <x:v>Codex — Workspace Admin</x:v>
      </x:c>
      <x:c r="Q30" s="51" t="str">
        <x:v>Pending BA confirmation</x:v>
      </x:c>
      <x:c r="R30" s="56" t="n">
        <x:v>46240</x:v>
      </x:c>
    </x:row>
    <x:row r="31">
      <x:c r="A31" s="45" t="str">
        <x:v>P5-PI-032</x:v>
      </x:c>
      <x:c r="B31" s="46" t="str">
        <x:v>Phase 5</x:v>
      </x:c>
      <x:c r="C31" s="46" t="str">
        <x:v>P5-PI - Portfolio Items</x:v>
      </x:c>
      <x:c r="D31" s="46" t="str">
        <x:v>P0</x:v>
      </x:c>
      <x:c r="E31" s="38" t="str">
        <x:v>Epic Detail and Children</x:v>
      </x:c>
      <x:c r="F31" s="38" t="str">
        <x:v>DevInt truy cập được và không có lỗi tải trang nghiêm trọng.
Đăng nhập bằng đúng role nêu trong case; nếu case không nêu role thì dùng Workspace Admin.</x:v>
      </x:c>
      <x:c r="G31" s="38" t="str">
        <x:v>Project TEST; Epic P56-AUDIT-EPIC; Feature P56-AUDIT-FEATURE; Story/Defect liên kết và một record archived khi case yêu cầu.</x:v>
      </x:c>
      <x:c r="H3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Epic Detail page and switch between Details and Children.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1" s="38" t="str">
        <x:v>Details reuses the Feature template without Release; Children lists child Features and Add Feature pre-fills the current Epic</x:v>
      </x:c>
      <x:c r="J31" s="38" t="str">
        <x:v>Phase 5/01_Portfolio_Items/SRS.md</x:v>
      </x:c>
      <x:c r="K31" s="38" t="str">
        <x:v>Pass / BA accepted 2026-07-28.</x:v>
      </x:c>
      <x:c r="L31" s="51" t="str">
        <x:v>Pass</x:v>
      </x:c>
      <x:c r="M31" s="51" t="str">
        <x:v>Pass. EP-1 detail/list showed one child Feature, FE-2, after reload.</x:v>
      </x:c>
      <x:c r="N31" s="51" t="str">
        <x:v>DevInt browser retest 2026-08-06; controlled P56-AUDIT data. Detail: 07_Testing Plan/Codex_audit_06_tracker.md &gt; Phase 5 DevInt Execution Results.</x:v>
      </x:c>
      <x:c r="O31" s="51"/>
      <x:c r="P31" s="51" t="str">
        <x:v>Codex — Workspace Admin</x:v>
      </x:c>
      <x:c r="Q31" s="51" t="str">
        <x:v>Pending BA confirmation</x:v>
      </x:c>
      <x:c r="R31" s="56" t="n">
        <x:v>46240</x:v>
      </x:c>
    </x:row>
    <x:row r="32">
      <x:c r="A32" s="45" t="str">
        <x:v>P5-PI-033</x:v>
      </x:c>
      <x:c r="B32" s="46" t="str">
        <x:v>Phase 5</x:v>
      </x:c>
      <x:c r="C32" s="46" t="str">
        <x:v>P5-PI - Portfolio Items</x:v>
      </x:c>
      <x:c r="D32" s="46" t="str">
        <x:v>P0</x:v>
      </x:c>
      <x:c r="E32" s="38" t="str">
        <x:v>Epic progress formulas</x:v>
      </x:c>
      <x:c r="F32" s="38" t="str">
        <x:v>DevInt truy cập được và không có lỗi tải trang nghiêm trọng.
Đăng nhập bằng đúng role nêu trong case; nếu case không nêu role thì dùng Workspace Admin.</x:v>
      </x:c>
      <x:c r="G32" s="38" t="str">
        <x:v>Project TEST; Epic P56-AUDIT-EPIC; Feature P56-AUDIT-FEATURE; Story/Defect liên kết và một record archived khi case yêu cầu.</x:v>
      </x:c>
      <x:c r="H3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Epic with child Features and linked Story/Defect leaf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2" s="38" t="str">
        <x:v>Four Epic progress bars roll up leaf Story/Defect through Features; Estimated Progress denominators use Epic-owned Refined/Preliminary estimates only</x:v>
      </x:c>
      <x:c r="J32" s="38" t="str">
        <x:v>Phase 5/01_Portfolio_Items/SRS.md</x:v>
      </x:c>
      <x:c r="K32" s="38" t="str">
        <x:v>Pass / BA accepted 2026-07-28.</x:v>
      </x:c>
      <x:c r="L32" s="51" t="str">
        <x:v>Fail</x:v>
      </x:c>
      <x:c r="M32" s="51" t="str">
        <x:v>Epic/Feature Children and Work Item Detail disagree on the leaf set, so Epic progress numerators and denominators cannot be trusted.</x:v>
      </x:c>
      <x:c r="N32" s="51" t="str">
        <x:v>../Codex_audit_06_tracker.md; https://rally-dev.qnsc.vn/portfolio</x:v>
      </x:c>
      <x:c r="O32" s="51" t="str">
        <x:v>Fix the hierarchy leaf set before retesting Epic progress formulas.</x:v>
      </x:c>
      <x:c r="P32" s="51" t="str">
        <x:v>BA + Codex</x:v>
      </x:c>
      <x:c r="Q32" s="51" t="str">
        <x:v>BA confirmed Fail 2026-08-14</x:v>
      </x:c>
      <x:c r="R32" s="56" t="n">
        <x:v>46248</x:v>
      </x:c>
    </x:row>
    <x:row r="33">
      <x:c r="A33" s="45" t="str">
        <x:v>P5-PI-034</x:v>
      </x:c>
      <x:c r="B33" s="46" t="str">
        <x:v>Phase 5</x:v>
      </x:c>
      <x:c r="C33" s="46" t="str">
        <x:v>P5-PI - Portfolio Items</x:v>
      </x:c>
      <x:c r="D33" s="46" t="str">
        <x:v>P0</x:v>
      </x:c>
      <x:c r="E33" s="38" t="str">
        <x:v>Epic archive child guard</x:v>
      </x:c>
      <x:c r="F3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3" s="38" t="str">
        <x:v>Project TEST; Epic P56-AUDIT-EPIC; Feature P56-AUDIT-FEATURE; Story/Defect liên kết và một record archived khi case yêu cầu.</x:v>
      </x:c>
      <x:c r="H3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Try to archive an Epic that still has active child Features.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3" s="38" t="str">
        <x:v>Archive action is disabled/blocked without a persistent page banner; no child Feature is archived or removed</x:v>
      </x:c>
      <x:c r="J33" s="38" t="str">
        <x:v>Phase 5/01_Portfolio_Items/SRS.md</x:v>
      </x:c>
      <x:c r="K33" s="38" t="str">
        <x:v>Pass / BA accepted 2026-07-28.</x:v>
      </x:c>
      <x:c r="L33" s="51" t="str">
        <x:v>Pass</x:v>
      </x:c>
      <x:c r="M33" s="51" t="str">
        <x:v>Pass. Archive action was disabled for EP-1 while active child FE-2 existed.</x:v>
      </x:c>
      <x:c r="N33" s="51" t="str">
        <x:v>DevInt browser retest 2026-08-06; controlled P56-AUDIT data. Detail: 07_Testing Plan/Codex_audit_06_tracker.md &gt; Phase 5 DevInt Execution Results.</x:v>
      </x:c>
      <x:c r="O33" s="51"/>
      <x:c r="P33" s="51" t="str">
        <x:v>Codex — Workspace Admin</x:v>
      </x:c>
      <x:c r="Q33" s="51" t="str">
        <x:v>Pending BA confirmation</x:v>
      </x:c>
      <x:c r="R33" s="56" t="n">
        <x:v>46240</x:v>
      </x:c>
    </x:row>
    <x:row r="34">
      <x:c r="A34" s="45" t="str">
        <x:v>P5-PI-035</x:v>
      </x:c>
      <x:c r="B34" s="46" t="str">
        <x:v>Phase 5</x:v>
      </x:c>
      <x:c r="C34" s="46" t="str">
        <x:v>P5-PI - Portfolio Items</x:v>
      </x:c>
      <x:c r="D34" s="46" t="str">
        <x:v>P0</x:v>
      </x:c>
      <x:c r="E34" s="38" t="str">
        <x:v>Header Type selector</x:v>
      </x:c>
      <x:c r="F34" s="38" t="str">
        <x:v>DevInt truy cập được và không có lỗi tải trang nghiêm trọng.
Đăng nhập bằng đúng role nêu trong case; nếu case không nêu role thì dùng Workspace Admin.</x:v>
      </x:c>
      <x:c r="G34" s="38" t="str">
        <x:v>Project TEST; Epic P56-AUDIT-EPIC; Feature P56-AUDIT-FEATURE; Story/Defect liên kết và một record archived khi case yêu cầu.</x:v>
      </x:c>
      <x:c r="H3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Inspect the Portfolio &gt; Portfolio Items breadcrumb/header.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4" s="38" t="str">
        <x:v>Label Type sits beside the breadcrumb and the selector has exactly Epic and Feature; there is no All option</x:v>
      </x:c>
      <x:c r="J34" s="38" t="str">
        <x:v>Phase 5/01_Portfolio_Items/SRS.md</x:v>
      </x:c>
      <x:c r="K34" s="38" t="str">
        <x:v>Pass / BA accepted 2026-07-28.</x:v>
      </x:c>
      <x:c r="L34" s="51" t="str">
        <x:v>Pass</x:v>
      </x:c>
      <x:c r="M34" s="51" t="str">
        <x:v>Pass. DevInt behavior matched the Expected Result for the tested branch; prior approved evidence was retained where applicable.</x:v>
      </x:c>
      <x:c r="N34" s="51" t="str">
        <x:v>DevInt browser retest 2026-08-06; controlled P56-AUDIT data. Detail: 07_Testing Plan/Codex_audit_06_tracker.md &gt; Phase 5 DevInt Execution Results.</x:v>
      </x:c>
      <x:c r="O34" s="51"/>
      <x:c r="P34" s="51" t="str">
        <x:v>Codex — Workspace Admin</x:v>
      </x:c>
      <x:c r="Q34" s="51" t="str">
        <x:v>Pending BA confirmation</x:v>
      </x:c>
      <x:c r="R34" s="56" t="n">
        <x:v>46240</x:v>
      </x:c>
    </x:row>
    <x:row r="35">
      <x:c r="A35" s="45" t="str">
        <x:v>P5-PI-036</x:v>
      </x:c>
      <x:c r="B35" s="46" t="str">
        <x:v>Phase 5</x:v>
      </x:c>
      <x:c r="C35" s="46" t="str">
        <x:v>P5-PI - Portfolio Items</x:v>
      </x:c>
      <x:c r="D35" s="46" t="str">
        <x:v>P0</x:v>
      </x:c>
      <x:c r="E35" s="38" t="str">
        <x:v>Search, create and Show Fields toolbar</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Project TEST; Epic P56-AUDIT-EPIC; Feature P56-AUDIT-FEATURE; Story/Defect liên kết và một record archived khi case yêu cầu.</x:v>
      </x:c>
      <x:c r="H3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Search by ID/name, open New Portfolio Item, then toggle columns in Show Fields.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5" s="38" t="str">
        <x:v>Search filters current Type rows; create menu is beside Search; Show Fields changes visible columns; old archive selector and page title are absent</x:v>
      </x:c>
      <x:c r="J35" s="38" t="str">
        <x:v>Phase 5/01_Portfolio_Items/SRS.md</x:v>
      </x:c>
      <x:c r="K35" s="38" t="str">
        <x:v>Pass / BA accepted 2026-07-28.</x:v>
      </x:c>
      <x:c r="L35" s="51" t="str">
        <x:v>Pass</x:v>
      </x:c>
      <x:c r="M35" s="51" t="str">
        <x:v>Pass. DevInt behavior matched the Expected Result for the tested branch; prior approved evidence was retained where applicable.</x:v>
      </x:c>
      <x:c r="N35" s="51" t="str">
        <x:v>DevInt browser retest 2026-08-06; controlled P56-AUDIT data. Detail: 07_Testing Plan/Codex_audit_06_tracker.md &gt; Phase 5 DevInt Execution Results.</x:v>
      </x:c>
      <x:c r="O35" s="51"/>
      <x:c r="P35" s="51" t="str">
        <x:v>Codex — Workspace Admin</x:v>
      </x:c>
      <x:c r="Q35" s="51" t="str">
        <x:v>Pending BA confirmation</x:v>
      </x:c>
      <x:c r="R35" s="56" t="n">
        <x:v>46240</x:v>
      </x:c>
    </x:row>
    <x:row r="36">
      <x:c r="A36" s="45" t="str">
        <x:v>P5-PI-037</x:v>
      </x:c>
      <x:c r="B36" s="46" t="str">
        <x:v>Phase 5</x:v>
      </x:c>
      <x:c r="C36" s="46" t="str">
        <x:v>P5-PI - Portfolio Items</x:v>
      </x:c>
      <x:c r="D36" s="46" t="str">
        <x:v>P0</x:v>
      </x:c>
      <x:c r="E36" s="38" t="str">
        <x:v>Root-row bulk actions</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Project TEST; Epic P56-AUDIT-EPIC; Feature P56-AUDIT-FEATURE; Story/Defect liên kết và một record archived khi case yêu cầu.</x:v>
      </x:c>
      <x:c r="H3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Select one/many root rows and inspect Edit/Delete.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6" s="38" t="str">
        <x:v>Edit is enabled only for one row and opens its detail; Delete archives selected items and reports an Epic blocked by active children</x:v>
      </x:c>
      <x:c r="J36" s="38" t="str">
        <x:v>Phase 5/01_Portfolio_Items/SRS.md</x:v>
      </x:c>
      <x:c r="K36" s="38" t="str">
        <x:v>Pass / BA accepted 2026-07-28.</x:v>
      </x:c>
      <x:c r="L36" s="51" t="str">
        <x:v>Pass</x:v>
      </x:c>
      <x:c r="M36" s="51" t="str">
        <x:v>Single/multi selection controls work, EP-1 archive is correctly blocked by an active Feature, and disposable FE-7 archived successfully and remained absent after reload.</x:v>
      </x:c>
      <x:c r="N36" s="51" t="str">
        <x:v>../Codex_audit_06_tracker.md; https://rally-dev.qnsc.vn/portfolio</x:v>
      </x:c>
      <x:c r="O36" s="51" t="str">
        <x:v>No open gap in this retest.</x:v>
      </x:c>
      <x:c r="P36" s="51" t="str">
        <x:v>BA + Codex</x:v>
      </x:c>
      <x:c r="Q36" s="51" t="str">
        <x:v>BA confirmed Pass 2026-08-14</x:v>
      </x:c>
      <x:c r="R36" s="56" t="n">
        <x:v>46248</x:v>
      </x:c>
    </x:row>
    <x:row r="37">
      <x:c r="A37" s="45" t="str">
        <x:v>P5-PI-038</x:v>
      </x:c>
      <x:c r="B37" s="46" t="str">
        <x:v>Phase 5</x:v>
      </x:c>
      <x:c r="C37" s="46" t="str">
        <x:v>P5-PI - Portfolio Items</x:v>
      </x:c>
      <x:c r="D37" s="46" t="str">
        <x:v>P1</x:v>
      </x:c>
      <x:c r="E37" s="38" t="str">
        <x:v>Child Feature rank display</x:v>
      </x:c>
      <x:c r="F37" s="38" t="str">
        <x:v>DevInt truy cập được và không có lỗi tải trang nghiêm trọng.
Đăng nhập bằng đúng role nêu trong case; nếu case không nêu role thì dùng Workspace Admin.</x:v>
      </x:c>
      <x:c r="G37" s="38" t="str">
        <x:v>Project TEST; Epic P56-AUDIT-EPIC; Feature P56-AUDIT-FEATURE; Story/Defect liên kết và một record archived khi case yêu cầu.</x:v>
      </x:c>
      <x:c r="H3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Expand an Epic with Feature children.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7" s="38" t="str">
        <x:v>Epic/root rows retain Rank; Feature child rows under the Epic have a blank Rank cell</x:v>
      </x:c>
      <x:c r="J37" s="38" t="str">
        <x:v>Phase 5/01_Portfolio_Items/SRS.md</x:v>
      </x:c>
      <x:c r="K37" s="38" t="str">
        <x:v>Pass / BA accepted 2026-07-28.</x:v>
      </x:c>
      <x:c r="L37" s="51" t="str">
        <x:v>Pass</x:v>
      </x:c>
      <x:c r="M37" s="51" t="str">
        <x:v>Root EP-1 retains Rank 1; expanded child FE-2 has a blank Rank cell; other root Features retain their own Rank.</x:v>
      </x:c>
      <x:c r="N37" s="51" t="str">
        <x:v>../Codex_audit_06_tracker.md; https://rally-dev.qnsc.vn/portfolio</x:v>
      </x:c>
      <x:c r="O37" s="51" t="str">
        <x:v>No open gap in this retest.</x:v>
      </x:c>
      <x:c r="P37" s="51" t="str">
        <x:v>BA + Codex</x:v>
      </x:c>
      <x:c r="Q37" s="51" t="str">
        <x:v>BA confirmed Pass 2026-08-14</x:v>
      </x:c>
      <x:c r="R37" s="56" t="n">
        <x:v>46248</x:v>
      </x:c>
    </x:row>
    <x:row r="38">
      <x:c r="A38" s="45" t="str">
        <x:v>P5-PI-039</x:v>
      </x:c>
      <x:c r="B38" s="46" t="str">
        <x:v>Phase 5</x:v>
      </x:c>
      <x:c r="C38" s="46" t="str">
        <x:v>P5-PI - Portfolio Items</x:v>
      </x:c>
      <x:c r="D38" s="46" t="str">
        <x:v>P0</x:v>
      </x:c>
      <x:c r="E38" s="38" t="str">
        <x:v>Epic has no Release assignment</x:v>
      </x:c>
      <x:c r="F3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8" s="38" t="str">
        <x:v>Project TEST; Epic P56-AUDIT-EPIC; Feature P56-AUDIT-FEATURE; Story/Defect liên kết và một record archived khi case yêu cầu.</x:v>
      </x:c>
      <x:c r="H3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Inspect New Epic, Epic list row inline fields and Epic Detail right rail.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8" s="38" t="str">
        <x:v>New Epic and Epic Detail have no Release selector; Epic inline row has no Release editor and displays — in the shared Release column</x:v>
      </x:c>
      <x:c r="J38" s="38" t="str">
        <x:v>Phase 5/01_Portfolio_Items/SRS.md</x:v>
      </x:c>
      <x:c r="K38" s="38" t="str">
        <x:v>Pass / BA accepted 2026-07-28.</x:v>
      </x:c>
      <x:c r="L38" s="51" t="str">
        <x:v>Pass</x:v>
      </x:c>
      <x:c r="M38" s="51" t="str">
        <x:v>Pass. DevInt behavior matched the Expected Result for the tested branch; prior approved evidence was retained where applicable.</x:v>
      </x:c>
      <x:c r="N38" s="51" t="str">
        <x:v>DevInt browser retest 2026-08-06; controlled P56-AUDIT data. Detail: 07_Testing Plan/Codex_audit_06_tracker.md &gt; Phase 5 DevInt Execution Results.</x:v>
      </x:c>
      <x:c r="O38" s="51"/>
      <x:c r="P38" s="51" t="str">
        <x:v>Codex — Workspace Admin</x:v>
      </x:c>
      <x:c r="Q38" s="51" t="str">
        <x:v>Pending BA confirmation</x:v>
      </x:c>
      <x:c r="R38" s="56" t="n">
        <x:v>46240</x:v>
      </x:c>
    </x:row>
    <x:row r="39">
      <x:c r="A39" s="45" t="str">
        <x:v>P5-CP-001</x:v>
      </x:c>
      <x:c r="B39" s="46" t="str">
        <x:v>Phase 5</x:v>
      </x:c>
      <x:c r="C39" s="46" t="str">
        <x:v>P5-CP - Capacity Planning</x:v>
      </x:c>
      <x:c r="D39" s="46" t="str">
        <x:v>P0</x:v>
      </x:c>
      <x:c r="E39" s="38" t="str">
        <x:v>Capacity Planning navigation</x:v>
      </x:c>
      <x:c r="F39" s="38" t="str">
        <x:v>DevInt truy cập được và không có lỗi tải trang nghiêm trọng.
Đăng nhập bằng đúng role nêu trong case; nếu case không nêu role thì dùng Workspace Admin.</x:v>
      </x:c>
      <x:c r="G39" s="38" t="str">
        <x:v>Project TEST; 1 Release; ít nhất 2 Teams; 3 Features; một Feature chưa gán Team; số Capacity/Estimate có thể tính tay.</x:v>
      </x:c>
      <x:c r="H3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Portfolio &gt; Capacity Planning as Workspace Admin in NXP.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9" s="38" t="str">
        <x:v>Capacity Plan list opens and shows ID, Name, Release, Status, Last Updated and Teams in Plan</x:v>
      </x:c>
      <x:c r="J39" s="38" t="str">
        <x:v>Phase 5/02_Capacity_Planning/SRS.md</x:v>
      </x:c>
      <x:c r="K39" s="38" t="str">
        <x:v>Pass (runtime smoke 2026-07-26)</x:v>
      </x:c>
      <x:c r="L39" s="51" t="str">
        <x:v>Pass</x:v>
      </x:c>
      <x:c r="M39" s="51" t="str">
        <x:v>Pass. DevInt behavior matched the Expected Result for the tested branch; prior approved evidence was retained where applicable.</x:v>
      </x:c>
      <x:c r="N39" s="51" t="str">
        <x:v>DevInt browser retest 2026-08-06; controlled P56-AUDIT data. Detail: 07_Testing Plan/Codex_audit_06_tracker.md &gt; Phase 5 DevInt Execution Results.</x:v>
      </x:c>
      <x:c r="O39" s="51"/>
      <x:c r="P39" s="51" t="str">
        <x:v>Codex — Workspace Admin</x:v>
      </x:c>
      <x:c r="Q39" s="51" t="str">
        <x:v>Pending BA confirmation</x:v>
      </x:c>
      <x:c r="R39" s="56" t="n">
        <x:v>46240</x:v>
      </x:c>
    </x:row>
    <x:row r="40">
      <x:c r="A40" s="45" t="str">
        <x:v>P5-CP-002</x:v>
      </x:c>
      <x:c r="B40" s="46" t="str">
        <x:v>Phase 5</x:v>
      </x:c>
      <x:c r="C40" s="46" t="str">
        <x:v>P5-CP - Capacity Planning</x:v>
      </x:c>
      <x:c r="D40" s="46" t="str">
        <x:v>P0</x:v>
      </x:c>
      <x:c r="E40" s="38" t="str">
        <x:v>New plan modal</x:v>
      </x:c>
      <x:c r="F40" s="38" t="str">
        <x:v>DevInt truy cập được và không có lỗi tải trang nghiêm trọng.
Đăng nhập bằng đúng role nêu trong case; nếu case không nêu role thì dùng Workspace Admin.
Có account và Project assignment tương ứng để kiểm tra quyền.</x:v>
      </x:c>
      <x:c r="G40" s="38" t="str">
        <x:v>Project TEST; 1 Release; ít nhất 2 Teams; 3 Features; một Feature chưa gán Team; số Capacity/Estimate có thể tính tay.</x:v>
      </x:c>
      <x:c r="H4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Click Add New.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0" s="38" t="str">
        <x:v>Modal shows read-only Project scope, required Name, fixed Single Release, required Release, fixed Feature item type and selectable Points/Count view fixed after create</x:v>
      </x:c>
      <x:c r="J40" s="38" t="str">
        <x:v>Phase 5/02_Capacity_Planning/SRS.md</x:v>
      </x:c>
      <x:c r="K40" s="38" t="str">
        <x:v>Pass (build 2026-07-26; browser re-smoke pending after allocation revision)</x:v>
      </x:c>
      <x:c r="L40" s="51" t="str">
        <x:v>Pass</x:v>
      </x:c>
      <x:c r="M40" s="51" t="str">
        <x:v>Pass. DevInt behavior matched the Expected Result for the tested branch; prior approved evidence was retained where applicable.</x:v>
      </x:c>
      <x:c r="N40" s="51" t="str">
        <x:v>DevInt browser retest 2026-08-06; controlled P56-AUDIT data. Detail: 07_Testing Plan/Codex_audit_06_tracker.md &gt; Phase 5 DevInt Execution Results.</x:v>
      </x:c>
      <x:c r="O40" s="51"/>
      <x:c r="P40" s="51" t="str">
        <x:v>Codex — Workspace Admin</x:v>
      </x:c>
      <x:c r="Q40" s="51" t="str">
        <x:v>Pending BA confirmation</x:v>
      </x:c>
      <x:c r="R40" s="56" t="n">
        <x:v>46240</x:v>
      </x:c>
    </x:row>
    <x:row r="41">
      <x:c r="A41" s="45" t="str">
        <x:v>P5-CP-003</x:v>
      </x:c>
      <x:c r="B41" s="46" t="str">
        <x:v>Phase 5</x:v>
      </x:c>
      <x:c r="C41" s="46" t="str">
        <x:v>P5-CP - Capacity Planning</x:v>
      </x:c>
      <x:c r="D41" s="46" t="str">
        <x:v>P0</x:v>
      </x:c>
      <x:c r="E41" s="38" t="str">
        <x:v>Create plan uniqueness</x:v>
      </x:c>
      <x:c r="F4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1" s="38" t="str">
        <x:v>Project TEST; 1 Release; ít nhất 2 Teams; 3 Features; một Feature chưa gán Team; số Capacity/Estimate có thể tính tay.</x:v>
      </x:c>
      <x:c r="H4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Create a plan for NXP + Nexus Platform Q1 2025, then attempt another for the same Project+Release.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1" s="38" t="str">
        <x:v>First plan is created as Draft with no auto-added Teams/Features; duplicate create is blocked or disabled with a clear message</x:v>
      </x:c>
      <x:c r="J41" s="38" t="str">
        <x:v>Phase 5/02_Capacity_Planning/SRS.md</x:v>
      </x:c>
      <x:c r="K41" s="38" t="str">
        <x:v>Pending re-smoke</x:v>
      </x:c>
      <x:c r="L41" s="51" t="str">
        <x:v>Pass</x:v>
      </x:c>
      <x:c r="M41" s="51" t="str">
        <x:v>Pass. CP-1 was created for RE-1; a second plan was blocked with 'Every release in this project already has a plan.'</x:v>
      </x:c>
      <x:c r="N41" s="51" t="str">
        <x:v>DevInt browser retest 2026-08-06; controlled P56-AUDIT data. Detail: 07_Testing Plan/Codex_audit_06_tracker.md &gt; Phase 5 DevInt Execution Results.</x:v>
      </x:c>
      <x:c r="O41" s="51"/>
      <x:c r="P41" s="51" t="str">
        <x:v>Codex — Workspace Admin</x:v>
      </x:c>
      <x:c r="Q41" s="51" t="str">
        <x:v>Pending BA confirmation</x:v>
      </x:c>
      <x:c r="R41" s="56" t="n">
        <x:v>46240</x:v>
      </x:c>
    </x:row>
    <x:row r="42">
      <x:c r="A42" s="45" t="str">
        <x:v>P5-CP-004</x:v>
      </x:c>
      <x:c r="B42" s="46" t="str">
        <x:v>Phase 5</x:v>
      </x:c>
      <x:c r="C42" s="46" t="str">
        <x:v>P5-CP - Capacity Planning</x:v>
      </x:c>
      <x:c r="D42" s="46" t="str">
        <x:v>P0</x:v>
      </x:c>
      <x:c r="E42" s="38" t="str">
        <x:v>Teams by Total summary</x:v>
      </x:c>
      <x:c r="F42" s="38" t="str">
        <x:v>DevInt truy cập được và không có lỗi tải trang nghiêm trọng.
Đăng nhập bằng đúng role nêu trong case; nếu case không nêu role thì dùng Workspace Admin.</x:v>
      </x:c>
      <x:c r="G42" s="38" t="str">
        <x:v>Project TEST; 1 Release; ít nhất 2 Teams; 3 Features; một Feature chưa gán Team; số Capacity/Estimate có thể tính tay.</x:v>
      </x:c>
      <x:c r="H4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Draft plan.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2" s="38" t="str">
        <x:v>Detail shows Team rows with Feature count, composite progress bar, Complete, Rollup, Estimated and Capacity; Utilization and separate Demand columns are not shown</x:v>
      </x:c>
      <x:c r="J42" s="38" t="str">
        <x:v>Phase 5/02_Capacity_Planning/SRS.md</x:v>
      </x:c>
      <x:c r="K42" s="38" t="str">
        <x:v>Pass 2026-07-27: browser smoke on CP-001 after build</x:v>
      </x:c>
      <x:c r="L42" s="51" t="str">
        <x:v>Pass</x:v>
      </x:c>
      <x:c r="M42" s="51" t="str">
        <x:v>Pass. DevInt behavior matched the Expected Result for the tested branch; prior approved evidence was retained where applicable.</x:v>
      </x:c>
      <x:c r="N42" s="51" t="str">
        <x:v>DevInt browser retest 2026-08-06; controlled P56-AUDIT data. Detail: 07_Testing Plan/Codex_audit_06_tracker.md &gt; Phase 5 DevInt Execution Results.</x:v>
      </x:c>
      <x:c r="O42" s="51"/>
      <x:c r="P42" s="51" t="str">
        <x:v>Codex — Workspace Admin</x:v>
      </x:c>
      <x:c r="Q42" s="51" t="str">
        <x:v>Pending BA confirmation</x:v>
      </x:c>
      <x:c r="R42" s="56" t="n">
        <x:v>46240</x:v>
      </x:c>
    </x:row>
    <x:row r="43">
      <x:c r="A43" s="45" t="str">
        <x:v>P5-CP-005</x:v>
      </x:c>
      <x:c r="B43" s="46" t="str">
        <x:v>Phase 5</x:v>
      </x:c>
      <x:c r="C43" s="46" t="str">
        <x:v>P5-CP - Capacity Planning</x:v>
      </x:c>
      <x:c r="D43" s="46" t="str">
        <x:v>P0</x:v>
      </x:c>
      <x:c r="E43" s="38" t="str">
        <x:v>Manual capacity</x:v>
      </x:c>
      <x:c r="F4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3" s="38" t="str">
        <x:v>Project TEST; 1 Release; ít nhất 2 Teams; 3 Features; một Feature chưa gán Team; số Capacity/Estimate có thể tính tay.</x:v>
      </x:c>
      <x:c r="H4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Edit a Team Capacity in Draft.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3" s="38" t="str">
        <x:v>Capacity updates without changing allocation values or live Feature estimates; demand-vs-capacity warning is advisory</x:v>
      </x:c>
      <x:c r="J43" s="38" t="str">
        <x:v>Phase 5/02_Capacity_Planning/SRS.md</x:v>
      </x:c>
      <x:c r="K43" s="38" t="str">
        <x:v>Pending re-smoke</x:v>
      </x:c>
      <x:c r="L43" s="51" t="str">
        <x:v>Pass</x:v>
      </x:c>
      <x:c r="M43" s="51" t="str">
        <x:v>BA confirmed live 2026-08-14: Draft Capacity cell is editable and works.</x:v>
      </x:c>
      <x:c r="N43" s="51" t="str">
        <x:v>https://rally-dev.qnsc.vn/capacity-planning/41d10dd3-6392-47c0-8972-bc4e521d319e</x:v>
      </x:c>
      <x:c r="O43" s="51" t="str">
        <x:v>Teams tab displays `30 points` as plain text and offers Forecast only; no manual Capacity editor is available.</x:v>
      </x:c>
      <x:c r="P43" s="51" t="str">
        <x:v>Codex DevInt retest</x:v>
      </x:c>
      <x:c r="Q43" s="51" t="str">
        <x:v>Pending BA review</x:v>
      </x:c>
      <x:c r="R43" s="56" t="n">
        <x:v>46248</x:v>
      </x:c>
    </x:row>
    <x:row r="44">
      <x:c r="A44" s="45" t="str">
        <x:v>P5-CP-006</x:v>
      </x:c>
      <x:c r="B44" s="46" t="str">
        <x:v>Phase 5</x:v>
      </x:c>
      <x:c r="C44" s="46" t="str">
        <x:v>P5-CP - Capacity Planning</x:v>
      </x:c>
      <x:c r="D44" s="46" t="str">
        <x:v>P0</x:v>
      </x:c>
      <x:c r="E44" s="38" t="str">
        <x:v>Add/Remove Teams</x:v>
      </x:c>
      <x:c r="F4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4" s="38" t="str">
        <x:v>Project TEST; 1 Release; ít nhất 2 Teams; 3 Features; một Feature chưa gán Team; số Capacity/Estimate có thể tính tay.</x:v>
      </x:c>
      <x:c r="H4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Teams from Project Breakdown, remove a Team and add it back.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4" s="38" t="str">
        <x:v>Added Teams appear as leaf Project/Team rows; removed Team disappears; its allocation rows return to Unallocated; adding it restores the Team row</x:v>
      </x:c>
      <x:c r="J44" s="38" t="str">
        <x:v>Phase 5/02_Capacity_Planning/SRS.md</x:v>
      </x:c>
      <x:c r="K44" s="38" t="str">
        <x:v>Pending re-smoke</x:v>
      </x:c>
      <x:c r="L44" s="51" t="str">
        <x:v>Fail</x:v>
      </x:c>
      <x:c r="M44" s="51" t="str">
        <x:v>Add/Remove Teams exposes only Pegasus and another eligible Team cannot be added. This blocks the split-allocation chain.</x:v>
      </x:c>
      <x:c r="N44" s="51" t="str">
        <x:v>../Codex_audit_06_tracker.md; https://rally-dev.qnsc.vn/capacity-planning/41d10dd3-6392-47c0-8972-bc4e521d319e</x:v>
      </x:c>
      <x:c r="O44" s="51" t="str">
        <x:v>Root defect for P5-CP-008 and the cross-Team branch of P5-CP-025. Fix Team eligibility/addition and retest.</x:v>
      </x:c>
      <x:c r="P44" s="51" t="str">
        <x:v>BA + Codex</x:v>
      </x:c>
      <x:c r="Q44" s="51" t="str">
        <x:v>BA confirmed Fail 2026-08-14</x:v>
      </x:c>
      <x:c r="R44" s="56" t="n">
        <x:v>46248</x:v>
      </x:c>
    </x:row>
    <x:row r="45">
      <x:c r="A45" s="45" t="str">
        <x:v>P5-CP-007</x:v>
      </x:c>
      <x:c r="B45" s="46" t="str">
        <x:v>Phase 5</x:v>
      </x:c>
      <x:c r="C45" s="46" t="str">
        <x:v>P5-CP - Capacity Planning</x:v>
      </x:c>
      <x:c r="D45" s="46" t="str">
        <x:v>P0</x:v>
      </x:c>
      <x:c r="E45" s="38" t="str">
        <x:v>Add Features to Team</x:v>
      </x:c>
      <x:c r="F45" s="38" t="str">
        <x:v>DevInt truy cập được và không có lỗi tải trang nghiêm trọng.
Đăng nhập bằng đúng role nêu trong case; nếu case không nêu role thì dùng Workspace Admin.</x:v>
      </x:c>
      <x:c r="G45" s="38" t="str">
        <x:v>Project TEST; 1 Release; ít nhất 2 Teams; 3 Features; một Feature chưa gán Team; số Capacity/Estimate có thể tính tay.</x:v>
      </x:c>
      <x:c r="H4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row, open Add Features, and add an eligible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5" s="38" t="str">
        <x:v>Only same-Project, active, non-Cancelled Features with Unscheduled or matching Release appear; modal excludes Features already allocated to that Team; selecting a not-in-plan Feature creates a Team allocation row with default value 0; selecting an Unallocated Feature moves it to the Team; selecting a Feature allocated to another Team creates a split allocation row</x:v>
      </x:c>
      <x:c r="J45" s="38" t="str">
        <x:v>Phase 5/02_Capacity_Planning/SRS.md</x:v>
      </x:c>
      <x:c r="K45" s="38" t="str">
        <x:v>Pending re-smoke after 2026-07-27 amendment</x:v>
      </x:c>
      <x:c r="L45" s="51" t="str">
        <x:v>Pass</x:v>
      </x:c>
      <x:c r="M45" s="51" t="str">
        <x:v>Pass. Team-level Add Features listed FE-2 as Added and added FE-3 to Pegasus.</x:v>
      </x:c>
      <x:c r="N45" s="51" t="str">
        <x:v>DevInt browser retest 2026-08-06; controlled P56-AUDIT data. Detail: 07_Testing Plan/Codex_audit_06_tracker.md &gt; Phase 5 DevInt Execution Results.</x:v>
      </x:c>
      <x:c r="O45" s="51"/>
      <x:c r="P45" s="51" t="str">
        <x:v>Codex — Workspace Admin</x:v>
      </x:c>
      <x:c r="Q45" s="51" t="str">
        <x:v>Pending BA confirmation</x:v>
      </x:c>
      <x:c r="R45" s="56" t="n">
        <x:v>46240</x:v>
      </x:c>
    </x:row>
    <x:row r="46">
      <x:c r="A46" s="45" t="str">
        <x:v>P5-CP-008</x:v>
      </x:c>
      <x:c r="B46" s="46" t="str">
        <x:v>Phase 5</x:v>
      </x:c>
      <x:c r="C46" s="46" t="str">
        <x:v>P5-CP - Capacity Planning</x:v>
      </x:c>
      <x:c r="D46" s="46" t="str">
        <x:v>P0</x:v>
      </x:c>
      <x:c r="E46" s="38" t="str">
        <x:v>Assign and split allocation</x:v>
      </x:c>
      <x:c r="F4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6" s="38" t="str">
        <x:v>Project TEST; 1 Release; ít nhất 2 Teams; 3 Features; một Feature chưa gán Team; số Capacity/Estimate có thể tính tay.</x:v>
      </x:c>
      <x:c r="H4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Assign an unallocated allocation row to a Team, then split it to another Team.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6" s="38" t="str">
        <x:v>Feature may have multiple allocation rows; Team Demand uses allocation.value; split allocation creates another editable row with default value 0</x:v>
      </x:c>
      <x:c r="J46" s="38" t="str">
        <x:v>Phase 5/02_Capacity_Planning/SRS.md</x:v>
      </x:c>
      <x:c r="K46" s="38" t="str">
        <x:v>Pending re-smoke</x:v>
      </x:c>
      <x:c r="L46" s="51" t="str">
        <x:v>Blocked</x:v>
      </x:c>
      <x:c r="M46" s="51" t="str">
        <x:v>Split allocation requires two Teams. The second Team cannot be created because Team lead = Unassigned is rejected by validation.</x:v>
      </x:c>
      <x:c r="N46" s="51" t="str">
        <x:v>DEVINT_RETEST_EXECUTION_PLAN_2026-08-14.md §8; https://rally-dev.qnsc.vn/settings</x:v>
      </x:c>
      <x:c r="O46" s="51" t="str">
        <x:v>Blocked by the Team creation defect; retest after optional Team lead is accepted.</x:v>
      </x:c>
      <x:c r="P46" s="51" t="str">
        <x:v>Codex DevInt retest</x:v>
      </x:c>
      <x:c r="Q46" s="51" t="str">
        <x:v>Pending BA review</x:v>
      </x:c>
      <x:c r="R46" s="56" t="n">
        <x:v>46248</x:v>
      </x:c>
    </x:row>
    <x:row r="47">
      <x:c r="A47" s="45" t="str">
        <x:v>P5-CP-009</x:v>
      </x:c>
      <x:c r="B47" s="46" t="str">
        <x:v>Phase 5</x:v>
      </x:c>
      <x:c r="C47" s="46" t="str">
        <x:v>P5-CP - Capacity Planning</x:v>
      </x:c>
      <x:c r="D47" s="46" t="str">
        <x:v>P0</x:v>
      </x:c>
      <x:c r="E47" s="38" t="str">
        <x:v>Expanded Feature list</x:v>
      </x:c>
      <x:c r="F47" s="38" t="str">
        <x:v>DevInt truy cập được và không có lỗi tải trang nghiêm trọng.
Đăng nhập bằng đúng role nêu trong case; nếu case không nêu role thì dùng Workspace Admin.</x:v>
      </x:c>
      <x:c r="G47" s="38" t="str">
        <x:v>Project TEST; 1 Release; ít nhất 2 Teams; 3 Features; một Feature chưa gán Team; số Capacity/Estimate có thể tính tay.</x:v>
      </x:c>
      <x:c r="H4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row.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7" s="38" t="str">
        <x:v>Feature list shows Rank, ID, Name, State, composite progress bar, Complete, editable Rollup allocation and Estimated; no Warning or Dependencies column appears; Complete/Rollup/Estimated align with the Team row and the expanded table ends before the Team Capacity column</x:v>
      </x:c>
      <x:c r="J47" s="38" t="str">
        <x:v>Phase 5/02_Capacity_Planning/SRS.md</x:v>
      </x:c>
      <x:c r="K47" s="38" t="str">
        <x:v>Pass 2026-07-27: browser smoke on CP-001 / Data &amp; Reporting expanded row</x:v>
      </x:c>
      <x:c r="L47" s="51" t="str">
        <x:v>Pass</x:v>
      </x:c>
      <x:c r="M47" s="51" t="str">
        <x:v>Pass. DevInt behavior matched the Expected Result for the tested branch; prior approved evidence was retained where applicable.</x:v>
      </x:c>
      <x:c r="N47" s="51" t="str">
        <x:v>DevInt browser retest 2026-08-06; controlled P56-AUDIT data. Detail: 07_Testing Plan/Codex_audit_06_tracker.md &gt; Phase 5 DevInt Execution Results.</x:v>
      </x:c>
      <x:c r="O47" s="51"/>
      <x:c r="P47" s="51" t="str">
        <x:v>Codex — Workspace Admin</x:v>
      </x:c>
      <x:c r="Q47" s="51" t="str">
        <x:v>Pending BA confirmation</x:v>
      </x:c>
      <x:c r="R47" s="56" t="n">
        <x:v>46240</x:v>
      </x:c>
    </x:row>
    <x:row r="48">
      <x:c r="A48" s="45" t="str">
        <x:v>P5-CP-013</x:v>
      </x:c>
      <x:c r="B48" s="46" t="str">
        <x:v>Phase 5</x:v>
      </x:c>
      <x:c r="C48" s="46" t="str">
        <x:v>P5-CP - Capacity Planning</x:v>
      </x:c>
      <x:c r="D48" s="46" t="str">
        <x:v>P0</x:v>
      </x:c>
      <x:c r="E48" s="38" t="str">
        <x:v>Capacity progress hover breakdown</x:v>
      </x:c>
      <x:c r="F48" s="38" t="str">
        <x:v>DevInt truy cập được và không có lỗi tải trang nghiêm trọng.
Đăng nhập bằng đúng role nêu trong case; nếu case không nêu role thì dùng Workspace Admin.</x:v>
      </x:c>
      <x:c r="G48" s="38" t="str">
        <x:v>Project TEST; 1 Release; ít nhất 2 Teams; 3 Features; một Feature chưa gán Team; số Capacity/Estimate có thể tính tay.</x:v>
      </x:c>
      <x:c r="H4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Hover the Team progress bar and a Feature progress bar inside the Team expansion.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8" s="38" t="str">
        <x:v>Team tooltip shows Complete, Rollup, Estimated and Capacity/base; Feature tooltip shows Complete, Rollup and Estimated without Capacity; tooltip overlays above the grid/list instead of being clipped by table overflow</x:v>
      </x:c>
      <x:c r="J48" s="38" t="str">
        <x:v>Phase 5/02_Capacity_Planning/SRS.md</x:v>
      </x:c>
      <x:c r="K48" s="38" t="str">
        <x:v>Pass 2026-07-27: browser smoke verified tooltip content by focus/click interaction. Re-smoked 2026-07-28 under P5-CP-030 for fixed overlay and warnings</x:v>
      </x:c>
      <x:c r="L48" s="51" t="str">
        <x:v>Blocked</x:v>
      </x:c>
      <x:c r="M48" s="51" t="str">
        <x:v>The in-app test session cannot trigger/hold the required pointer-hover tooltips; visible Breakdown is recorded separately under P5-CP-033.</x:v>
      </x:c>
      <x:c r="N48" s="51" t="str">
        <x:v>https://rally-dev.qnsc.vn/capacity-planning/41d10dd3-6392-47c0-8972-bc4e521d319e</x:v>
      </x:c>
      <x:c r="O48" s="51" t="str">
        <x:v>The in-app test session cannot trigger/hold the required pointer-hover tooltips; visible Breakdown is recorded separately under P5-CP-033.</x:v>
      </x:c>
      <x:c r="P48" s="51" t="str">
        <x:v>Codex DevInt retest</x:v>
      </x:c>
      <x:c r="Q48" s="51" t="str">
        <x:v>Pending BA review</x:v>
      </x:c>
      <x:c r="R48" s="56" t="n">
        <x:v>46248</x:v>
      </x:c>
    </x:row>
    <x:row r="49">
      <x:c r="A49" s="45" t="str">
        <x:v>P5-CP-014</x:v>
      </x:c>
      <x:c r="B49" s="46" t="str">
        <x:v>Phase 5</x:v>
      </x:c>
      <x:c r="C49" s="46" t="str">
        <x:v>P5-CP - Capacity Planning</x:v>
      </x:c>
      <x:c r="D49" s="46" t="str">
        <x:v>P0</x:v>
      </x:c>
      <x:c r="E49" s="38" t="str">
        <x:v>Record-detail tab state</x:v>
      </x:c>
      <x:c r="F49" s="38" t="str">
        <x:v>DevInt truy cập được và không có lỗi tải trang nghiêm trọng.
Đăng nhập bằng đúng role nêu trong case; nếu case không nêu role thì dùng Workspace Admin.</x:v>
      </x:c>
      <x:c r="G49" s="38" t="str">
        <x:v>Project TEST; 1 Release; ít nhất 2 Teams; 3 Features; một Feature chưa gán Team; số Capacity/Estimate có thể tính tay.</x:v>
      </x:c>
      <x:c r="H4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Plan record, select Features, choose a sort, switch to Teams by Total, then return.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9" s="38" t="str">
        <x:v>Both Teams by Total and Features are available; each preserves its own selected sort while the record is open</x:v>
      </x:c>
      <x:c r="J49" s="38" t="str">
        <x:v>Phase 5/02_Capacity_Planning/SRS.md</x:v>
      </x:c>
      <x:c r="K49" s="38" t="str">
        <x:v>Pass 2026-07-27: CP-001. Teams by Total set to Capacity (row order became 10/8/5, proving the sort actually applied and not just the label - Core Platform capacity was first lowered 13 -&gt; 5 because the seeded 13/10/8 values happened to make name-sort and capacity-sort identical). Features set to Estimated, which also surfaced the footer hint Capacity cutline is hidden while sorted by estimated; sort by Rank to view it.. Switching Features -&gt; Teams by Total -&gt; Features preserved Capacity + 10/8/5 order and Estimated + the cutline hint independently. Note: leaving the record entirely (to Portfolio Items) and reopening resets both tabs to default sort, which matches the documented scope "while the record is open"</x:v>
      </x:c>
      <x:c r="L49" s="51" t="str">
        <x:v>Pass</x:v>
      </x:c>
      <x:c r="M49" s="51" t="str">
        <x:v>Teams and Features tabs are available; independent ascending sort selections persist after switching tabs.</x:v>
      </x:c>
      <x:c r="N49" s="51" t="str">
        <x:v>https://rally-dev.qnsc.vn/capacity-planning/41d10dd3-6392-47c0-8972-bc4e521d319e</x:v>
      </x:c>
      <x:c r="O49" s="51" t="str">
        <x:v>No open gap in this retest.</x:v>
      </x:c>
      <x:c r="P49" s="51" t="str">
        <x:v>Codex DevInt retest</x:v>
      </x:c>
      <x:c r="Q49" s="51" t="str">
        <x:v>Pending BA review</x:v>
      </x:c>
      <x:c r="R49" s="56" t="n">
        <x:v>46248</x:v>
      </x:c>
    </x:row>
    <x:row r="50">
      <x:c r="A50" s="45" t="str">
        <x:v>P5-CP-015</x:v>
      </x:c>
      <x:c r="B50" s="46" t="str">
        <x:v>Phase 5</x:v>
      </x:c>
      <x:c r="C50" s="46" t="str">
        <x:v>P5-CP - Capacity Planning</x:v>
      </x:c>
      <x:c r="D50" s="46" t="str">
        <x:v>P0</x:v>
      </x:c>
      <x:c r="E50" s="38" t="str">
        <x:v>Features allocation and cutline</x:v>
      </x:c>
      <x:c r="F50" s="38" t="str">
        <x:v>DevInt truy cập được và không có lỗi tải trang nghiêm trọng.
Đăng nhập bằng đúng role nêu trong case; nếu case không nêu role thì dùng Workspace Admin.</x:v>
      </x:c>
      <x:c r="G50" s="38" t="str">
        <x:v>Project TEST; 1 Release; ít nhất 2 Teams; 3 Features; một Feature chưa gán Team; số Capacity/Estimate có thể tính tay.</x:v>
      </x:c>
      <x:c r="H5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the Features tab, sort by Rank, allocate a Feature to two Teams with one blank and one manual Estimate, then change sort.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0" s="38" t="str">
        <x:v>Rank view shows a cutline at the first cumulative top-down estimate reaching plan Capacity; blank Estimate uses the refined Feature estimate as a fixed source-labeled allocation; manual Estimate stays fixed; split Team subrows appear; cutline hides for non-Rank sort</x:v>
      </x:c>
      <x:c r="J50" s="38" t="str">
        <x:v>Phase 5/02_Capacity_Planning/SRS.md</x:v>
      </x:c>
      <x:c r="K50" s="38" t="str">
        <x:v>Pending browser smoke after record-detail v2</x:v>
      </x:c>
      <x:c r="L50" s="51" t="str">
        <x:v>Partial</x:v>
      </x:c>
      <x:c r="M50" s="51" t="str">
        <x:v>Cutline, Estimated warning and non-Rank hiding pass. Split-Team branch still requires a second Team.</x:v>
      </x:c>
      <x:c r="N50" s="51" t="str">
        <x:v>../Codex_audit_06_tracker.md; https://rally-dev.qnsc.vn/capacity-planning/41d10dd3-6392-47c0-8972-bc4e521d319e</x:v>
      </x:c>
      <x:c r="O50" s="51" t="str">
        <x:v>Retest only the split-Team branch after P5-CP-006 is fixed.</x:v>
      </x:c>
      <x:c r="P50" s="51" t="str">
        <x:v>BA + Codex</x:v>
      </x:c>
      <x:c r="Q50" s="51" t="str">
        <x:v>BA confirmed Partial 2026-08-14</x:v>
      </x:c>
      <x:c r="R50" s="56" t="n">
        <x:v>46248</x:v>
      </x:c>
    </x:row>
    <x:row r="51">
      <x:c r="A51" s="45" t="str">
        <x:v>P5-CP-016</x:v>
      </x:c>
      <x:c r="B51" s="46" t="str">
        <x:v>Phase 5</x:v>
      </x:c>
      <x:c r="C51" s="46" t="str">
        <x:v>P5-CP - Capacity Planning</x:v>
      </x:c>
      <x:c r="D51" s="46" t="str">
        <x:v>P1</x:v>
      </x:c>
      <x:c r="E51" s="38" t="str">
        <x:v>Capacity forecast</x:v>
      </x:c>
      <x:c r="F51" s="38" t="str">
        <x:v>DevInt truy cập được và không có lỗi tải trang nghiêm trọng.
Đăng nhập bằng đúng role nêu trong case; nếu case không nêu role thì dùng Workspace Admin.</x:v>
      </x:c>
      <x:c r="G51" s="38" t="str">
        <x:v>Project TEST; 1 Release; ít nhất 2 Teams; 3 Features; một Feature chưa gán Team; số Capacity/Estimate có thể tính tay.</x:v>
      </x:c>
      <x:c r="H5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Draft, open Calculate Capacity Forecast and apply a forecast.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1" s="38" t="str">
        <x:v>Suggested capacities update Team rows optimistically and remain editable; the control is unavailable after Publish</x:v>
      </x:c>
      <x:c r="J51" s="38" t="str">
        <x:v>Phase 5/02_Capacity_Planning/SRS.md</x:v>
      </x:c>
      <x:c r="K51" s="38" t="str">
        <x:v>Pass 2026-07-27: CP-001. Dialog states it is a Draft-only aid and that capacities may be overwritten afterwards. Changing Historic velocity/team from 24 to 30 recomputed the proposal live (24/19/22 -&gt; 30/24/27). Apply wrote Core Platform 5 -&gt; 30, Data &amp; Reporting 10 -&gt; 27, Identity &amp; Access 8 -&gt; 24; plan Capacity total 23 -&gt; 81 and Rollup percentages rebased (Core Platform 3 pts read 60% of 5, then 10% of 30). Demand stayed 8, confirming forecast touches Capacity only and never allocation values. Values remained editable after apply (Identity &amp; Access 24 -&gt; 12, total 81 -&gt; 69). Control absence after Publish verified in P5-CP-010</x:v>
      </x:c>
      <x:c r="L51" s="51" t="str">
        <x:v>Pass</x:v>
      </x:c>
      <x:c r="M51" s="51" t="str">
        <x:v>Pass. With matching plan dates, velocity 10 over three iterations proposed and applied Capacity 30.</x:v>
      </x:c>
      <x:c r="N51" s="51" t="str">
        <x:v>DevInt browser retest 2026-08-06; controlled P56-AUDIT data. Detail: 07_Testing Plan/Codex_audit_06_tracker.md &gt; Phase 5 DevInt Execution Results.</x:v>
      </x:c>
      <x:c r="O51" s="51"/>
      <x:c r="P51" s="51" t="str">
        <x:v>Codex — Workspace Admin</x:v>
      </x:c>
      <x:c r="Q51" s="51" t="str">
        <x:v>Pending BA confirmation</x:v>
      </x:c>
      <x:c r="R51" s="56" t="n">
        <x:v>46240</x:v>
      </x:c>
    </x:row>
    <x:row r="52">
      <x:c r="A52" s="45" t="str">
        <x:v>P5-CP-017</x:v>
      </x:c>
      <x:c r="B52" s="46" t="str">
        <x:v>Phase 5</x:v>
      </x:c>
      <x:c r="C52" s="46" t="str">
        <x:v>P5-CP - Capacity Planning</x:v>
      </x:c>
      <x:c r="D52" s="46" t="str">
        <x:v>P0</x:v>
      </x:c>
      <x:c r="E52" s="38" t="str">
        <x:v>Features-tab Add Feature and Team Capacity rail</x:v>
      </x:c>
      <x:c r="F52" s="38" t="str">
        <x:v>DevInt truy cập được và không có lỗi tải trang nghiêm trọng.
Đăng nhập bằng đúng role nêu trong case; nếu case không nêu role thì dùng Workspace Admin.</x:v>
      </x:c>
      <x:c r="G52" s="38" t="str">
        <x:v>Project TEST; 1 Release; ít nhất 2 Teams; 3 Features; một Feature chưa gán Team; số Capacity/Estimate có thể tính tay.</x:v>
      </x:c>
      <x:c r="H5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Features, use Add Feature, then inspect the Team Capacity rail.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2" s="38" t="str">
        <x:v>Add Feature lists only eligible Features absent from the Plan and adds them as Not assigned rows; Team Capacity shows every Plan Team with fixed demand / capacity and overload warning</x:v>
      </x:c>
      <x:c r="J52" s="38" t="str">
        <x:v>Phase 5/02_Capacity_Planning/SRS.md</x:v>
      </x:c>
      <x:c r="K52" s="38" t="str">
        <x:v>Pass 2026-07-27: the seed-data blocker was resolved by creating the precondition through the product itself instead of editing seed data - a new NXP Feature FE-323 UAT Probe - Capacity Add Feature (Release Unscheduled, so eligible) was created via Portfolio Items &gt; New Feature. Before: dialog showed No matching Features found / 0 items and the header read 2 Eligible. After: header read 3 Eligible, and the dialog listed only FE-323 with Allocation Not in plan while correctly excluding FE-318 and FE-315 (already in the Plan). Adding it produced a Not assigned Features row with Rank — and Estimated Not refined; plan counters moved 2 -&gt; 3 Features and 1 -&gt; 2 Unassigned; Teams by Total showed it under Unallocated Features in Plan with value 0 and 2 allocation rows waiting for Team; Team Capacity rail and header Demand 8 were unchanged, confirming no Team was auto-assigned and no demand was invented</x:v>
      </x:c>
      <x:c r="L52" s="51" t="str">
        <x:v>Pass</x:v>
      </x:c>
      <x:c r="M52" s="51" t="str">
        <x:v>Pass. DevInt behavior matched the Expected Result for the tested branch; prior approved evidence was retained where applicable.</x:v>
      </x:c>
      <x:c r="N52" s="51" t="str">
        <x:v>DevInt browser retest 2026-08-06; controlled P56-AUDIT data. Detail: 07_Testing Plan/Codex_audit_06_tracker.md &gt; Phase 5 DevInt Execution Results.</x:v>
      </x:c>
      <x:c r="O52" s="51"/>
      <x:c r="P52" s="51" t="str">
        <x:v>Codex — Workspace Admin</x:v>
      </x:c>
      <x:c r="Q52" s="51" t="str">
        <x:v>Pending BA confirmation</x:v>
      </x:c>
      <x:c r="R52" s="56" t="n">
        <x:v>46240</x:v>
      </x:c>
    </x:row>
    <x:row r="53">
      <x:c r="A53" s="45" t="str">
        <x:v>P5-CP-010</x:v>
      </x:c>
      <x:c r="B53" s="46" t="str">
        <x:v>Phase 5</x:v>
      </x:c>
      <x:c r="C53" s="46" t="str">
        <x:v>P5-CP - Capacity Planning</x:v>
      </x:c>
      <x:c r="D53" s="46" t="str">
        <x:v>P0</x:v>
      </x:c>
      <x:c r="E53" s="38" t="str">
        <x:v>Publish behavior</x:v>
      </x:c>
      <x:c r="F5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3" s="38" t="str">
        <x:v>Project TEST; 1 Release; ít nhất 2 Teams; 3 Features; một Feature chưa gán Team; số Capacity/Estimate có thể tính tay.</x:v>
      </x:c>
      <x:c r="H5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Try both publish actions.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3" s="38" t="str">
        <x:v>Publish Without Updating Fields changes plan visibility/status only; Publish also writes Release and planned dates to allocated Features, never overwrites Feature Project/Team, and does not cascade to child Story/Defect</x:v>
      </x:c>
      <x:c r="J53" s="38" t="str">
        <x:v>Phase 5/02_Capacity_Planning/SRS.md</x:v>
      </x:c>
      <x:c r="K53" s="38" t="str">
        <x:v>Partial Pass 2026-07-27 - one defect found (P5-CP-DEF-001). Probe setup: FE-323 (Release = Unscheduled, Team = Core Platform) was allocated to a *different* Team, Identity &amp; Access, so a Team overwrite would be visible. Publish Without Updating Fields: status Draft -&gt; Published, banner shown, and FE-323 Release stayed Unscheduled - visibility only, no field write. Published state is genuinely read-only, not just visually disabled: the accessibility tree contained no capacity textbox, no Add Team, no Calculate Capacity Forecast, no Assign-to-Team, no Split/Remove and no Add Feature/Allocate on either tab - only navigation plus Revert to Draft. Revert to Draft restored every control with all values intact. Full Publish: FE-323 Release Unscheduled -&gt; Nexus Platform Q1 2025 (written), while Team stayed Core Platform and Project stayed NXP despite the Identity &amp; Access allocation, and FE-318's children DE-1138/DE-1145 kept Release Nexus Platform Q4 2024 (no cascade). Defect: the plannedEndDate half of the write is silently lost - see P5-CP-DEF-001 below</x:v>
      </x:c>
      <x:c r="L53" s="51" t="str">
        <x:v>Pass</x:v>
      </x:c>
      <x:c r="M53" s="51" t="str">
        <x:v>Full Publish wrote RE-1 and planned dates to FE-2 after reload, kept Project, did not cascade Release to US-5/US-12, and Unpublish restored Draft without undoing Feature fields.</x:v>
      </x:c>
      <x:c r="N53" s="51" t="str">
        <x:v>../Codex_audit_06_tracker.md; https://rally-dev.qnsc.vn/capacity-planning/41d10dd3-6392-47c0-8972-bc4e521d319e</x:v>
      </x:c>
      <x:c r="O53" s="51" t="str">
        <x:v>No open gap in this retest.</x:v>
      </x:c>
      <x:c r="P53" s="51" t="str">
        <x:v>BA + Codex</x:v>
      </x:c>
      <x:c r="Q53" s="51" t="str">
        <x:v>BA confirmed Pass 2026-08-14</x:v>
      </x:c>
      <x:c r="R53" s="56" t="n">
        <x:v>46248</x:v>
      </x:c>
    </x:row>
    <x:row r="54">
      <x:c r="A54" s="45" t="str">
        <x:v>P5-CP-DEF-001</x:v>
      </x:c>
      <x:c r="B54" s="46" t="str">
        <x:v>Phase 5</x:v>
      </x:c>
      <x:c r="C54" s="46" t="str">
        <x:v>P5-CP - Capacity Planning</x:v>
      </x:c>
      <x:c r="D54" s="46" t="str">
        <x:v>P0</x:v>
      </x:c>
      <x:c r="E54" s="38" t="str">
        <x:v>DEFECT - Publish loses Planned End Date</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1 Release; ít nhất 2 Teams; 3 Features; một Feature chưa gán Team; số Capacity/Estimate có thể tính tay.</x:v>
      </x:c>
      <x:c r="H5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Allocate a Feature with empty planned dates, then run full Publish and open that Feature's Detail.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4" s="38" t="str">
        <x:v>Both Planned Start Date and Planned End Date should carry the Release dates</x:v>
      </x:c>
      <x:c r="J54" s="38" t="str">
        <x:v>Phase 5/02_Capacity_Planning/SRS.md</x:v>
      </x:c>
      <x:c r="K54" s="38" t="str">
        <x:v>Fixed and retested Pass 2026-07-27. Fix reused the existing toDateInputValue helper (promoted from IterationsPage to model.ts) inside the publish writer rather than adding new conversion code. Retest on FE-315: plannedEndDate 2025-02-15 -&gt; 2025-02-01, rendering as 02/01/2025 instead of blank; plannedStartDate correctly still carries the human-readable Nov 1, 2024 because that field is free text by design. Timeboxes/Milestones unaffected by the helper move. Original finding kept below for traceability. Original Fail 2026-07-27. After Publish, FE-323 showed Planned Start Date = Nov 1, 2024 but Planned End Date rendered empty. Root cause is a format mismatch, not a missing write: App.tsx:262-263 writes plannedStartDate: release?.startDate and plannedEndDate: release?.releaseDate, and REL-002 stores human-readable strings (startDate: "Nov 1, 2024", releaseDate: "Feb 1, 2025"). Planned Start Date is a free-text field per the P5.1 SRS so it displays fine, but Planned End Date is an &lt;input type="date"&gt;, which only accepts ISO YYYY-MM-DD and therefore discards "Feb 1, 2025". DOM probe confirmed {type:"date", value:""} for Planned End Date versus {type:"text", value:"Nov 1, 2024"} for Planned Start Date. The seeded Features use ISO for this field (FE-318 plannedEndDate: "2025-01-31"), so the data contract is ISO and the publish writer is the side that is wrong. Fix requires converting the Release date to ISO on write (or normalising ReleaseItem date storage); awaiting BA decision before any code change</x:v>
      </x:c>
      <x:c r="L54" s="51" t="str">
        <x:v>Pass</x:v>
      </x:c>
      <x:c r="M54" s="51" t="str">
        <x:v>Pass. Full Publish wrote Planned Start 2026-08-07 and Planned End 2026-08-31 to FE-2.</x:v>
      </x:c>
      <x:c r="N54" s="51" t="str">
        <x:v>DevInt browser retest 2026-08-06; controlled P56-AUDIT data. Detail: 07_Testing Plan/Codex_audit_06_tracker.md &gt; Phase 5 DevInt Execution Results.</x:v>
      </x:c>
      <x:c r="O54" s="51"/>
      <x:c r="P54" s="51" t="str">
        <x:v>Codex — Workspace Admin</x:v>
      </x:c>
      <x:c r="Q54" s="51" t="str">
        <x:v>Pending BA confirmation</x:v>
      </x:c>
      <x:c r="R54" s="56" t="n">
        <x:v>46240</x:v>
      </x:c>
    </x:row>
    <x:row r="55">
      <x:c r="A55" s="45" t="str">
        <x:v>P5-CP-011</x:v>
      </x:c>
      <x:c r="B55" s="46" t="str">
        <x:v>Phase 5</x:v>
      </x:c>
      <x:c r="C55" s="46" t="str">
        <x:v>P5-CP - Capacity Planning</x:v>
      </x:c>
      <x:c r="D55" s="46" t="str">
        <x:v>P0</x:v>
      </x:c>
      <x:c r="E55" s="38" t="str">
        <x:v>Current Capacity Planning access</x:v>
      </x:c>
      <x:c r="F55" s="38" t="str">
        <x:v>Workspace Admin, assigned-Project Admin, Editor and one unassigned Project are available; a test plan exists.</x:v>
      </x:c>
      <x:c r="G55" s="38" t="str">
        <x:v>Project TEST; 1 Release; ít nhất 2 Teams; 3 Features; một Feature chưa gán Team; số Capacity/Estimate có thể tính tay.</x:v>
      </x:c>
      <x:c r="H55" s="38" t="str">
        <x:v>1. Open Capacity Planning as Workspace Admin and Admin; verify manage actions in allowed scope.
2. Open as Editor; verify navigation/direct-route denial.
3. Try the unassigned Project; verify hidden/denied behavior.
4. Record scope and mutation evidence.</x:v>
      </x:c>
      <x:c r="I55" s="38" t="str">
        <x:v>Workspace Admin and assigned-Project Admin can manage plans; Editor and unassigned users cannot open Capacity Planning.</x:v>
      </x:c>
      <x:c r="J55" s="38" t="str">
        <x:v>Phase 5/02_Capacity_Planning/SRS.md</x:v>
      </x:c>
      <x:c r="K55" s="38" t="str">
        <x:v>Superseded by approved Project access baseline 2026-08-14; previous permission result cannot be reused.</x:v>
      </x:c>
      <x:c r="L55" s="51" t="str">
        <x:v>Blocked</x:v>
      </x:c>
      <x:c r="M55" s="51" t="str">
        <x:v>Only Workspace Admin session is available; Admin, Editor and unassigned boundaries cannot be verified.</x:v>
      </x:c>
      <x:c r="N55" s="51" t="str">
        <x:v>https://rally-dev.qnsc.vn/capacity-planning/41d10dd3-6392-47c0-8972-bc4e521d319e</x:v>
      </x:c>
      <x:c r="O55" s="51" t="str">
        <x:v>Only Workspace Admin session is available; Admin, Editor and unassigned boundaries cannot be verified.</x:v>
      </x:c>
      <x:c r="P55" s="51" t="str">
        <x:v>Codex DevInt retest</x:v>
      </x:c>
      <x:c r="Q55" s="51" t="str">
        <x:v>Pending BA review</x:v>
      </x:c>
      <x:c r="R55" s="56" t="n">
        <x:v>46248</x:v>
      </x:c>
    </x:row>
    <x:row r="56">
      <x:c r="A56" s="45" t="str">
        <x:v>P5-CP-012</x:v>
      </x:c>
      <x:c r="B56" s="46" t="str">
        <x:v>Phase 5</x:v>
      </x:c>
      <x:c r="C56" s="46" t="str">
        <x:v>P5-CP - Capacity Planning</x:v>
      </x:c>
      <x:c r="D56" s="46" t="str">
        <x:v>P1</x:v>
      </x:c>
      <x:c r="E56" s="38" t="str">
        <x:v>Build and smoke evidence</x:v>
      </x:c>
      <x:c r="F56" s="38" t="str">
        <x:v>DevInt truy cập được và không có lỗi tải trang nghiêm trọng.
Đăng nhập bằng đúng role nêu trong case; nếu case không nêu role thì dùng Workspace Admin.</x:v>
      </x:c>
      <x:c r="G56" s="38" t="str">
        <x:v>Project TEST; 1 Release; ít nhất 2 Teams; 3 Features; một Feature chưa gán Team; số Capacity/Estimate có thể tính tay.</x:v>
      </x:c>
      <x:c r="H5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Run npm.cmd run build and browser-smoke P5-CP critical paths.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6" s="38" t="str">
        <x:v>Build passes; no console errors; evidence records BA/mockup limitations separately from production readiness</x:v>
      </x:c>
      <x:c r="J56" s="38" t="str">
        <x:v>Phase 5/02_Capacity_Planning/SRS.md</x:v>
      </x:c>
      <x:c r="K56" s="38" t="str">
        <x:v>Pass (build + runtime smoke 2026-07-26; Vite chunk-size warning only)</x:v>
      </x:c>
      <x:c r="L56" s="51" t="str">
        <x:v>Partial</x:v>
      </x:c>
      <x:c r="M56" s="51" t="str">
        <x:v>Capacity Planning route and CP-1 load without a visible fatal UI error; deployment build/console evidence is outside this UI-only retest.</x:v>
      </x:c>
      <x:c r="N56" s="51" t="str">
        <x:v>https://rally-dev.qnsc.vn/capacity-planning/41d10dd3-6392-47c0-8972-bc4e521d319e</x:v>
      </x:c>
      <x:c r="O56" s="51" t="str">
        <x:v>Capacity Planning route and CP-1 load without a visible fatal UI error; deployment build/console evidence is outside this UI-only retest.</x:v>
      </x:c>
      <x:c r="P56" s="51" t="str">
        <x:v>Codex DevInt retest</x:v>
      </x:c>
      <x:c r="Q56" s="51" t="str">
        <x:v>Pending BA review</x:v>
      </x:c>
      <x:c r="R56" s="56" t="n">
        <x:v>46248</x:v>
      </x:c>
    </x:row>
    <x:row r="57">
      <x:c r="A57" s="45" t="str">
        <x:v>P5-CP-019</x:v>
      </x:c>
      <x:c r="B57" s="46" t="str">
        <x:v>Phase 5</x:v>
      </x:c>
      <x:c r="C57" s="46" t="str">
        <x:v>P5-CP - Capacity Planning</x:v>
      </x:c>
      <x:c r="D57" s="46" t="str">
        <x:v>P0</x:v>
      </x:c>
      <x:c r="E57" s="38" t="str">
        <x:v>Editor cannot open Capacity Planning</x:v>
      </x:c>
      <x:c r="F57" s="38" t="str">
        <x:v>User has Editor assignment in Project TEST and at least one Team.</x:v>
      </x:c>
      <x:c r="G57" s="38" t="str">
        <x:v>Project TEST; 1 Release; ít nhất 2 Teams; 3 Features; một Feature chưa gán Team; số Capacity/Estimate có thể tính tay.</x:v>
      </x:c>
      <x:c r="H57" s="38" t="str">
        <x:v>1. Sign in as Editor.
2. Inspect Portfolio navigation.
3. Open Capacity Planning list/detail URLs directly.
4. Record safe denied behavior and confirm no plan metadata is exposed.</x:v>
      </x:c>
      <x:c r="I57" s="38" t="str">
        <x:v>Capacity Planning is hidden and direct access is safely denied for Editor.</x:v>
      </x:c>
      <x:c r="J57" s="38" t="str">
        <x:v>Phase 5/02_Capacity_Planning/SRS.md</x:v>
      </x:c>
      <x:c r="K57" s="38" t="str">
        <x:v>Superseded by approved Project access baseline 2026-08-14; previous permission result cannot be reused.</x:v>
      </x:c>
      <x:c r="L57" s="51" t="str">
        <x:v>Blocked</x:v>
      </x:c>
      <x:c r="M57" s="51" t="str">
        <x:v>No Editor login is available.</x:v>
      </x:c>
      <x:c r="N57" s="51" t="str">
        <x:v>https://rally-dev.qnsc.vn/capacity-planning/41d10dd3-6392-47c0-8972-bc4e521d319e</x:v>
      </x:c>
      <x:c r="O57" s="51" t="str">
        <x:v>No Editor login is available.</x:v>
      </x:c>
      <x:c r="P57" s="51" t="str">
        <x:v>Codex DevInt retest</x:v>
      </x:c>
      <x:c r="Q57" s="51" t="str">
        <x:v>Pending BA review</x:v>
      </x:c>
      <x:c r="R57" s="56" t="n">
        <x:v>46248</x:v>
      </x:c>
    </x:row>
    <x:row r="58">
      <x:c r="A58" s="45" t="str">
        <x:v>P5-CP-020</x:v>
      </x:c>
      <x:c r="B58" s="46" t="str">
        <x:v>Phase 5</x:v>
      </x:c>
      <x:c r="C58" s="46" t="str">
        <x:v>P5-CP - Capacity Planning</x:v>
      </x:c>
      <x:c r="D58" s="46" t="str">
        <x:v>P0</x:v>
      </x:c>
      <x:c r="E58" s="38" t="str">
        <x:v>Team-level Add Features lists the whole Project and keeps added rows</x:v>
      </x:c>
      <x:c r="F5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8" s="38" t="str">
        <x:v>Project TEST; 1 Release; ít nhất 2 Teams; 3 Features; một Feature chưa gán Team; số Capacity/Estimate có thể tính tay.</x:v>
      </x:c>
      <x:c r="H5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in Teams by Total, open Add Features, inspect the list, add a Feature, then reopen the dialog.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8" s="38" t="str">
        <x:v>Dialog lists every Feature across the Project's Teams with ID / Name / Project / Team; a Feature already in that Team stays listed and is marked as added rather than disappearing</x:v>
      </x:c>
      <x:c r="J58" s="38" t="str">
        <x:v>Phase 5/02_Capacity_Planning/SRS.md</x:v>
      </x:c>
      <x:c r="K58" s="38" t="str">
        <x:v>Pass 2026-07-27: Core Platform dialog listed all 4 NXP Features including FE-311 (Release Q4 2024) and FE-308 (Q2 2025), which the old Release-filtered list had hidden. Columns render ID / Name / Project / Team plus the existing Allocation status. FE-318, already allocated to Data &amp; Reporting in this plan, stayed in the list greyed out with a green ✓ Added badge and a disabled checkbox, so it cannot be double-added. Header reads Total Work Items: 4 · 3 available to add. Adding FE-315 moved its existing Unallocated row to the Team and preserved its value 5, and Demand went 8 -&gt; 13; FE-308 was added with value 0</x:v>
      </x:c>
      <x:c r="L58" s="51" t="str">
        <x:v>Pass</x:v>
      </x:c>
      <x:c r="M58" s="51" t="str">
        <x:v>Pass. Pegasus Add Features showed the whole TEST Project set, kept FE-2 visible as Added, and allowed FE-3.</x:v>
      </x:c>
      <x:c r="N58" s="51" t="str">
        <x:v>DevInt browser retest 2026-08-06; controlled P56-AUDIT data. Detail: 07_Testing Plan/Codex_audit_06_tracker.md &gt; Phase 5 DevInt Execution Results.</x:v>
      </x:c>
      <x:c r="O58" s="51"/>
      <x:c r="P58" s="51" t="str">
        <x:v>Codex — Workspace Admin</x:v>
      </x:c>
      <x:c r="Q58" s="51" t="str">
        <x:v>Pending BA confirmation</x:v>
      </x:c>
      <x:c r="R58" s="56" t="n">
        <x:v>46240</x:v>
      </x:c>
    </x:row>
    <x:row r="59">
      <x:c r="A59" s="45" t="str">
        <x:v>P5-CP-021</x:v>
      </x:c>
      <x:c r="B59" s="46" t="str">
        <x:v>Phase 5</x:v>
      </x:c>
      <x:c r="C59" s="46" t="str">
        <x:v>P5-CP - Capacity Planning</x:v>
      </x:c>
      <x:c r="D59" s="46" t="str">
        <x:v>P0</x:v>
      </x:c>
      <x:c r="E59" s="38" t="str">
        <x:v>Rank reorder from the per-row settings menu</x:v>
      </x:c>
      <x:c r="F5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9" s="38" t="str">
        <x:v>Project TEST; 1 Release; ít nhất 2 Teams; 3 Features; một Feature chưa gán Team; số Capacity/Estimate có thể tính tay.</x:v>
      </x:c>
      <x:c r="H5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an expanded Team with at least two Features, open the settings icon at the start of a row and use Move up / Move down.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9" s="38" t="str">
        <x:v>Each row has a settings icon opening a small menu; the two actions swap rank with the adjacent row inside that Team only, and are disabled at the ends of the list</x:v>
      </x:c>
      <x:c r="J59" s="38" t="str">
        <x:v>Phase 5/02_Capacity_Planning/SRS.md</x:v>
      </x:c>
      <x:c r="K59" s="38" t="str">
        <x:v>Pass 2026-07-27: gear icon renders as the new leading column on every Feature row with a matching blank header cell. On Core Platform holding FE-318 (rank 2) and FE-308 (rank 4), Move down was disabled on the last row and Move up on the first, flipping correctly as position changed. Move up on FE-308 swapped the pair to rank 2 / rank 4 and the display order followed; Move down restored it. Data &amp; Reporting kept Features 1 and Rollup 5 throughout, confirming the swap is scoped to the acting Team. Menu closes after each action and via click-away</x:v>
      </x:c>
      <x:c r="L59" s="51" t="str">
        <x:v>Pass</x:v>
      </x:c>
      <x:c r="M59" s="51" t="str">
        <x:v>Pass. Move up changed FE-3 from rank 2 to rank 1 and FE-2 from rank 1 to rank 2.</x:v>
      </x:c>
      <x:c r="N59" s="51" t="str">
        <x:v>DevInt browser retest 2026-08-06; controlled P56-AUDIT data. Detail: 07_Testing Plan/Codex_audit_06_tracker.md &gt; Phase 5 DevInt Execution Results.</x:v>
      </x:c>
      <x:c r="O59" s="51"/>
      <x:c r="P59" s="51" t="str">
        <x:v>Codex — Workspace Admin</x:v>
      </x:c>
      <x:c r="Q59" s="51" t="str">
        <x:v>Pending BA confirmation</x:v>
      </x:c>
      <x:c r="R59" s="56" t="n">
        <x:v>46240</x:v>
      </x:c>
    </x:row>
    <x:row r="60">
      <x:c r="A60" s="45" t="str">
        <x:v>P5-CP-022</x:v>
      </x:c>
      <x:c r="B60" s="46" t="str">
        <x:v>Phase 5</x:v>
      </x:c>
      <x:c r="C60" s="46" t="str">
        <x:v>P5-CP - Capacity Planning</x:v>
      </x:c>
      <x:c r="D60" s="46" t="str">
        <x:v>P0</x:v>
      </x:c>
      <x:c r="E60" s="38" t="str">
        <x:v>Allocate from the Team row settings menu</x:v>
      </x:c>
      <x:c r="F60" s="38" t="str">
        <x:v>DevInt truy cập được và không có lỗi tải trang nghiêm trọng.
Đăng nhập bằng đúng role nêu trong case; nếu case không nêu role thì dùng Workspace Admin.
Có account và Project assignment tương ứng để kiểm tra quyền.</x:v>
      </x:c>
      <x:c r="G60" s="38" t="str">
        <x:v>Project TEST; 1 Release; ít nhất 2 Teams; 3 Features; một Feature chưa gán Team; số Capacity/Estimate có thể tính tay.</x:v>
      </x:c>
      <x:c r="H6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an expanded Team, open a Feature row's settings icon and choose Allocate.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0" s="38" t="str">
        <x:v>The same Allocate dialog opens, laid out like Rally's Allocate to Projects but with Team in place of Project: a read-only Portfolio Item header row with ID / Name / Prelim Estimate / Refined Estimate, a Team / Estimate table with removable rows, an Add Team action, and a live Total allocated readout</x:v>
      </x:c>
      <x:c r="J60" s="38" t="str">
        <x:v>Phase 5/02_Capacity_Planning/SRS.md</x:v>
      </x:c>
      <x:c r="K60" s="38" t="str">
        <x:v>Pass 2026-07-27: the gear menu now reads Move up / Move down / separator / Allocate. Choosing Allocate on FE-318 opened Allocate to Teams showing FE-318 · Advanced Reporting Module, header row FE-318 / Advanced Reporting Module / L / 8, existing split rows Data &amp; Reporting 5 and Core Platform 3, + Add Team, and Total allocated: 8 points. Cancel left the plan untouched</x:v>
      </x:c>
      <x:c r="L60" s="51" t="str">
        <x:v>Pass</x:v>
      </x:c>
      <x:c r="M60" s="51" t="str">
        <x:v>Pass. Allocate dialog opened for FE-2 and saved manual allocation 8 points.</x:v>
      </x:c>
      <x:c r="N60" s="51" t="str">
        <x:v>DevInt browser retest 2026-08-06; controlled P56-AUDIT data. Detail: 07_Testing Plan/Codex_audit_06_tracker.md &gt; Phase 5 DevInt Execution Results.</x:v>
      </x:c>
      <x:c r="O60" s="51"/>
      <x:c r="P60" s="51" t="str">
        <x:v>Codex — Workspace Admin</x:v>
      </x:c>
      <x:c r="Q60" s="51" t="str">
        <x:v>Pending BA confirmation</x:v>
      </x:c>
      <x:c r="R60" s="56" t="n">
        <x:v>46240</x:v>
      </x:c>
    </x:row>
    <x:row r="61">
      <x:c r="A61" s="45" t="str">
        <x:v>P5-CP-023</x:v>
      </x:c>
      <x:c r="B61" s="46" t="str">
        <x:v>Phase 5</x:v>
      </x:c>
      <x:c r="C61" s="46" t="str">
        <x:v>P5-CP - Capacity Planning</x:v>
      </x:c>
      <x:c r="D61" s="46" t="str">
        <x:v>P0</x:v>
      </x:c>
      <x:c r="E61" s="38" t="str">
        <x:v>Estimated priority - Team Allocated then Refined then Preliminary</x:v>
      </x:c>
      <x:c r="F6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1" s="38" t="str">
        <x:v>Project TEST; 1 Release; ít nhất 2 Teams; 3 Features; một Feature chưa gán Team; số Capacity/Estimate có thể tính tay.</x:v>
      </x:c>
      <x:c r="H6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the Features tab, inspect Estimated for a Feature with Team allocations, remove/zero those allocations, then inspect a Feature with no Refined Estimate; also inspect an Unallocated placeholder.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1" s="38" t="str">
        <x:v>Estimated prefers the total allocated to Teams, falls back to Refined Estimate, then to the temporary Preliminary Estimate size mapping. An Unallocated row never overrides Refined/Preliminary. The UI states which tier produced the number</x:v>
      </x:c>
      <x:c r="J61" s="38" t="str">
        <x:v>Phase 5/02_Capacity_Planning/SRS.md</x:v>
      </x:c>
      <x:c r="K61" s="38" t="str">
        <x:v>Pass 2026-07-28. FE-318 showed 8 Allocated for Team allocations 5 + 3; after both Team allocations were set to 0, it showed 8 Refined. FE-315 retained 5 Preliminary although its Unallocated placeholder held 5, proving the placeholder is excluded.</x:v>
      </x:c>
      <x:c r="L61" s="51" t="str">
        <x:v>Pass</x:v>
      </x:c>
      <x:c r="M61" s="51" t="str">
        <x:v>Confirmed Estimated priority: Allocated 8, then Refined 5, then Preliminary S=3. Temporary test values were restored.</x:v>
      </x:c>
      <x:c r="N61" s="51" t="str">
        <x:v>../Codex_audit_06_tracker.md; https://rally-dev.qnsc.vn/capacity-planning/41d10dd3-6392-47c0-8972-bc4e521d319e</x:v>
      </x:c>
      <x:c r="O61" s="51" t="str">
        <x:v>No open gap in this retest.</x:v>
      </x:c>
      <x:c r="P61" s="51" t="str">
        <x:v>BA + Codex</x:v>
      </x:c>
      <x:c r="Q61" s="51" t="str">
        <x:v>BA confirmed Pass 2026-08-14</x:v>
      </x:c>
      <x:c r="R61" s="56" t="n">
        <x:v>46248</x:v>
      </x:c>
    </x:row>
    <x:row r="62">
      <x:c r="A62" s="45" t="str">
        <x:v>P5-CP-024</x:v>
      </x:c>
      <x:c r="B62" s="46" t="str">
        <x:v>Phase 5</x:v>
      </x:c>
      <x:c r="C62" s="46" t="str">
        <x:v>P5-CP - Capacity Planning</x:v>
      </x:c>
      <x:c r="D62" s="46" t="str">
        <x:v>P0</x:v>
      </x:c>
      <x:c r="E62" s="38" t="str">
        <x:v>Allocation is edited only through the Allocate dialog</x:v>
      </x:c>
      <x:c r="F62"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62" s="38" t="str">
        <x:v>Project TEST; 1 Release; ít nhất 2 Teams; 3 Features; một Feature chưa gán Team; số Capacity/Estimate có thể tính tay.</x:v>
      </x:c>
      <x:c r="H6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Draft plan, expand a Team, and look for inline allocation editing; also check for an Unallocated Features section.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2" s="38" t="str">
        <x:v>The expanded Team Feature row shows Rollup read-only with no inline number input and no Split control, the Unallocated Features in Plan block is gone, and allocation is changed only in the Allocate dialog</x:v>
      </x:c>
      <x:c r="J62" s="38" t="str">
        <x:v>Phase 5/02_Capacity_Planning/SRS.md</x:v>
      </x:c>
      <x:c r="K62" s="38" t="str">
        <x:v>Pass 2026-07-28; amended by BA after test. Expanded FE-318 exposed the Allocate dialog through settings; the later BA direction removed Remove from Team, leaving Remove from Plan as the only removal action. No inline allocation editor, Split control or Unallocated section remains.</x:v>
      </x:c>
      <x:c r="L62" s="51" t="str">
        <x:v>Pass</x:v>
      </x:c>
      <x:c r="M62" s="51" t="str">
        <x:v>Pass. DevInt behavior matched the Expected Result for the tested branch; prior approved evidence was retained where applicable.</x:v>
      </x:c>
      <x:c r="N62" s="51" t="str">
        <x:v>DevInt browser retest 2026-08-06; controlled P56-AUDIT data. Detail: 07_Testing Plan/Codex_audit_06_tracker.md &gt; Phase 5 DevInt Execution Results.</x:v>
      </x:c>
      <x:c r="O62" s="51"/>
      <x:c r="P62" s="51" t="str">
        <x:v>Codex — Workspace Admin</x:v>
      </x:c>
      <x:c r="Q62" s="51" t="str">
        <x:v>Pending BA confirmation</x:v>
      </x:c>
      <x:c r="R62" s="56" t="n">
        <x:v>46240</x:v>
      </x:c>
    </x:row>
    <x:row r="63">
      <x:c r="A63" s="45" t="str">
        <x:v>P5-CP-025</x:v>
      </x:c>
      <x:c r="B63" s="46" t="str">
        <x:v>Phase 5</x:v>
      </x:c>
      <x:c r="C63" s="46" t="str">
        <x:v>P5-CP - Capacity Planning</x:v>
      </x:c>
      <x:c r="D63" s="46" t="str">
        <x:v>P0</x:v>
      </x:c>
      <x:c r="E63" s="38" t="str">
        <x:v>Allocation origin column on the expanded Team Feature table</x:v>
      </x:c>
      <x:c r="F63" s="38" t="str">
        <x:v>DevInt truy cập được và không có lỗi tải trang nghiêm trọng.
Đăng nhập bằng đúng role nêu trong case; nếu case không nêu role thì dùng Workspace Admin.</x:v>
      </x:c>
      <x:c r="G63" s="38" t="str">
        <x:v>Project TEST; 1 Release; ít nhất 2 Teams; 3 Features; một Feature chưa gán Team; số Capacity/Estimate có thể tính tay.</x:v>
      </x:c>
      <x:c r="H6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two Teams that both hold the same split Feature and compare the Allocation cell; also check the Dependencies column.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3" s="38" t="str">
        <x:v>The row under the Feature's own Team shows —; the row under a Team the Feature was split into reads From {Feature's own Team}. Dependencies renders as a placeholder — on every row</x:v>
      </x:c>
      <x:c r="J63" s="38" t="str">
        <x:v>Phase 5/02_Capacity_Planning/SRS.md</x:v>
      </x:c>
      <x:c r="K63" s="38" t="str">
        <x:v>Pass 2026-07-27: FE-318 is owned by Data &amp; Reporting in Portfolio Items and is split across both Teams in CP-001. Its row under Core Platform read From Data &amp; Reporting while its row under Data &amp; Reporting read —, so the column attributes the split to the origin Team and stays silent on the origin's own row. Hover text on each state explains the attribution. Dependencies showed — on every row with a tooltip stating it is not modelled in this slice. Both new columns are read-only. With nine columns the table now scrolls horizontally: measured scrollWidth 1180 against clientWidth 1103, and scrolling to the end revealed the Estimated column intact</x:v>
      </x:c>
      <x:c r="L63" s="51" t="str">
        <x:v>Fail</x:v>
      </x:c>
      <x:c r="M63" s="51" t="str">
        <x:v>FE-2 own-Team Allocation and Dependencies show 0 instead of —. From Pegasus remains downstream-blocked by P5-CP-006.</x:v>
      </x:c>
      <x:c r="N63" s="51" t="str">
        <x:v>../Codex_audit_06_tracker.md; https://rally-dev.qnsc.vn/capacity-planning/41d10dd3-6392-47c0-8972-bc4e521d319e</x:v>
      </x:c>
      <x:c r="O63" s="51" t="str">
        <x:v>Render — for own-Team Allocation and Dependencies; retest cross-Team origin after P5-CP-006.</x:v>
      </x:c>
      <x:c r="P63" s="51" t="str">
        <x:v>BA + Codex</x:v>
      </x:c>
      <x:c r="Q63" s="51" t="str">
        <x:v>BA confirmed Fail 2026-08-14</x:v>
      </x:c>
      <x:c r="R63" s="56" t="n">
        <x:v>46248</x:v>
      </x:c>
    </x:row>
    <x:row r="64">
      <x:c r="A64" s="45" t="str">
        <x:v>P5-CP-026</x:v>
      </x:c>
      <x:c r="B64" s="46" t="str">
        <x:v>Phase 5</x:v>
      </x:c>
      <x:c r="C64" s="46" t="str">
        <x:v>P5-CP - Capacity Planning</x:v>
      </x:c>
      <x:c r="D64" s="46" t="str">
        <x:v>P0</x:v>
      </x:c>
      <x:c r="E64" s="38" t="str">
        <x:v>Fixed Capacity access mapping</x:v>
      </x:c>
      <x:c r="F64" s="38" t="str">
        <x:v>Workspace Admin, assigned-Project Admin and Editor sessions are available.</x:v>
      </x:c>
      <x:c r="G64" s="38" t="str">
        <x:v>Project TEST; 1 Release; ít nhất 2 Teams; 3 Features; một Feature chưa gán Team; số Capacity/Estimate có thể tính tay.</x:v>
      </x:c>
      <x:c r="H64" s="38" t="str">
        <x:v>1. Open Settings &gt; Permission Model and confirm it is reference-only.
2. Open Capacity Planning as Admin and verify manage behavior.
3. Open as Editor and verify navigation/direct-route denial.
4. Confirm no custom Full/View Capacity permission exists.</x:v>
      </x:c>
      <x:c r="I64" s="38" t="str">
        <x:v>Capacity access is fixed by Project assignment: Admin manages; Editor is denied. Permission Model is not editable.</x:v>
      </x:c>
      <x:c r="J64" s="38" t="str">
        <x:v>Phase 5/02_Capacity_Planning/SRS.md</x:v>
      </x:c>
      <x:c r="K64" s="38" t="str">
        <x:v>Superseded by approved Project access baseline 2026-08-14; previous permission result cannot be reused.</x:v>
      </x:c>
      <x:c r="L64" s="51" t="str">
        <x:v>Blocked</x:v>
      </x:c>
      <x:c r="M64" s="51" t="str">
        <x:v>Only Workspace Admin session is available; fixed Admin/Editor access mapping cannot be verified.</x:v>
      </x:c>
      <x:c r="N64" s="51" t="str">
        <x:v>https://rally-dev.qnsc.vn/capacity-planning/41d10dd3-6392-47c0-8972-bc4e521d319e</x:v>
      </x:c>
      <x:c r="O64" s="51" t="str">
        <x:v>Only Workspace Admin session is available; fixed Admin/Editor access mapping cannot be verified.</x:v>
      </x:c>
      <x:c r="P64" s="51" t="str">
        <x:v>Codex DevInt retest</x:v>
      </x:c>
      <x:c r="Q64" s="51" t="str">
        <x:v>Pending BA review</x:v>
      </x:c>
      <x:c r="R64" s="56" t="n">
        <x:v>46248</x:v>
      </x:c>
    </x:row>
    <x:row r="65">
      <x:c r="A65" s="45" t="str">
        <x:v>P5-CP-027</x:v>
      </x:c>
      <x:c r="B65" s="46" t="str">
        <x:v>Phase 5</x:v>
      </x:c>
      <x:c r="C65" s="46" t="str">
        <x:v>P5-CP - Capacity Planning</x:v>
      </x:c>
      <x:c r="D65" s="46" t="str">
        <x:v>P0</x:v>
      </x:c>
      <x:c r="E65" s="38" t="str">
        <x:v>Remove split Feature from Plan</x:v>
      </x:c>
      <x:c r="F6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5" s="38" t="str">
        <x:v>Project TEST; 1 Release; ít nhất 2 Teams; 3 Features; một Feature chưa gán Team; số Capacity/Estimate có thể tính tay.</x:v>
      </x:c>
      <x:c r="H6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Allocate one Feature to two Teams, open either Team row's settings menu and click Remove from Plan.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5" s="38" t="str">
        <x:v>Every allocation row for that Feature is removed across both Teams, Feature disappears from the Plan, Team Demand and Plan counters recalculate, and the Portfolio Feature remains unchanged</x:v>
      </x:c>
      <x:c r="J65" s="38" t="str">
        <x:v>Phase 5/02_Capacity_Planning/SRS.md</x:v>
      </x:c>
      <x:c r="K65" s="38" t="str">
        <x:v>Pass 2026-07-28. Removing FE-318 from Plan cleared it from Core Platform and Data &amp; Reporting, changed both Team Feature counts to 0, removed the Feature text from the plan and recalculated Demand to 0.</x:v>
      </x:c>
      <x:c r="L65" s="51" t="str">
        <x:v>Blocked</x:v>
      </x:c>
      <x:c r="M65" s="51" t="str">
        <x:v>The scenario requires a split Feature across multiple Teams. Its prerequisite cannot be created because Team creation rejects an optional Unassigned Team lead.</x:v>
      </x:c>
      <x:c r="N65" s="51" t="str">
        <x:v>DEVINT_RETEST_EXECUTION_PLAN_2026-08-14.md §8; https://rally-dev.qnsc.vn/settings</x:v>
      </x:c>
      <x:c r="O65" s="51" t="str">
        <x:v>Blocked by the Team creation defect; no disposable split Feature can be prepared.</x:v>
      </x:c>
      <x:c r="P65" s="51" t="str">
        <x:v>Codex DevInt retest</x:v>
      </x:c>
      <x:c r="Q65" s="51" t="str">
        <x:v>Pending BA review</x:v>
      </x:c>
      <x:c r="R65" s="56" t="n">
        <x:v>46248</x:v>
      </x:c>
    </x:row>
    <x:row r="66">
      <x:c r="A66" s="45" t="str">
        <x:v>P5-CP-029</x:v>
      </x:c>
      <x:c r="B66" s="46" t="str">
        <x:v>Phase 5</x:v>
      </x:c>
      <x:c r="C66" s="46" t="str">
        <x:v>P5-CP - Capacity Planning</x:v>
      </x:c>
      <x:c r="D66" s="46" t="str">
        <x:v>P0</x:v>
      </x:c>
      <x:c r="E66" s="38" t="str">
        <x:v>Live Complete/Rollup/Estimated and Team-split display</x:v>
      </x:c>
      <x:c r="F6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6" s="38" t="str">
        <x:v>Project TEST; 1 Release; ít nhất 2 Teams; 3 Features; một Feature chưa gán Team; số Capacity/Estimate có thể tính tay.</x:v>
      </x:c>
      <x:c r="H6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split Feature in Features and Teams by Total, compare totals/slices, then move one child from Completed back to In-Progress.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6" s="38" t="str">
        <x:v>Complete sums child Plan Estimate at Completed or later; Rollup sums every child Plan Estimate; Estimated follows allocation/refined/preliminary. Feature rows show numbers without percentages. Features tab shows the Feature total; expanded Team rows show Team slices; Team summary rows retain number plus percent of manual Capacity. Moving a child backward reduces Complete only</x:v>
      </x:c>
      <x:c r="J66" s="38" t="str">
        <x:v>Phase 5/02_Capacity_Planning/SRS.md</x:v>
      </x:c>
      <x:c r="K66" s="38" t="str">
        <x:v>Pass 2026-07-28. FE-318 total showed Complete 0 / Rollup 6 / Estimated 8; Data &amp; Reporting showed 0 / 6 / 5, Core Platform 0 / 0 / 3. Feature rows and Feature tooltip contained numbers only; Data &amp; Reporting Team row/tooltip retained 0 (0%) / 6 (60%) / 5 (50%) against Capacity 10. FE-315 showed 5 / 5 / 5; changing US-4798 Completed -&gt; In-Progress changed it to 0 / 5 / 5. Clean reload had no new console errors.</x:v>
      </x:c>
      <x:c r="L66" s="51" t="str">
        <x:v>Fail</x:v>
      </x:c>
      <x:c r="M66" s="51" t="str">
        <x:v>FE-2 child US-5 has Plan Estimate 3, but Complete/Rollup remain 0 at Idea and Completed after reload. US-5 was restored to Idea.</x:v>
      </x:c>
      <x:c r="N66" s="51" t="str">
        <x:v>../Codex_audit_06_tracker.md; https://rally-dev.qnsc.vn/capacity-planning/41d10dd3-6392-47c0-8972-bc4e521d319e</x:v>
      </x:c>
      <x:c r="O66" s="51" t="str">
        <x:v>Fix child Plan Estimate aggregation and status rollback recalculation.</x:v>
      </x:c>
      <x:c r="P66" s="51" t="str">
        <x:v>BA + Codex</x:v>
      </x:c>
      <x:c r="Q66" s="51" t="str">
        <x:v>BA confirmed Fail 2026-08-14</x:v>
      </x:c>
      <x:c r="R66" s="56" t="n">
        <x:v>46248</x:v>
      </x:c>
    </x:row>
    <x:row r="67">
      <x:c r="A67" s="45" t="str">
        <x:v>P5-CP-030</x:v>
      </x:c>
      <x:c r="B67" s="46" t="str">
        <x:v>Phase 5</x:v>
      </x:c>
      <x:c r="C67" s="46" t="str">
        <x:v>P5-CP - Capacity Planning</x:v>
      </x:c>
      <x:c r="D67" s="46" t="str">
        <x:v>P0</x:v>
      </x:c>
      <x:c r="E67" s="38" t="str">
        <x:v>Exceed warnings on Capacity Plan progress bars</x:v>
      </x:c>
      <x:c r="F67" s="38" t="str">
        <x:v>DevInt truy cập được và không có lỗi tải trang nghiêm trọng.
Đăng nhập bằng đúng role nêu trong case; nếu case không nêu role thì dùng Workspace Admin.</x:v>
      </x:c>
      <x:c r="G67" s="38" t="str">
        <x:v>Project TEST; 1 Release; ít nhất 2 Teams; 3 Features; một Feature chưa gán Team; số Capacity/Estimate có thể tính tay.</x:v>
      </x:c>
      <x:c r="H6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with a Team/Feature where Rollup is greater than Estimated, then hover/focus the Team and Feature progress bars and the Team Features attention badge.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7" s="38" t="str">
        <x:v>Red warning triangle appears on the progress bar; tooltip lists Rollup exceeds Estimated. The Team Features cell is left-aligned and shows a red attention badge counting child Features with Feature-level exceed; badge hover says N Feature(s) require attention. Plan and Team levels also warn on Rollup &gt; Capacity and Estimated &gt; Capacity when applicable. Feature rows do not show Capacity warnings because Feature rows have no Capacity column. Header total progress bar is widened.</x:v>
      </x:c>
      <x:c r="J67" s="38" t="str">
        <x:v>Phase 5/02_Capacity_Planning/SRS.md</x:v>
      </x:c>
      <x:c r="K67" s="38" t="str">
        <x:v>Pass 2026-07-28. Seeded Data &amp; Reporting row (Rollup 6, Estimated 5) displayed the warning triangle and tooltip text; the expanded FE-318 row under Data &amp; Reporting also displayed Rollup exceeds Estimated. Tooltip used fixed overlay and was not clipped by the grid. Build passed with only the standard Vite chunk-size warning.</x:v>
      </x:c>
      <x:c r="L67" s="51" t="str">
        <x:v>Fail</x:v>
      </x:c>
      <x:c r="M67" s="51" t="str">
        <x:v>Missing-estimate and Estimated-over-Capacity warnings pass. Rollup warnings are blocked by P5-CP-029 and cross-Team warnings by P5-CP-006; Capacity was restored to 20.</x:v>
      </x:c>
      <x:c r="N67" s="51" t="str">
        <x:v>../Codex_audit_06_tracker.md; https://rally-dev.qnsc.vn/capacity-planning/41d10dd3-6392-47c0-8972-bc4e521d319e</x:v>
      </x:c>
      <x:c r="O67" s="51" t="str">
        <x:v>Retest Rollup and cross-Team warning branches after P5-CP-029 and P5-CP-006 are fixed.</x:v>
      </x:c>
      <x:c r="P67" s="51" t="str">
        <x:v>BA + Codex</x:v>
      </x:c>
      <x:c r="Q67" s="51" t="str">
        <x:v>BA confirmed Fail 2026-08-14</x:v>
      </x:c>
      <x:c r="R67" s="56" t="n">
        <x:v>46248</x:v>
      </x:c>
    </x:row>
    <x:row r="68">
      <x:c r="A68" s="45" t="str">
        <x:v>P5-CP-031</x:v>
      </x:c>
      <x:c r="B68" s="46" t="str">
        <x:v>Phase 5</x:v>
      </x:c>
      <x:c r="C68" s="46" t="str">
        <x:v>P5-CP - Capacity Planning</x:v>
      </x:c>
      <x:c r="D68" s="46" t="str">
        <x:v>P0</x:v>
      </x:c>
      <x:c r="E68" s="38" t="str">
        <x:v>Features tab Rally-style grid rebuild</x:v>
      </x:c>
      <x:c r="F68" s="38" t="str">
        <x:v>DevInt truy cập được và không có lỗi tải trang nghiêm trọng.
Đăng nhập bằng đúng role nêu trong case; nếu case không nêu role thì dùng Workspace Admin.</x:v>
      </x:c>
      <x:c r="G68" s="38" t="str">
        <x:v>Project TEST; 1 Release; ít nhất 2 Teams; 3 Features; một Feature chưa gán Team; số Capacity/Estimate có thể tính tay.</x:v>
      </x:c>
      <x:c r="H6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switch to the Features tab and inspect the Feature list plus a split Feature row settings menu.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8" s="38" t="str">
        <x:v>Grid columns are Rank, ID, Name, Planned Team Assignment, Team, Dependencies, Rollup, Estimated, Complete. ID uses the Feature prefix without a separate Type column; metrics align right and split rows show Team slices.</x:v>
      </x:c>
      <x:c r="J68" s="38" t="str">
        <x:v>Phase 5/02_Capacity_Planning/SRS.md</x:v>
      </x:c>
      <x:c r="K68" s="38" t="str">
        <x:v>Pass 2026-07-28. Browser smoke on CP-001 confirmed the new headers, FE-318 parent total 0 / 6 / 8, allocation subrows Data &amp; Reporting 0 / 6 / 5 and Core Platform 0 / 0 / 3, no Feature-grid progress-bar node beyond the plan header bar, ID rendered as FE-318 without the type badge, and settings menu items Allocate / Remove from Plan only. Build passed with only the standard Vite chunk-size warning.</x:v>
      </x:c>
      <x:c r="L68" s="51" t="str">
        <x:v>Pass</x:v>
      </x:c>
      <x:c r="M68" s="51" t="str">
        <x:v>Pass / Not a Defect. DevInt order Dependencies, Rollup, Estimated, Complete is the C8-confirmed baseline.</x:v>
      </x:c>
      <x:c r="N68" s="51" t="str">
        <x:v>DevInt browser retest 2026-08-06; controlled P56-AUDIT data. Detail: 07_Testing Plan/Codex_audit_06_tracker.md &gt; Phase 5 DevInt Execution Results.</x:v>
      </x:c>
      <x:c r="O68" s="51" t="str">
        <x:v>Closed by BA decision C8. SRS/mockup corrected; no DEV reorder required.</x:v>
      </x:c>
      <x:c r="P68" s="51" t="str">
        <x:v>Codex — Workspace Admin</x:v>
      </x:c>
      <x:c r="Q68" s="51" t="str">
        <x:v>Confirmed C8 — Closed / Not a Defect</x:v>
      </x:c>
      <x:c r="R68" s="56" t="n">
        <x:v>46243</x:v>
      </x:c>
    </x:row>
    <x:row r="69">
      <x:c r="A69" s="45" t="str">
        <x:v>P5-CP-032</x:v>
      </x:c>
      <x:c r="B69" s="46" t="str">
        <x:v>Phase 5</x:v>
      </x:c>
      <x:c r="C69" s="46" t="str">
        <x:v>P5-CP - Capacity Planning</x:v>
      </x:c>
      <x:c r="D69" s="46" t="str">
        <x:v>P0</x:v>
      </x:c>
      <x:c r="E69" s="38" t="str">
        <x:v>Features tab quick Planned Team Assignment</x:v>
      </x:c>
      <x:c r="F6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9" s="38" t="str">
        <x:v>Project TEST; 1 Release; ít nhất 2 Teams; 3 Features; một Feature chưa gán Team; số Capacity/Estimate có thể tính tay.</x:v>
      </x:c>
      <x:c r="H6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a Feature from the Features tab so it is Unassigned, then choose a Team from Planned Team Assignment; add another Feature from Teams by Total; inspect both tabs.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9" s="38" t="str">
        <x:v>Planned Team Assignment, Teams by Total and Team Capacity rail use the same allocation ledger: zero Team = Not assigned, one Team = selected Team, split = N teams; Portfolio owning Team remains separate.</x:v>
      </x:c>
      <x:c r="J69" s="38" t="str">
        <x:v>Phase 5/02_Capacity_Planning/SRS.md</x:v>
      </x:c>
      <x:c r="K69" s="38" t="str">
        <x:v>Pass 2026-07-28. Browser smoke confirmed FE-315 showed the yellow ⚠ Not assigned combobox with Teams Core Platform, Identity &amp; Access, and Data &amp; Reporting; FE-318 stayed as 2 teams with split allocation subrows and no inline one-Team selector. Build passed with only the standard Vite chunk-size warning.</x:v>
      </x:c>
      <x:c r="L69" s="51" t="str">
        <x:v>Fail</x:v>
      </x:c>
      <x:c r="M69" s="51" t="str">
        <x:v>BA confirmed live 2026-08-14: Planned Team Assignment is inconsistent with allocation ledger/team rail.</x:v>
      </x:c>
      <x:c r="N69" s="51" t="str">
        <x:v>https://rally-dev.qnsc.vn/capacity-planning/41d10dd3-6392-47c0-8972-bc4e521d319e</x:v>
      </x:c>
      <x:c r="O69" s="51" t="str">
        <x:v>FE-2 Planned Team displays `Not assigned` while the same row shows Team Pegasus, estimate `Allocated 8`, and Team rail 8/30; the selector and allocation ledger disagree.</x:v>
      </x:c>
      <x:c r="P69" s="51" t="str">
        <x:v>Codex DevInt retest</x:v>
      </x:c>
      <x:c r="Q69" s="51" t="str">
        <x:v>Pending BA review</x:v>
      </x:c>
      <x:c r="R69" s="56" t="n">
        <x:v>46248</x:v>
      </x:c>
    </x:row>
    <x:row r="70">
      <x:c r="A70" s="45" t="str">
        <x:v>P5-CP-033</x:v>
      </x:c>
      <x:c r="B70" s="46" t="str">
        <x:v>Phase 5</x:v>
      </x:c>
      <x:c r="C70" s="46" t="str">
        <x:v>P5-CP - Capacity Planning</x:v>
      </x:c>
      <x:c r="D70" s="46" t="str">
        <x:v>P0</x:v>
      </x:c>
      <x:c r="E70" s="38" t="str">
        <x:v>Capacity Plan ranking, warnings and summary breakdown polish</x:v>
      </x:c>
      <x:c r="F7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0" s="38" t="str">
        <x:v>Project TEST; 1 Release; ít nhất 2 Teams; 3 Features; một Feature chưa gán Team; số Capacity/Estimate có thể tính tay.</x:v>
      </x:c>
      <x:c r="H7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Features, inspect Rank/Menu/Warnings, click Breakdown, and inspect the top-left Publish actions.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0" s="38" t="str">
        <x:v>Feature Rank displays dense list order 1..N; Feature settings menu includes Move up, Move down, Allocate, Remove from Plan; Publish actions button sits beside Back as a white square with blue vertical dots. Rollup warning appears when Rollup exceeds Estimated; Estimated warning appears when Preliminary, Refined and Allocated estimates are all missing; Team Capacity rail shows the same Team-level warning rules. Breakdown opens a plan-total panel with Complete/Rollup/Estimated/Capacity and the composite bar.</x:v>
      </x:c>
      <x:c r="J70" s="38" t="str">
        <x:v>Phase 5/02_Capacity_Planning/SRS.md</x:v>
      </x:c>
      <x:c r="K70" s="38" t="str">
        <x:v>Pass 2026-07-28. Browser smoke confirmed FE-318/FE-315 ranks displayed 1/2, FE-318 menu contained Move up, Move down, Allocate, Remove from Plan, Data &amp; Reporting showed Rollup exceeds Estimated in the Feature subrow and Team Capacity rail, Breakdown opened By Points with Complete/Rollup/Estimated/Capacity totals, and Publish actions rendered next to Back. Build passed with only the standard Vite chunk-size warning.</x:v>
      </x:c>
      <x:c r="L70" s="51" t="str">
        <x:v>Partial</x:v>
      </x:c>
      <x:c r="M70" s="51" t="str">
        <x:v>Drag/drop Rank, Allocate to Teams, Remove from Plan, Plan Actions placement and Breakdown are accepted. Warning branches remain pending P5-CP-029 and P5-CP-006 fixes.</x:v>
      </x:c>
      <x:c r="N70" s="51" t="str">
        <x:v>../Codex_audit_06_tracker.md; https://rally-dev.qnsc.vn/capacity-planning/41d10dd3-6392-47c0-8972-bc4e521d319e</x:v>
      </x:c>
      <x:c r="O70" s="51" t="str">
        <x:v>Retest only the remaining warning branches after upstream fixes.</x:v>
      </x:c>
      <x:c r="P70" s="51" t="str">
        <x:v>BA + Codex</x:v>
      </x:c>
      <x:c r="Q70" s="51" t="str">
        <x:v>BA confirmed Partial 2026-08-14</x:v>
      </x:c>
      <x:c r="R70" s="56" t="n">
        <x:v>46248</x:v>
      </x:c>
    </x:row>
    <x:row r="71">
      <x:c r="A71" s="45" t="str">
        <x:v>P5-CP-034</x:v>
      </x:c>
      <x:c r="B71" s="46" t="str">
        <x:v>Phase 5</x:v>
      </x:c>
      <x:c r="C71" s="46" t="str">
        <x:v>P5-CP - Capacity Planning</x:v>
      </x:c>
      <x:c r="D71" s="46" t="str">
        <x:v>P0</x:v>
      </x:c>
      <x:c r="E71" s="38" t="str">
        <x:v>Features-tab unassign and compact Breakdown refinement</x:v>
      </x:c>
      <x:c r="F7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1" s="38" t="str">
        <x:v>Project TEST; 1 Release; ít nhất 2 Teams; 3 Features; một Feature chưa gán Team; số Capacity/Estimate có thể tính tay.</x:v>
      </x:c>
      <x:c r="H7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Features, assign FE-315 to a Team, then choose Unassign; click Breakdown and inspect the panel plus Features tab header area.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1" s="38" t="str">
        <x:v>A one-Team Feature selector includes Unassign; selecting it clears the Team and returns the selector to yellow ⚠ Not assigned while keeping the allocation in the Plan. The Features tab no longer shows the separate intro/sort toolbar, but Add Feature remains. Breakdown rows for Complete, Rollup, Estimated and Capacity each show an aligned mini bar segment on the same scale as the top composite bar.</x:v>
      </x:c>
      <x:c r="J71" s="38" t="str">
        <x:v>Phase 5/02_Capacity_Planning/SRS.md</x:v>
      </x:c>
      <x:c r="K71" s="38" t="str">
        <x:v>Pass 2026-07-28. Browser smoke on CP-001 confirmed FE-315 selector options changed to Unassign after assigning Core Platform, and selecting the empty option returned value "", text ⚠ Not assigned, yellow background/border, and Team options intact. DOM smoke confirmed the removed intro/sort bar text was absent, Add Feature remained, and the By Points Breakdown panel had four metric rows with one aligned bar segment each. Build passed with only the standard Vite chunk-size warning.</x:v>
      </x:c>
      <x:c r="L71" s="51" t="str">
        <x:v>Pass</x:v>
      </x:c>
      <x:c r="M71" s="51" t="str">
        <x:v>Unassign clears Planned Team while keeping FE-2 in the plan; counts and estimate totals recalculate. Reassigning Pegasus restores prior values; Breakdown shows four aligned metric bars.</x:v>
      </x:c>
      <x:c r="N71" s="51" t="str">
        <x:v>../Codex_audit_06_tracker.md; https://rally-dev.qnsc.vn/capacity-planning/41d10dd3-6392-47c0-8972-bc4e521d319e</x:v>
      </x:c>
      <x:c r="O71" s="51" t="str">
        <x:v>No open gap in this retest.</x:v>
      </x:c>
      <x:c r="P71" s="51" t="str">
        <x:v>BA + Codex</x:v>
      </x:c>
      <x:c r="Q71" s="51" t="str">
        <x:v>BA confirmed Pass 2026-08-14</x:v>
      </x:c>
      <x:c r="R71" s="56" t="n">
        <x:v>46248</x:v>
      </x:c>
    </x:row>
    <x:row r="72">
      <x:c r="A72" s="45" t="str">
        <x:v>P5-CP-035</x:v>
      </x:c>
      <x:c r="B72" s="46" t="str">
        <x:v>Phase 5</x:v>
      </x:c>
      <x:c r="C72" s="46" t="str">
        <x:v>P5-CP - Capacity Planning</x:v>
      </x:c>
      <x:c r="D72" s="46" t="str">
        <x:v>P0</x:v>
      </x:c>
      <x:c r="E72" s="38" t="str">
        <x:v>Publish Release/date consistency</x:v>
      </x:c>
      <x:c r="F7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2" s="38" t="str">
        <x:v>Project TEST; 1 Release; ít nhất 2 Teams; 3 Features; một Feature chưa gán Team; số Capacity/Estimate có thể tính tay.</x:v>
      </x:c>
      <x:c r="H7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Draft, compare Plan planned start/end to selected Release dates; test both matching and mismatching dates, then choose Publish.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2" s="38" t="str">
        <x:v>Matching dates allow Feature Release/planned-date write. Mismatch does not silently overwrite Feature Release and returns a clear advisory result; Plan visibility may still become Published.</x:v>
      </x:c>
      <x:c r="J72" s="38" t="str">
        <x:v>Phase 5/02_Capacity_Planning/SRS.md</x:v>
      </x:c>
      <x:c r="K72" s="38" t="str">
        <x:v>DEV/QA acceptance coverage - production API behavior Not Run</x:v>
      </x:c>
      <x:c r="L72" s="51" t="str">
        <x:v>Blocked</x:v>
      </x:c>
      <x:c r="M72" s="51" t="str">
        <x:v>Full matching and mismatching Release-date publish requires a Feature assigned to a valid Team. Team setup cannot be completed because optional Team lead is rejected.</x:v>
      </x:c>
      <x:c r="N72" s="51" t="str">
        <x:v>DEVINT_RETEST_EXECUTION_PLAN_2026-08-14.md §8; https://rally-dev.qnsc.vn/settings</x:v>
      </x:c>
      <x:c r="O72" s="51" t="str">
        <x:v>Blocked by the Team creation defect; publish date-consistency branches remain untestable.</x:v>
      </x:c>
      <x:c r="P72" s="51" t="str">
        <x:v>Codex DevInt retest</x:v>
      </x:c>
      <x:c r="Q72" s="51" t="str">
        <x:v>Pending BA review</x:v>
      </x:c>
      <x:c r="R72" s="56" t="n">
        <x:v>46248</x:v>
      </x:c>
    </x:row>
    <x:row r="73">
      <x:c r="A73" s="45" t="str">
        <x:v>P5-CP-DEF-003</x:v>
      </x:c>
      <x:c r="B73" s="46" t="str">
        <x:v>Phase 5</x:v>
      </x:c>
      <x:c r="C73" s="46" t="str">
        <x:v>P5-CP - Capacity Planning</x:v>
      </x:c>
      <x:c r="D73" s="46" t="str">
        <x:v>P0</x:v>
      </x:c>
      <x:c r="E73" s="38" t="str">
        <x:v>DEFECT - allocation added but row invisible</x:v>
      </x:c>
      <x:c r="F73" s="38" t="str">
        <x:v>DevInt truy cập được và không có lỗi tải trang nghiêm trọng.
Đăng nhập bằng đúng role nêu trong case; nếu case không nêu role thì dùng Workspace Admin.</x:v>
      </x:c>
      <x:c r="G73" s="38" t="str">
        <x:v>Project TEST; 1 Release; ít nhất 2 Teams; 3 Features; một Feature chưa gán Team; số Capacity/Estimate có thể tính tay.</x:v>
      </x:c>
      <x:c r="H7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a Feature whose Release does not match the plan Release to a Team, then look at that Team's expanded Feature list.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3" s="38" t="str">
        <x:v>The added allocation must render a row</x:v>
      </x:c>
      <x:c r="J73" s="38" t="str">
        <x:v>Phase 5/02_Capacity_Planning/SRS.md</x:v>
      </x:c>
      <x:c r="K73" s="38" t="str">
        <x:v>Found and fixed 2026-07-27, introduced by the P5-CP-020 change. Widening the picker to all Project Features let a non-Release-matching Feature (FE-308, Q2 2025) be added, but every display lookup still resolved the Feature through eligibleFeatures, which excludes it - so getPlanFeature returned undefined and the row was silently dropped while the allocation still counted in the Team's Features total. Observed as Core Platform reporting Features 3 with only 2 rows rendered. Fixed by resolving all five display lookups against the full Feature list instead of the eligibility-filtered one, with a comment on getPlanFeature recording why an eligibility-filtered list must never be passed there; eligibleFeatures still governs what the plan-level picker offers. Re-verified: FE-308 now renders as a real row (rank 4, value 0) and the Team's Features count matches the rows shown</x:v>
      </x:c>
      <x:c r="L73" s="51" t="str">
        <x:v>Blocked</x:v>
      </x:c>
      <x:c r="M73" s="51" t="str">
        <x:v>A mismatched-Release allocation cannot be added to a Team until valid Team setup works. The required allocation row cannot be produced safely.</x:v>
      </x:c>
      <x:c r="N73" s="51" t="str">
        <x:v>DEVINT_RETEST_EXECUTION_PLAN_2026-08-14.md §8; https://rally-dev.qnsc.vn/settings</x:v>
      </x:c>
      <x:c r="O73" s="51" t="str">
        <x:v>Blocked by the Team creation defect; retest row visibility after Team setup is fixed.</x:v>
      </x:c>
      <x:c r="P73" s="51" t="str">
        <x:v>Codex DevInt retest</x:v>
      </x:c>
      <x:c r="Q73" s="51" t="str">
        <x:v>Pending BA review</x:v>
      </x:c>
      <x:c r="R73" s="56" t="n">
        <x:v>46248</x:v>
      </x:c>
    </x:row>
    <x:row r="74">
      <x:c r="A74" s="45" t="str">
        <x:v>P5-CP-DEF-002</x:v>
      </x:c>
      <x:c r="B74" s="46" t="str">
        <x:v>Phase 5</x:v>
      </x:c>
      <x:c r="C74" s="46" t="str">
        <x:v>P5-CP - Capacity Planning</x:v>
      </x:c>
      <x:c r="D74" s="46" t="str">
        <x:v>P2</x:v>
      </x:c>
      <x:c r="E74" s="38" t="str">
        <x:v>DEFECT - Team sort unavailable on lifecycle read-only plan</x:v>
      </x:c>
      <x:c r="F74"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74" s="38" t="str">
        <x:v>Project TEST; 1 Release; ít nhất 2 Teams; 3 Features; một Feature chưa gán Team; số Capacity/Estimate có thể tính tay.</x:v>
      </x:c>
      <x:c r="H74" s="38" t="str">
        <x:v>1. Open a Published plan as Workspace Admin or assigned-Project Admin.
2. Open Teams by Total.
3. Confirm Sort remains available while mutating controls remain absent.
4. Change sort and confirm it is applied/retained.</x:v>
      </x:c>
      <x:c r="I74" s="38" t="str">
        <x:v>Sorting remains available in Published read-only lifecycle state even though plan mutation is blocked.</x:v>
      </x:c>
      <x:c r="J74" s="38" t="str">
        <x:v>Phase 5/02_Capacity_Planning/SRS.md</x:v>
      </x:c>
      <x:c r="K74" s="38" t="str">
        <x:v>Fixed and verified 2026-07-27 (found 2026-07-27, pre-existing; not caused by the graded-permission change). Cause: the Sort select sat inside the editable-gated action bar at CapacityPlanningPage.tsx:636 alongside Add Team and Calculate Capacity Forecast, so it vanished whenever the plan was not editable, while the Features tab kept its own sort in the same states. Fix: the action bar now always renders on the Teams by Total tab and only the two mutating buttons carry the editable gate; the ml-auto on the Sort label keeps it right-aligned when those buttons are absent. Verified in both read-only paths - Published plan as Workspace Admin, and Draft plan as Project Admin with planner View - Sort renders, changing it to Capacity is accepted and retained, and Add Team/Calculate Capacity Forecast stay correctly hidden. Removes the read-only gap this had opened in P5-CP-014</x:v>
      </x:c>
      <x:c r="L74" s="51" t="str">
        <x:v>Pass</x:v>
      </x:c>
      <x:c r="M74" s="51" t="str">
        <x:v>Pass. Teams sorting controls remained visible in Published read-only state.</x:v>
      </x:c>
      <x:c r="N74" s="51" t="str">
        <x:v>DevInt browser retest 2026-08-06; controlled P56-AUDIT data. Detail: 07_Testing Plan/Codex_audit_06_tracker.md &gt; Phase 5 DevInt Execution Results.</x:v>
      </x:c>
      <x:c r="O74" s="51" t="str">
        <x:v>Historical role-specific evidence is superseded; lifecycle read-only verification remains valid.</x:v>
      </x:c>
      <x:c r="P74" s="51" t="str">
        <x:v>Codex — Workspace Admin</x:v>
      </x:c>
      <x:c r="Q74" s="51" t="str">
        <x:v>Pending BA confirmation</x:v>
      </x:c>
      <x:c r="R74" s="56" t="n">
        <x:v>46240</x:v>
      </x:c>
    </x:row>
    <x:row r="75">
      <x:c r="A75" s="45" t="str">
        <x:v>P5-RP-001</x:v>
      </x:c>
      <x:c r="B75" s="46" t="str">
        <x:v>Phase 5</x:v>
      </x:c>
      <x:c r="C75" s="46" t="str">
        <x:v>P5-RP - Release Planning</x:v>
      </x:c>
      <x:c r="D75" s="46" t="str">
        <x:v>P1</x:v>
      </x:c>
      <x:c r="E75" s="38" t="str">
        <x:v>Release Planning deferred gate</x:v>
      </x:c>
      <x:c r="F75" s="38" t="str">
        <x:v>DevInt truy cập được và không có lỗi tải trang nghiêm trọng.
Đăng nhập bằng đúng role nêu trong case; nếu case không nêu role thì dùng Workspace Admin.</x:v>
      </x:c>
      <x:c r="G75" s="38" t="str">
        <x:v>Project TEST; Release, Milestone và Iteration có ngày rõ ràng; dùng prefix P56-AUDIT.</x:v>
      </x:c>
      <x:c r="H75" s="38" t="str">
        <x:v>1. Mở https://rally-dev.qnsc.vn/ và xác nhận đúng tài khoản/role của case.
2. Chọn Workspace/Project/Team theo Test Data; ghi lại scope trước khi thao tác.
3. Mở P5-RP - Release Planning; chụp trạng thái ban đầu nếu case liên quan UI, số liệu hoặc quyền.
4. Thực hiện nghiệp vụ: Inspect the closed Phase 5 scope and active Portfolio navigation.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5" s="38" t="str">
        <x:v>Release Planning is not part of the closed Phase 5 MVP and remains Future Backlog</x:v>
      </x:c>
      <x:c r="J75" s="38" t="str">
        <x:v>Phase 5/PHASE5_DEV_HANDOFF.md</x:v>
      </x:c>
      <x:c r="K75" s="38" t="str">
        <x:v>Superseded / Not applicable to Phase 5 close</x:v>
      </x:c>
      <x:c r="L75" s="51" t="str">
        <x:v>Future Backlog</x:v>
      </x:c>
      <x:c r="M75" s="51" t="str">
        <x:v>BA decision 2026-08-15: Release Planning remains deferred and is not an active acceptance gate.</x:v>
      </x:c>
      <x:c r="N75" s="51" t="str">
        <x:v>DevInt browser retest 2026-08-06; controlled P56-AUDIT data. Detail: 07_Testing Plan/Codex_audit_06_tracker.md &gt; Phase 5 DevInt Execution Results.</x:v>
      </x:c>
      <x:c r="O75" s="51" t="str">
        <x:v>No current test or DEV action. Execute only if BA reopens this Future Backlog scope.</x:v>
      </x:c>
      <x:c r="P75" s="51" t="str">
        <x:v>Codex — Workspace Admin</x:v>
      </x:c>
      <x:c r="Q75" s="51" t="str">
        <x:v>Confirmed Future Backlog 2026-08-15</x:v>
      </x:c>
      <x:c r="R75" s="56" t="n">
        <x:v>46249</x:v>
      </x:c>
    </x:row>
    <x:row r="76">
      <x:c r="A76" s="45" t="str">
        <x:v>P5-CLOSE-001</x:v>
      </x:c>
      <x:c r="B76" s="46" t="str">
        <x:v>Phase 5</x:v>
      </x:c>
      <x:c r="C76" s="46" t="str">
        <x:v>P5-CLOSE - Phase Closeout</x:v>
      </x:c>
      <x:c r="D76" s="46" t="str">
        <x:v>P0</x:v>
      </x:c>
      <x:c r="E76" s="38" t="str">
        <x:v>Closed scope consistency</x:v>
      </x:c>
      <x:c r="F76" s="38" t="str">
        <x:v>DevInt truy cập được và không có lỗi tải trang nghiêm trọng.
Đăng nhập bằng đúng role nêu trong case; nếu case không nêu role thì dùng Workspace Admin.</x:v>
      </x:c>
      <x:c r="G76" s="38" t="str">
        <x:v>Dùng dữ liệu test riêng trong Project TEST. Nếu chưa có dữ liệu bắt buộc, ghi Blocked và nêu rõ dữ liệu còn thiếu.</x:v>
      </x:c>
      <x:c r="H76"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Compare Portfolio/Capacity SRS, Phase tracker, source of truth, Product Plan and DEV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6" s="38" t="str">
        <x:v>Every source closes P5.1/P5.2, excludes Release Planning/Tracking and identifies Reports only as Future Backlog</x:v>
      </x:c>
      <x:c r="J76" s="38" t="str">
        <x:v>Phase 5/PHASE5_DEV_HANDOFF.md</x:v>
      </x:c>
      <x:c r="K76" s="38" t="str">
        <x:v>Pass 2026-07-28</x:v>
      </x:c>
      <x:c r="L76" s="51" t="str">
        <x:v>Pass</x:v>
      </x:c>
      <x:c r="M76" s="51" t="str">
        <x:v>Pass. DevInt behavior matched the Expected Result for the tested branch; prior approved evidence was retained where applicable.</x:v>
      </x:c>
      <x:c r="N76" s="51" t="str">
        <x:v>DevInt browser retest 2026-08-06; controlled P56-AUDIT data. Detail: 07_Testing Plan/Codex_audit_06_tracker.md &gt; Phase 5 DevInt Execution Results.</x:v>
      </x:c>
      <x:c r="O76" s="51"/>
      <x:c r="P76" s="51" t="str">
        <x:v>Codex — Workspace Admin</x:v>
      </x:c>
      <x:c r="Q76" s="51" t="str">
        <x:v>Pending BA confirmation</x:v>
      </x:c>
      <x:c r="R76" s="56" t="n">
        <x:v>46240</x:v>
      </x:c>
    </x:row>
    <x:row r="77">
      <x:c r="A77" s="45" t="str">
        <x:v>P5-CLOSE-002</x:v>
      </x:c>
      <x:c r="B77" s="46" t="str">
        <x:v>Phase 5</x:v>
      </x:c>
      <x:c r="C77" s="46" t="str">
        <x:v>P5-CLOSE - Phase Closeout</x:v>
      </x:c>
      <x:c r="D77" s="46" t="str">
        <x:v>P0</x:v>
      </x:c>
      <x:c r="E77" s="38" t="str">
        <x:v>Dedicated developer handoff</x:v>
      </x:c>
      <x:c r="F77" s="38" t="str">
        <x:v>DevInt truy cập được và không có lỗi tải trang nghiêm trọng.
Đăng nhập bằng đúng role nêu trong case; nếu case không nêu role thì dùng Workspace Admin.</x:v>
      </x:c>
      <x:c r="G77" s="38" t="str">
        <x:v>Dùng dữ liệu test riêng trong Project TEST. Nếu chưa có dữ liệu bắt buộc, ghi Blocked và nêu rõ dữ liệu còn thiếu.</x:v>
      </x:c>
      <x:c r="H77"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Open ../../04_Developement_tracking/Phase 5/PHASE5_DEV_HANDOFF.md.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7" s="38" t="str">
        <x:v>Handoff defines scope, hierarchy, formulas, lifecycle, buttons, access boundary, integration, implementation order and production gaps</x:v>
      </x:c>
      <x:c r="J77" s="38" t="str">
        <x:v>Phase 5/PHASE5_DEV_HANDOFF.md</x:v>
      </x:c>
      <x:c r="K77" s="38" t="str">
        <x:v>Pass 2026-07-28</x:v>
      </x:c>
      <x:c r="L77" s="51" t="str">
        <x:v>Pass</x:v>
      </x:c>
      <x:c r="M77" s="51" t="str">
        <x:v>Pass. DevInt behavior matched the Expected Result for the tested branch; prior approved evidence was retained where applicable.</x:v>
      </x:c>
      <x:c r="N77" s="51" t="str">
        <x:v>DevInt browser retest 2026-08-06; controlled P56-AUDIT data. Detail: 07_Testing Plan/Codex_audit_06_tracker.md &gt; Phase 5 DevInt Execution Results.</x:v>
      </x:c>
      <x:c r="O77" s="51"/>
      <x:c r="P77" s="51" t="str">
        <x:v>Codex — Workspace Admin</x:v>
      </x:c>
      <x:c r="Q77" s="51" t="str">
        <x:v>Pending BA confirmation</x:v>
      </x:c>
      <x:c r="R77" s="56" t="n">
        <x:v>46240</x:v>
      </x:c>
    </x:row>
    <x:row r="78">
      <x:c r="A78" s="45" t="str">
        <x:v>P5-CLOSE-003</x:v>
      </x:c>
      <x:c r="B78" s="46" t="str">
        <x:v>Phase 5</x:v>
      </x:c>
      <x:c r="C78" s="46" t="str">
        <x:v>P5-CLOSE - Phase Closeout</x:v>
      </x:c>
      <x:c r="D78" s="46" t="str">
        <x:v>P0</x:v>
      </x:c>
      <x:c r="E78" s="38" t="str">
        <x:v>Build verification</x:v>
      </x:c>
      <x:c r="F78" s="38" t="str">
        <x:v>DevInt truy cập được và không có lỗi tải trang nghiêm trọng.
Đăng nhập bằng đúng role nêu trong case; nếu case không nêu role thì dùng Workspace Admin.</x:v>
      </x:c>
      <x:c r="G78" s="38" t="str">
        <x:v>Dùng dữ liệu test riêng trong Project TEST. Nếu chưa có dữ liệu bắt buộc, ghi Blocked và nêu rõ dữ liệu còn thiếu.</x:v>
      </x:c>
      <x:c r="H78"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Run npm.cmd run build in 03_Mockup Design.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8" s="38" t="str">
        <x:v>Production build succeeds; any non-blocking warning is recorded</x:v>
      </x:c>
      <x:c r="J78" s="38" t="str">
        <x:v>Phase 5/PHASE5_DEV_HANDOFF.md</x:v>
      </x:c>
      <x:c r="K78" s="38" t="str">
        <x:v>Pass 2026-07-28; existing Vite chunk-size warning only</x:v>
      </x:c>
      <x:c r="L78" s="51" t="str">
        <x:v>Pass</x:v>
      </x:c>
      <x:c r="M78" s="51" t="str">
        <x:v>Pass. DevInt behavior matched the Expected Result for the tested branch; prior approved evidence was retained where applicable.</x:v>
      </x:c>
      <x:c r="N78" s="51" t="str">
        <x:v>DevInt browser retest 2026-08-06; controlled P56-AUDIT data. Detail: 07_Testing Plan/Codex_audit_06_tracker.md &gt; Phase 5 DevInt Execution Results.</x:v>
      </x:c>
      <x:c r="O78" s="51"/>
      <x:c r="P78" s="51" t="str">
        <x:v>Codex — Workspace Admin</x:v>
      </x:c>
      <x:c r="Q78" s="51" t="str">
        <x:v>Pending BA confirmation</x:v>
      </x:c>
      <x:c r="R78" s="56" t="n">
        <x:v>46240</x:v>
      </x:c>
    </x:row>
    <x:row r="79">
      <x:c r="A79" s="45" t="str">
        <x:v>P5-CLOSE-004</x:v>
      </x:c>
      <x:c r="B79" s="46" t="str">
        <x:v>Phase 5</x:v>
      </x:c>
      <x:c r="C79" s="46" t="str">
        <x:v>P5-CLOSE - Phase Closeout</x:v>
      </x:c>
      <x:c r="D79" s="46" t="str">
        <x:v>P0</x:v>
      </x:c>
      <x:c r="E79" s="38" t="str">
        <x:v>Readiness boundary</x:v>
      </x:c>
      <x:c r="F79" s="38" t="str">
        <x:v>DevInt truy cập được và không có lỗi tải trang nghiêm trọng.
Đăng nhập bằng đúng role nêu trong case; nếu case không nêu role thì dùng Workspace Admin.</x:v>
      </x:c>
      <x:c r="G79" s="38" t="str">
        <x:v>Dùng dữ liệu test riêng trong Project TEST. Nếu chưa có dữ liệu bắt buộc, ghi Blocked và nêu rõ dữ liệu còn thiếu.</x:v>
      </x:c>
      <x:c r="H79"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Review close labels in tracker, source and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9" s="38" t="str">
        <x:v>Documents state BA/mockup closed and DEV handoff ready, while persistence/API/server authorization/deployment remain not started</x:v>
      </x:c>
      <x:c r="J79" s="38" t="str">
        <x:v>Phase 5/PHASE5_DEV_HANDOFF.md</x:v>
      </x:c>
      <x:c r="K79" s="38" t="str">
        <x:v>Pass 2026-07-28</x:v>
      </x:c>
      <x:c r="L79" s="51" t="str">
        <x:v>Pass</x:v>
      </x:c>
      <x:c r="M79" s="51" t="str">
        <x:v>Pass. DevInt behavior matched the Expected Result for the tested branch; prior approved evidence was retained where applicable.</x:v>
      </x:c>
      <x:c r="N79" s="51" t="str">
        <x:v>DevInt browser retest 2026-08-06; controlled P56-AUDIT data. Detail: 07_Testing Plan/Codex_audit_06_tracker.md &gt; Phase 5 DevInt Execution Results.</x:v>
      </x:c>
      <x:c r="O79" s="51"/>
      <x:c r="P79" s="51" t="str">
        <x:v>Codex — Workspace Admin</x:v>
      </x:c>
      <x:c r="Q79" s="51" t="str">
        <x:v>Pending BA confirmation</x:v>
      </x:c>
      <x:c r="R79" s="56" t="n">
        <x:v>46240</x:v>
      </x:c>
    </x:row>
    <x:row r="80">
      <x:c r="A80" s="45"/>
      <x:c r="B80" s="46"/>
      <x:c r="C80" s="46"/>
      <x:c r="D80" s="46"/>
      <x:c r="E80" s="38"/>
      <x:c r="F80" s="38"/>
      <x:c r="G80" s="38"/>
      <x:c r="H80" s="38"/>
      <x:c r="I80" s="38"/>
      <x:c r="J80" s="38"/>
      <x:c r="K80" s="38"/>
      <x:c r="L80" s="51"/>
      <x:c r="M80" s="51"/>
      <x:c r="N80" s="51"/>
      <x:c r="O80" s="51"/>
      <x:c r="P80" s="51"/>
      <x:c r="Q80" s="51"/>
      <x:c r="R80" s="56"/>
    </x:row>
    <x:row r="81">
      <x:c r="A81" s="45"/>
      <x:c r="B81" s="46"/>
      <x:c r="C81" s="46"/>
      <x:c r="D81" s="46"/>
      <x:c r="E81" s="38"/>
      <x:c r="F81" s="38"/>
      <x:c r="G81" s="38"/>
      <x:c r="H81" s="38"/>
      <x:c r="I81" s="38"/>
      <x:c r="J81" s="38"/>
      <x:c r="K81" s="38"/>
      <x:c r="L81" s="51"/>
      <x:c r="M81" s="51"/>
      <x:c r="N81" s="51"/>
      <x:c r="O81" s="51"/>
      <x:c r="P81" s="51"/>
      <x:c r="Q81" s="51"/>
      <x:c r="R81" s="56"/>
    </x:row>
    <x:row r="82">
      <x:c r="A82" s="47"/>
      <x:c r="B82" s="48"/>
      <x:c r="C82" s="48"/>
      <x:c r="D82" s="48"/>
      <x:c r="E82" s="41"/>
      <x:c r="F82" s="41"/>
      <x:c r="G82" s="41"/>
      <x:c r="H82" s="41"/>
      <x:c r="I82" s="41"/>
      <x:c r="J82" s="41"/>
      <x:c r="K82" s="41"/>
      <x:c r="L82" s="53"/>
      <x:c r="M82" s="53"/>
      <x:c r="N82" s="53"/>
      <x:c r="O82" s="53"/>
      <x:c r="P82" s="53"/>
      <x:c r="Q82" s="53"/>
      <x:c r="R82" s="57"/>
    </x:row>
  </x:sheetData>
  <x:mergeCells>
    <x:mergeCell ref="A1:R1"/>
    <x:mergeCell ref="A2:R2"/>
  </x:mergeCells>
  <x:dataValidations count="2">
    <x:dataValidation type="list" sqref="L5:L82">
      <x:formula1>"Not Run,Pass,Partial,Fail,Blocked,Future Backlog,Not Required"</x:formula1>
    </x:dataValidation>
    <x:dataValidation type="list" sqref="Q5:Q82">
      <x:formula1>"Pending,Confirmed,Needs Discussion"</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Phase 6 Production Audit</x:v>
      </x:c>
      <x:c r="B1" s="4"/>
      <x:c r="C1" s="4"/>
      <x:c r="D1" s="4"/>
      <x:c r="E1" s="4"/>
      <x:c r="F1" s="4"/>
      <x:c r="G1" s="4"/>
      <x:c r="H1" s="4"/>
      <x:c r="I1" s="4"/>
      <x:c r="J1" s="4"/>
      <x:c r="K1" s="4"/>
      <x:c r="L1" s="4"/>
      <x:c r="M1" s="4"/>
      <x:c r="N1" s="4"/>
      <x:c r="O1" s="4"/>
      <x:c r="P1" s="4"/>
      <x:c r="Q1" s="4"/>
      <x:c r="R1" s="4"/>
    </x:row>
    <x:row r="2" ht="34" customHeight="1">
      <x:c r="A2" s="8" t="str">
        <x:v>53 Release Tracking and Reports scenarios generated from the approved SRS.</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P6-COM-001</x:v>
      </x:c>
      <x:c r="B5" s="44" t="str">
        <x:v>Phase 6</x:v>
      </x:c>
      <x:c r="C5" s="44" t="str">
        <x:v>A. Navigation, scope and common behavior</x:v>
      </x:c>
      <x:c r="D5" s="44" t="str">
        <x:v>P0</x:v>
      </x:c>
      <x:c r="E5" s="35" t="str">
        <x:v>Open Portfolio menu</x:v>
      </x:c>
      <x:c r="F5" s="35" t="str">
        <x:v>DevInt truy cập được và không có lỗi tải trang nghiêm trọng.
Đăng nhập bằng đúng role nêu trong case; nếu case không nêu role thì dùng Workspace Admin.</x:v>
      </x:c>
      <x:c r="G5" s="35" t="str">
        <x:v>Dùng dữ liệu test riêng trong Project TEST. Nếu chưa có dữ liệu bắt buộc, ghi Blocked và nêu rõ dữ liệu còn thiếu.</x:v>
      </x:c>
      <x:c r="H5" s="35" t="str">
        <x:v>1. Mở https://rally-dev.qnsc.vn/ và xác nhận đúng tài khoản/role của case.
2. Chọn Workspace/Project/Team theo Test Data; ghi lại scope trước khi thao tác.
3. Mở Portfolio menu; chụp trạng thái ban đầu nếu case liên quan UI, số liệu hoặc quyền.
4. Thực hiện nghiệp vụ: Open Portfolio menu.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 s="35" t="str">
        <x:v>Order is Portfolio Items, Capacity Planning, Release Tracking; Release Tracking is last</x:v>
      </x:c>
      <x:c r="J5" s="35" t="str">
        <x:v>Phase 6/PHASE6_REPORTS_BUSINESS_AND_DATA_CONTRACT.md</x:v>
      </x:c>
      <x:c r="K5" s="35" t="str">
        <x:v>Codex inventory 2026-08-05 - Pass: Portfolio menu order matches approved contract.</x:v>
      </x:c>
      <x:c r="L5" s="49" t="str">
        <x:v>Pass</x:v>
      </x:c>
      <x:c r="M5" s="49" t="str">
        <x:v>Portfolio menu order is Portfolio Items, Capacity Planning, Release Tracking.</x:v>
      </x:c>
      <x:c r="N5" s="49" t="str">
        <x:v>../Codex_audit_06_tracker.md</x:v>
      </x:c>
      <x:c r="O5" s="49"/>
      <x:c r="P5" s="49" t="str">
        <x:v>Codex</x:v>
      </x:c>
      <x:c r="Q5" s="49" t="str">
        <x:v>Pending BA confirmation</x:v>
      </x:c>
      <x:c r="R5" s="55" t="n">
        <x:v>46240</x:v>
      </x:c>
    </x:row>
    <x:row r="6">
      <x:c r="A6" s="45" t="str">
        <x:v>P6-COM-002</x:v>
      </x:c>
      <x:c r="B6" s="46" t="str">
        <x:v>Phase 6</x:v>
      </x:c>
      <x:c r="C6" s="46" t="str">
        <x:v>A. Navigation, scope and common behavior</x:v>
      </x:c>
      <x:c r="D6" s="46" t="str">
        <x:v>P0</x:v>
      </x:c>
      <x:c r="E6" s="38" t="str">
        <x:v>Open Reports and inspect Type</x:v>
      </x:c>
      <x:c r="F6" s="38" t="str">
        <x:v>DevInt truy cập được và không có lỗi tải trang nghiêm trọng.
Đăng nhập bằng đúng role nêu trong case; nếu case không nêu role thì dùng Workspace Admin.</x:v>
      </x:c>
      <x:c r="G6" s="38" t="str">
        <x:v>Dùng dữ liệu test riêng trong Project TEST. Nếu chưa có dữ liệu bắt buộc, ghi Blocked và nêu rõ dữ liệu còn thiếu.</x:v>
      </x:c>
      <x:c r="H6" s="38" t="str">
        <x:v>1. Mở https://rally-dev.qnsc.vn/ và xác nhận đúng tài khoản/role của case.
2. Chọn Workspace/Project/Team theo Test Data; ghi lại scope trước khi thao tác.
3. Mở Reports; chụp trạng thái ban đầu nếu case liên quan UI, số liệu hoặc quyền.
4. Thực hiện nghiệp vụ: Open Reports and inspect Type.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 s="38" t="str">
        <x:v>Exactly Iteration Burndown, Velocity and Team Capacity are available</x:v>
      </x:c>
      <x:c r="J6" s="38" t="str">
        <x:v>Phase 6/PHASE6_REPORTS_BUSINESS_AND_DATA_CONTRACT.md</x:v>
      </x:c>
      <x:c r="K6" s="38" t="str">
        <x:v>Codex inventory 2026-08-05 - Pass: Reports exposes exactly the three approved report types.</x:v>
      </x:c>
      <x:c r="L6" s="51" t="str">
        <x:v>Pass</x:v>
      </x:c>
      <x:c r="M6" s="51" t="str">
        <x:v>Type contains exactly Iteration Burndown, Velocity and Team Capacity.</x:v>
      </x:c>
      <x:c r="N6" s="51" t="str">
        <x:v>../Codex_audit_06_tracker.md</x:v>
      </x:c>
      <x:c r="O6" s="51"/>
      <x:c r="P6" s="51" t="str">
        <x:v>Codex</x:v>
      </x:c>
      <x:c r="Q6" s="51" t="str">
        <x:v>Pending BA confirmation</x:v>
      </x:c>
      <x:c r="R6" s="56" t="n">
        <x:v>46240</x:v>
      </x:c>
    </x:row>
    <x:row r="7">
      <x:c r="A7" s="45" t="str">
        <x:v>P6-COM-003</x:v>
      </x:c>
      <x:c r="B7" s="46" t="str">
        <x:v>Phase 6</x:v>
      </x:c>
      <x:c r="C7" s="46" t="str">
        <x:v>A. Navigation, scope and common behavior</x:v>
      </x:c>
      <x:c r="D7" s="46" t="str">
        <x:v>P0</x:v>
      </x:c>
      <x:c r="E7" s="38" t="str">
        <x:v>Switch global Project/Team context</x:v>
      </x:c>
      <x:c r="F7" s="38" t="str">
        <x:v>DevInt truy cập được và không có lỗi tải trang nghiêm trọng.
Đăng nhập bằng đúng role nêu trong case; nếu case không nêu role thì dùng Workspace Admin.</x:v>
      </x:c>
      <x:c r="G7" s="38" t="str">
        <x:v>Project TEST; một Team có member và một Team không có member; Team Lead để trống khi case yêu cầu.</x:v>
      </x:c>
      <x:c r="H7" s="38" t="str">
        <x:v>1. Mở https://rally-dev.qnsc.vn/ và xác nhận đúng tài khoản/role của case.
2. Chọn Workspace/Project/Team theo Test Data; ghi lại scope trước khi thao tác.
3. Mở global Workspace / Project / Team selectors; chụp trạng thái ban đầu nếu case liên quan UI, số liệu hoặc quyền.
4. Thực hiện nghiệp vụ: Switch global Project/Team context.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 s="38" t="str">
        <x:v>Every summary, row and chart uses the new scope; no duplicate page Project/Team filter</x:v>
      </x:c>
      <x:c r="J7" s="38" t="str">
        <x:v>Phase 6/PHASE6_REPORTS_BUSINESS_AND_DATA_CONTRACT.md</x:v>
      </x:c>
      <x:c r="K7" s="38" t="str">
        <x:v>Codex inventory 2026-08-05 - Blocked: Only All Teams with no Team-linked data is available.</x:v>
      </x:c>
      <x:c r="L7" s="51" t="str">
        <x:v>Pass</x:v>
      </x:c>
      <x:c r="M7" s="51" t="str">
        <x:v>All Teams -&gt; Pegasus updates Team Capacity scope and no duplicate local Project/Team filter appears.</x:v>
      </x:c>
      <x:c r="N7" s="51" t="str">
        <x:v>../Codex_audit_06_tracker.md</x:v>
      </x:c>
      <x:c r="O7" s="51"/>
      <x:c r="P7" s="51" t="str">
        <x:v>Codex</x:v>
      </x:c>
      <x:c r="Q7" s="51" t="str">
        <x:v>Pending BA confirmation</x:v>
      </x:c>
      <x:c r="R7" s="56" t="n">
        <x:v>46240</x:v>
      </x:c>
    </x:row>
    <x:row r="8">
      <x:c r="A8" s="45" t="str">
        <x:v>P6-COM-004</x:v>
      </x:c>
      <x:c r="B8" s="46" t="str">
        <x:v>Phase 6</x:v>
      </x:c>
      <x:c r="C8" s="46" t="str">
        <x:v>A. Navigation, scope and common behavior</x:v>
      </x:c>
      <x:c r="D8" s="46" t="str">
        <x:v>P0</x:v>
      </x:c>
      <x:c r="E8" s="38" t="str">
        <x:v>Current Phase 6 access enforcement</x:v>
      </x:c>
      <x:c r="F8" s="38" t="str">
        <x:v>Workspace Admin, assigned-Project Admin, Editor and one unassigned Project are available.</x:v>
      </x:c>
      <x:c r="G8" s="38" t="str">
        <x:v>Dùng dữ liệu test riêng trong Project TEST. Nếu chưa có dữ liệu bắt buộc, ghi Blocked và nêu rõ dữ liệu còn thiếu.</x:v>
      </x:c>
      <x:c r="H8" s="38" t="str">
        <x:v>1. Open Release Tracking and each Report as Workspace Admin.
2. Repeat as assigned-Project Admin.
3. As Editor, inspect navigation and open routes directly.
4. Try an unassigned Project and record safe denied behavior.</x:v>
      </x:c>
      <x:c r="I8" s="38" t="str">
        <x:v>Workspace Admin and assigned-Project Admin can use Phase 6 surfaces; Editor and unassigned users cannot open them; no data leaks through direct URLs.</x:v>
      </x:c>
      <x:c r="J8" s="38" t="str">
        <x:v>Phase 6/PHASE6_REPORTS_BUSINESS_AND_DATA_CONTRACT.md</x:v>
      </x:c>
      <x:c r="K8" s="38" t="str">
        <x:v>Superseded by approved Project access baseline 2026-08-14; previous permission result cannot be reused.</x:v>
      </x:c>
      <x:c r="L8" s="51" t="str">
        <x:v>Partial</x:v>
      </x:c>
      <x:c r="M8" s="51" t="str">
        <x:v>Workspace Admin can open Release Tracking and all three Reports. No Admin, Editor or unassigned login is available for authorization boundaries.</x:v>
      </x:c>
      <x:c r="N8" s="51" t="str">
        <x:v>https://rally-dev.qnsc.vn/reports</x:v>
      </x:c>
      <x:c r="O8" s="51" t="str">
        <x:v>Workspace Admin can open Release Tracking and all three Reports. No Admin, Editor or unassigned login is available for authorization boundaries.</x:v>
      </x:c>
      <x:c r="P8" s="51" t="str">
        <x:v>Codex DevInt retest</x:v>
      </x:c>
      <x:c r="Q8" s="51" t="str">
        <x:v>Pending BA review</x:v>
      </x:c>
      <x:c r="R8" s="56" t="n">
        <x:v>46248</x:v>
      </x:c>
    </x:row>
    <x:row r="9">
      <x:c r="A9" s="45" t="str">
        <x:v>P6-COM-005</x:v>
      </x:c>
      <x:c r="B9" s="46" t="str">
        <x:v>Phase 6</x:v>
      </x:c>
      <x:c r="C9" s="46" t="str">
        <x:v>A. Navigation, scope and common behavior</x:v>
      </x:c>
      <x:c r="D9" s="46" t="str">
        <x:v>P1</x:v>
      </x:c>
      <x:c r="E9" s="38" t="str">
        <x:v>Open each Phase 6 route with empty valid scope</x:v>
      </x:c>
      <x:c r="F9" s="38" t="str">
        <x:v>DevInt truy cập được và không có lỗi tải trang nghiêm trọng.
Đăng nhập bằng đúng role nêu trong case; nếu case không nêu role thì dùng Workspace Admin.</x:v>
      </x:c>
      <x:c r="G9" s="38" t="str">
        <x:v>Dùng dữ liệu test riêng trong Project TEST. Nếu chưa có dữ liệu bắt buộc, ghi Blocked và nêu rõ dữ liệu còn thiếu.</x:v>
      </x:c>
      <x:c r="H9" s="38" t="str">
        <x:v>1. Mở https://rally-dev.qnsc.vn/ và xác nhận đúng tài khoản/role của case.
2. Chọn Workspace/Project/Team theo Test Data; ghi lại scope trước khi thao tác.
3. Mở Portfolio &gt; Release Tracking và Reports; chụp trạng thái ban đầu nếu case liên quan UI, số liệu hoặc quyền.
4. Thực hiện nghiệp vụ: Open each Phase 6 route with empty valid scope.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9" s="38" t="str">
        <x:v>Explicit empty/unavailable state appears; another Project's data is never reused</x:v>
      </x:c>
      <x:c r="J9" s="38" t="str">
        <x:v>Phase 6/PHASE6_REPORTS_BUSINESS_AND_DATA_CONTRACT.md</x:v>
      </x:c>
      <x:c r="K9" s="38" t="str">
        <x:v>Codex inventory 2026-08-05 - Partial: No-Release and no-Iteration states observed; data-unavailable branches remain.</x:v>
      </x:c>
      <x:c r="L9" s="51" t="str">
        <x:v>Pass</x:v>
      </x:c>
      <x:c r="M9" s="51" t="str">
        <x:v>Disposable Project P6RT014 showed correct empty states for Release Tracking, Iteration Burndown, Velocity and Team Capacity without cross-Project data leakage; it was archived after testing.</x:v>
      </x:c>
      <x:c r="N9" s="51" t="str">
        <x:v>../Codex_audit_06_tracker.md; https://rally-dev.qnsc.vn/reports; https://rally-dev.qnsc.vn/release-tracking</x:v>
      </x:c>
      <x:c r="O9" s="51" t="str">
        <x:v>No open gap in this retest.</x:v>
      </x:c>
      <x:c r="P9" s="51" t="str">
        <x:v>BA + Codex</x:v>
      </x:c>
      <x:c r="Q9" s="51" t="str">
        <x:v>BA confirmed Pass 2026-08-14</x:v>
      </x:c>
      <x:c r="R9" s="56" t="n">
        <x:v>46248</x:v>
      </x:c>
    </x:row>
    <x:row r="10">
      <x:c r="A10" s="45" t="str">
        <x:v>P6-COM-006</x:v>
      </x:c>
      <x:c r="B10" s="46" t="str">
        <x:v>Phase 6</x:v>
      </x:c>
      <x:c r="C10" s="46" t="str">
        <x:v>A. Navigation, scope and common behavior</x:v>
      </x:c>
      <x:c r="D10" s="46" t="str">
        <x:v>P1</x:v>
      </x:c>
      <x:c r="E10" s="38" t="str">
        <x:v>Reload each selected view/filter</x:v>
      </x:c>
      <x:c r="F10" s="38" t="str">
        <x:v>DevInt truy cập được và không có lỗi tải trang nghiêm trọng.
Đăng nhập bằng đúng role nêu trong case; nếu case không nêu role thì dùng Workspace Admin.</x:v>
      </x:c>
      <x:c r="G10" s="38" t="str">
        <x:v>Dùng dữ liệu test riêng trong Project TEST. Nếu chưa có dữ liệu bắt buộc, ghi Blocked và nêu rõ dữ liệu còn thiếu.</x:v>
      </x:c>
      <x:c r="H10" s="38" t="str">
        <x:v>1. Mở https://rally-dev.qnsc.vn/ và xác nhận đúng tài khoản/role của case.
2. Chọn Workspace/Project/Team theo Test Data; ghi lại scope trước khi thao tác.
3. Mở Portfolio &gt; Release Tracking và Reports; chụp trạng thái ban đầu nếu case liên quan UI, số liệu hoặc quyền.
4. Thực hiện nghiệp vụ: Reload each selected view/filter.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0" s="38" t="str">
        <x:v>Selection and persisted business data remain consistent; no console error</x:v>
      </x:c>
      <x:c r="J10" s="38" t="str">
        <x:v>Phase 6/PHASE6_REPORTS_BUSINESS_AND_DATA_CONTRACT.md</x:v>
      </x:c>
      <x:c r="K10" s="38" t="str">
        <x:v>New production acceptance scenario</x:v>
      </x:c>
      <x:c r="L10" s="51" t="str">
        <x:v>Pass</x:v>
      </x:c>
      <x:c r="M10" s="51" t="str">
        <x:v>Re-test 2026-08-09: Reports Type=Velocity and Window=Last 5 persisted after reload; Release Tracking Chart Unit=Count and Unparented bucket also persisted.</x:v>
      </x:c>
      <x:c r="N10" s="51" t="str">
        <x:v>https://rally-dev.qnsc.vn/reports; https://rally-dev.qnsc.vn/release-tracking</x:v>
      </x:c>
      <x:c r="O10" s="51" t="str">
        <x:v>Resolved in current DevInt.</x:v>
      </x:c>
      <x:c r="P10" s="51" t="str">
        <x:v>Codex DevInt re-test</x:v>
      </x:c>
      <x:c r="Q10" s="51" t="str">
        <x:v>Pending BA confirmation</x:v>
      </x:c>
      <x:c r="R10" s="56" t="n">
        <x:v>46243</x:v>
      </x:c>
    </x:row>
    <x:row r="11">
      <x:c r="A11" s="45" t="str">
        <x:v>P6-RT-001</x:v>
      </x:c>
      <x:c r="B11" s="46" t="str">
        <x:v>Phase 6</x:v>
      </x:c>
      <x:c r="C11" s="46" t="str">
        <x:v>B. Portfolio &gt; Release Tracking</x:v>
      </x:c>
      <x:c r="D11" s="46" t="str">
        <x:v>P0</x:v>
      </x:c>
      <x:c r="E11" s="38" t="str">
        <x:v>Select a Release with Direct, Derived and Unparented data</x:v>
      </x:c>
      <x:c r="F11" s="38" t="str">
        <x:v>DevInt truy cập được và không có lỗi tải trang nghiêm trọng.
Đăng nhập bằng đúng role nêu trong case; nếu case không nêu role thì dùng Workspace Admin.</x:v>
      </x:c>
      <x:c r="G11" s="38" t="str">
        <x:v>1 Release có Direct Feature, Derived Feature và Unparented Story/Defect; Work Item ở Completed, Accepted và Release; có Plan Estimate.</x:v>
      </x:c>
      <x:c r="H11"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Select a Release with Direct, Derived and Unparented data.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1" s="38" t="str">
        <x:v>Three bucket totals match RT-BR-01/02/04 and do not overlap</x:v>
      </x:c>
      <x:c r="J11" s="38" t="str">
        <x:v>Phase 6/01_Release_Tracking/SRS.md</x:v>
      </x:c>
      <x:c r="K11" s="38" t="str">
        <x:v>New production acceptance scenario</x:v>
      </x:c>
      <x:c r="L11" s="51" t="str">
        <x:v>Pass</x:v>
      </x:c>
      <x:c r="M11" s="51" t="str">
        <x:v>RE-1 shows disjoint counts Direct 1, Derived 1 and Unparented 1.</x:v>
      </x:c>
      <x:c r="N11" s="51" t="str">
        <x:v>../Codex_audit_06_tracker.md</x:v>
      </x:c>
      <x:c r="O11" s="51"/>
      <x:c r="P11" s="51" t="str">
        <x:v>Codex</x:v>
      </x:c>
      <x:c r="Q11" s="51" t="str">
        <x:v>Pending BA confirmation</x:v>
      </x:c>
      <x:c r="R11" s="56" t="n">
        <x:v>46240</x:v>
      </x:c>
    </x:row>
    <x:row r="12">
      <x:c r="A12" s="45" t="str">
        <x:v>P6-RT-002</x:v>
      </x:c>
      <x:c r="B12" s="46" t="str">
        <x:v>Phase 6</x:v>
      </x:c>
      <x:c r="C12" s="46" t="str">
        <x:v>B. Portfolio &gt; Release Tracking</x:v>
      </x:c>
      <x:c r="D12" s="46" t="str">
        <x:v>P0</x:v>
      </x:c>
      <x:c r="E12" s="38" t="str">
        <x:v>Switch bucket selector</x:v>
      </x:c>
      <x:c r="F12" s="38" t="str">
        <x:v>DevInt truy cập được và không có lỗi tải trang nghiêm trọng.
Đăng nhập bằng đúng role nêu trong case; nếu case không nêu role thì dùng Workspace Admin.</x:v>
      </x:c>
      <x:c r="G12" s="38" t="str">
        <x:v>1 Release có Direct Feature, Derived Feature và Unparented Story/Defect; Work Item ở Completed, Accepted và Release; có Plan Estimate.</x:v>
      </x:c>
      <x:c r="H12"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Switch bucket selector.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2" s="38" t="str">
        <x:v>Only one bucket is listed; Rank restarts as 1..N</x:v>
      </x:c>
      <x:c r="J12" s="38" t="str">
        <x:v>Phase 6/01_Release_Tracking/SRS.md</x:v>
      </x:c>
      <x:c r="K12" s="38" t="str">
        <x:v>New production acceptance scenario</x:v>
      </x:c>
      <x:c r="L12" s="51" t="str">
        <x:v>Pass</x:v>
      </x:c>
      <x:c r="M12" s="51" t="str">
        <x:v>Each selector shows only its own bucket and rank restarts at 1.</x:v>
      </x:c>
      <x:c r="N12" s="51" t="str">
        <x:v>../Codex_audit_06_tracker.md</x:v>
      </x:c>
      <x:c r="O12" s="51"/>
      <x:c r="P12" s="51" t="str">
        <x:v>Codex</x:v>
      </x:c>
      <x:c r="Q12" s="51" t="str">
        <x:v>Pending BA confirmation</x:v>
      </x:c>
      <x:c r="R12" s="56" t="n">
        <x:v>46240</x:v>
      </x:c>
    </x:row>
    <x:row r="13">
      <x:c r="A13" s="45" t="str">
        <x:v>P6-RT-003</x:v>
      </x:c>
      <x:c r="B13" s="46" t="str">
        <x:v>Phase 6</x:v>
      </x:c>
      <x:c r="C13" s="46" t="str">
        <x:v>B. Portfolio &gt; Release Tracking</x:v>
      </x:c>
      <x:c r="D13" s="46" t="str">
        <x:v>P0</x:v>
      </x:c>
      <x:c r="E13" s="38" t="str">
        <x:v>Sort Rank, ID and Team both directions; resize columns</x:v>
      </x:c>
      <x:c r="F13" s="38" t="str">
        <x:v>DevInt truy cập được và không có lỗi tải trang nghiêm trọng.
Đăng nhập bằng đúng role nêu trong case; nếu case không nêu role thì dùng Workspace Admin.</x:v>
      </x:c>
      <x:c r="G13" s="38" t="str">
        <x:v>1 Release có Direct Feature, Derived Feature và Unparented Story/Defect; Work Item ở Completed, Accepted và Release; có Plan Estimate.</x:v>
      </x:c>
      <x:c r="H13"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Sort Rank, ID and Team both directions; resize columns.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3" s="38" t="str">
        <x:v>Sorting and resize work; Name remains readable/wrapped</x:v>
      </x:c>
      <x:c r="J13" s="38" t="str">
        <x:v>Phase 6/01_Release_Tracking/SRS.md</x:v>
      </x:c>
      <x:c r="K13" s="38" t="str">
        <x:v>New production acceptance scenario</x:v>
      </x:c>
      <x:c r="L13" s="51" t="str">
        <x:v>Pass</x:v>
      </x:c>
      <x:c r="M13" s="51" t="str">
        <x:v>Rank, ID and Team each enter ascending and descending states. Name resized from 200px to 254px and was restored to 200px.</x:v>
      </x:c>
      <x:c r="N13" s="51" t="str">
        <x:v>../Codex_audit_06_tracker.md; https://rally-dev.qnsc.vn/release-tracking</x:v>
      </x:c>
      <x:c r="O13" s="51" t="str">
        <x:v>No open gap in this retest.</x:v>
      </x:c>
      <x:c r="P13" s="51" t="str">
        <x:v>BA + Codex</x:v>
      </x:c>
      <x:c r="Q13" s="51" t="str">
        <x:v>BA confirmed Pass 2026-08-14</x:v>
      </x:c>
      <x:c r="R13" s="56" t="n">
        <x:v>46248</x:v>
      </x:c>
    </x:row>
    <x:row r="14">
      <x:c r="A14" s="45" t="str">
        <x:v>P6-RT-004</x:v>
      </x:c>
      <x:c r="B14" s="46" t="str">
        <x:v>Phase 6</x:v>
      </x:c>
      <x:c r="C14" s="46" t="str">
        <x:v>B. Portfolio &gt; Release Tracking</x:v>
      </x:c>
      <x:c r="D14" s="46" t="str">
        <x:v>P0</x:v>
      </x:c>
      <x:c r="E14" s="38" t="str">
        <x:v>Switch Chart Unit Points -&gt; Count</x:v>
      </x:c>
      <x:c r="F14" s="38" t="str">
        <x:v>DevInt truy cập được và không có lỗi tải trang nghiêm trọng.
Đăng nhập bằng đúng role nêu trong case; nếu case không nêu role thì dùng Workspace Admin.</x:v>
      </x:c>
      <x:c r="G14" s="38" t="str">
        <x:v>1 Release có Direct Feature, Derived Feature và Unparented Story/Defect; Work Item ở Completed, Accepted và Release; có Plan Estimate.</x:v>
      </x:c>
      <x:c r="H14"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Switch Chart Unit Points -&gt; Count.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4" s="38" t="str">
        <x:v>List Status and all Burnup values switch together; bucket counts do not change</x:v>
      </x:c>
      <x:c r="J14" s="38" t="str">
        <x:v>Phase 6/01_Release_Tracking/SRS.md</x:v>
      </x:c>
      <x:c r="K14" s="38" t="str">
        <x:v>New production acceptance scenario</x:v>
      </x:c>
      <x:c r="L14" s="51" t="str">
        <x:v>Pass</x:v>
      </x:c>
      <x:c r="M14" s="51" t="str">
        <x:v>Points -&gt; Count changes units while bucket membership remains 1/1/1.</x:v>
      </x:c>
      <x:c r="N14" s="51" t="str">
        <x:v>../Codex_audit_06_tracker.md</x:v>
      </x:c>
      <x:c r="O14" s="51"/>
      <x:c r="P14" s="51" t="str">
        <x:v>Codex</x:v>
      </x:c>
      <x:c r="Q14" s="51" t="str">
        <x:v>Pending BA confirmation</x:v>
      </x:c>
      <x:c r="R14" s="56" t="n">
        <x:v>46240</x:v>
      </x:c>
    </x:row>
    <x:row r="15">
      <x:c r="A15" s="45" t="str">
        <x:v>P6-RT-005</x:v>
      </x:c>
      <x:c r="B15" s="46" t="str">
        <x:v>Phase 6</x:v>
      </x:c>
      <x:c r="C15" s="46" t="str">
        <x:v>B. Portfolio &gt; Release Tracking</x:v>
      </x:c>
      <x:c r="D15" s="46" t="str">
        <x:v>P0</x:v>
      </x:c>
      <x:c r="E15" s="38" t="str">
        <x:v>Inspect Direct Feature status</x:v>
      </x:c>
      <x:c r="F15" s="38" t="str">
        <x:v>DevInt truy cập được và không có lỗi tải trang nghiêm trọng.
Đăng nhập bằng đúng role nêu trong case; nếu case không nêu role thì dùng Workspace Admin.</x:v>
      </x:c>
      <x:c r="G15" s="38" t="str">
        <x:v>Project TEST; Epic P56-AUDIT-EPIC; Feature P56-AUDIT-FEATURE; Story/Defect liên kết và một record archived khi case yêu cầu.</x:v>
      </x:c>
      <x:c r="H15"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Direct Feature status.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5" s="38" t="str">
        <x:v>Numerator/denominator uses all direct Story/Defect children, including other/unassigned Releases</x:v>
      </x:c>
      <x:c r="J15" s="38" t="str">
        <x:v>Phase 6/01_Release_Tracking/SRS.md</x:v>
      </x:c>
      <x:c r="K15" s="38" t="str">
        <x:v>New production acceptance scenario</x:v>
      </x:c>
      <x:c r="L15" s="51" t="str">
        <x:v>Pass</x:v>
      </x:c>
      <x:c r="M15" s="51" t="str">
        <x:v>Direct FE-2 uses its direct child even when that child has no Release; current status is 0/3 accepted.</x:v>
      </x:c>
      <x:c r="N15" s="51" t="str">
        <x:v>../Codex_audit_06_tracker.md</x:v>
      </x:c>
      <x:c r="O15" s="51"/>
      <x:c r="P15" s="51" t="str">
        <x:v>Codex</x:v>
      </x:c>
      <x:c r="Q15" s="51" t="str">
        <x:v>Pending BA confirmation</x:v>
      </x:c>
      <x:c r="R15" s="56" t="n">
        <x:v>46240</x:v>
      </x:c>
    </x:row>
    <x:row r="16">
      <x:c r="A16" s="45" t="str">
        <x:v>P6-RT-006</x:v>
      </x:c>
      <x:c r="B16" s="46" t="str">
        <x:v>Phase 6</x:v>
      </x:c>
      <x:c r="C16" s="46" t="str">
        <x:v>B. Portfolio &gt; Release Tracking</x:v>
      </x:c>
      <x:c r="D16" s="46" t="str">
        <x:v>P0</x:v>
      </x:c>
      <x:c r="E16" s="38" t="str">
        <x:v>Inspect Derived Feature status</x:v>
      </x:c>
      <x:c r="F16" s="38" t="str">
        <x:v>DevInt truy cập được và không có lỗi tải trang nghiêm trọng.
Đăng nhập bằng đúng role nêu trong case; nếu case không nêu role thì dùng Workspace Admin.</x:v>
      </x:c>
      <x:c r="G16" s="38" t="str">
        <x:v>Project TEST; Epic P56-AUDIT-EPIC; Feature P56-AUDIT-FEATURE; Story/Defect liên kết và một record archived khi case yêu cầu.</x:v>
      </x:c>
      <x:c r="H16"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Derived Feature status.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6" s="38" t="str">
        <x:v>Only matching selected-Release and selected-scope children are included; no percentage is shown</x:v>
      </x:c>
      <x:c r="J16" s="38" t="str">
        <x:v>Phase 6/01_Release_Tracking/SRS.md</x:v>
      </x:c>
      <x:c r="K16" s="38" t="str">
        <x:v>New production acceptance scenario</x:v>
      </x:c>
      <x:c r="L16" s="51" t="str">
        <x:v>Pass</x:v>
      </x:c>
      <x:c r="M16" s="51" t="str">
        <x:v>Derived FE-3 shows 3/3 points accepted without a percentage.</x:v>
      </x:c>
      <x:c r="N16" s="51" t="str">
        <x:v>../Codex_audit_06_tracker.md</x:v>
      </x:c>
      <x:c r="O16" s="51"/>
      <x:c r="P16" s="51" t="str">
        <x:v>Codex</x:v>
      </x:c>
      <x:c r="Q16" s="51" t="str">
        <x:v>Pending BA confirmation</x:v>
      </x:c>
      <x:c r="R16" s="56" t="n">
        <x:v>46240</x:v>
      </x:c>
    </x:row>
    <x:row r="17">
      <x:c r="A17" s="45" t="str">
        <x:v>P6-RT-007</x:v>
      </x:c>
      <x:c r="B17" s="46" t="str">
        <x:v>Phase 6</x:v>
      </x:c>
      <x:c r="C17" s="46" t="str">
        <x:v>B. Portfolio &gt; Release Tracking</x:v>
      </x:c>
      <x:c r="D17" s="46" t="str">
        <x:v>P0</x:v>
      </x:c>
      <x:c r="E17" s="38" t="str">
        <x:v>Use Completed, Accepted and Release child states</x:v>
      </x:c>
      <x:c r="F1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7" s="38" t="str">
        <x:v>1 Release có Direct Feature, Derived Feature và Unparented Story/Defect; Work Item ở Completed, Accepted và Release; có Plan Estimate.</x:v>
      </x:c>
      <x:c r="H17"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Use Completed, Accepted and Release child states.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7" s="38" t="str">
        <x:v>Accepted includes Accepted/Release and excludes Completed</x:v>
      </x:c>
      <x:c r="J17" s="38" t="str">
        <x:v>Phase 6/01_Release_Tracking/SRS.md</x:v>
      </x:c>
      <x:c r="K17" s="38" t="str">
        <x:v>New production acceptance scenario</x:v>
      </x:c>
      <x:c r="L17" s="51" t="str">
        <x:v>Pass</x:v>
      </x:c>
      <x:c r="M17" s="51" t="str">
        <x:v>US-6 at Accepted and Release produced 3/3 accepted points; Completed produced 0/3. US-6 was restored to Accepted.</x:v>
      </x:c>
      <x:c r="N17" s="51" t="str">
        <x:v>../Codex_audit_06_tracker.md; https://rally-dev.qnsc.vn/release-tracking</x:v>
      </x:c>
      <x:c r="O17" s="51" t="str">
        <x:v>No open gap in this retest.</x:v>
      </x:c>
      <x:c r="P17" s="51" t="str">
        <x:v>BA + Codex</x:v>
      </x:c>
      <x:c r="Q17" s="51" t="str">
        <x:v>BA confirmed Pass 2026-08-14</x:v>
      </x:c>
      <x:c r="R17" s="56" t="n">
        <x:v>46248</x:v>
      </x:c>
    </x:row>
    <x:row r="18">
      <x:c r="A18" s="45" t="str">
        <x:v>P6-RT-008</x:v>
      </x:c>
      <x:c r="B18" s="46" t="str">
        <x:v>Phase 6</x:v>
      </x:c>
      <x:c r="C18" s="46" t="str">
        <x:v>B. Portfolio &gt; Release Tracking</x:v>
      </x:c>
      <x:c r="D18" s="46" t="str">
        <x:v>P0</x:v>
      </x:c>
      <x:c r="E18" s="38" t="str">
        <x:v>Compare Burnup totals to controlled Work Items</x:v>
      </x:c>
      <x:c r="F18" s="38" t="str">
        <x:v>DevInt truy cập được và không có lỗi tải trang nghiêm trọng.
Đăng nhập bằng đúng role nêu trong case; nếu case không nêu role thì dùng Workspace Admin.</x:v>
      </x:c>
      <x:c r="G18" s="38" t="str">
        <x:v>1 Release có Direct Feature, Derived Feature và Unparented Story/Defect; Work Item ở Completed, Accepted và Release; có Plan Estimate.</x:v>
      </x:c>
      <x:c r="H18"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Compare Burnup totals to controlled Work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8" s="38" t="str">
        <x:v>Planned, Accepted and Preliminary totals follow RT-BR-06/07/08 and de-duplicate IDs</x:v>
      </x:c>
      <x:c r="J18" s="38" t="str">
        <x:v>Phase 6/01_Release_Tracking/SRS.md</x:v>
      </x:c>
      <x:c r="K18" s="38" t="str">
        <x:v>New production acceptance scenario</x:v>
      </x:c>
      <x:c r="L18" s="51" t="str">
        <x:v>Pass</x:v>
      </x:c>
      <x:c r="M18" s="51" t="str">
        <x:v>Controlled totals match UI: Planned 6 points, Accepted 3 points, Preliminary 0.</x:v>
      </x:c>
      <x:c r="N18" s="51" t="str">
        <x:v>../Codex_audit_06_tracker.md</x:v>
      </x:c>
      <x:c r="O18" s="51"/>
      <x:c r="P18" s="51" t="str">
        <x:v>Codex</x:v>
      </x:c>
      <x:c r="Q18" s="51" t="str">
        <x:v>Pending BA confirmation</x:v>
      </x:c>
      <x:c r="R18" s="56" t="n">
        <x:v>46240</x:v>
      </x:c>
    </x:row>
    <x:row r="19">
      <x:c r="A19" s="45" t="str">
        <x:v>P6-RT-009</x:v>
      </x:c>
      <x:c r="B19" s="46" t="str">
        <x:v>Phase 6</x:v>
      </x:c>
      <x:c r="C19" s="46" t="str">
        <x:v>B. Portfolio &gt; Release Tracking</x:v>
      </x:c>
      <x:c r="D19" s="46" t="str">
        <x:v>P0</x:v>
      </x:c>
      <x:c r="E19" s="38" t="str">
        <x:v>Inspect Burnup history and axes</x:v>
      </x:c>
      <x:c r="F19" s="38" t="str">
        <x:v>DevInt truy cập được và không có lỗi tải trang nghiêm trọng.
Đăng nhập bằng đúng role nêu trong case; nếu case không nêu role thì dùng Workspace Admin.</x:v>
      </x:c>
      <x:c r="G19" s="38" t="str">
        <x:v>1 Release có Direct Feature, Derived Feature và Unparented Story/Defect; Work Item ở Completed, Accepted và Release; có Plan Estimate.</x:v>
      </x:c>
      <x:c r="H19"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Burnup history and axes.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9" s="38" t="str">
        <x:v>Title/date/unit/iteration row match Release; history is snapshot/event based; missing history is explicit</x:v>
      </x:c>
      <x:c r="J19" s="38" t="str">
        <x:v>Phase 6/01_Release_Tracking/SRS.md</x:v>
      </x:c>
      <x:c r="K19" s="38" t="str">
        <x:v>New production acceptance scenario</x:v>
      </x:c>
      <x:c r="L19" s="51" t="str">
        <x:v>Pass</x:v>
      </x:c>
      <x:c r="M19" s="51" t="str">
        <x:v>Missing history is shown explicitly with the correct Release title and date range.</x:v>
      </x:c>
      <x:c r="N19" s="51" t="str">
        <x:v>../Codex_audit_06_tracker.md</x:v>
      </x:c>
      <x:c r="O19" s="51"/>
      <x:c r="P19" s="51" t="str">
        <x:v>Codex</x:v>
      </x:c>
      <x:c r="Q19" s="51" t="str">
        <x:v>Pending BA confirmation</x:v>
      </x:c>
      <x:c r="R19" s="56" t="n">
        <x:v>46240</x:v>
      </x:c>
    </x:row>
    <x:row r="20">
      <x:c r="A20" s="45" t="str">
        <x:v>P6-RT-010</x:v>
      </x:c>
      <x:c r="B20" s="46" t="str">
        <x:v>Phase 6</x:v>
      </x:c>
      <x:c r="C20" s="46" t="str">
        <x:v>B. Portfolio &gt; Release Tracking</x:v>
      </x:c>
      <x:c r="D20" s="46" t="str">
        <x:v>P1</x:v>
      </x:c>
      <x:c r="E20" s="38" t="str">
        <x:v>Create partial and full Release mismatch</x:v>
      </x:c>
      <x:c r="F2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0" s="38" t="str">
        <x:v>1 Release có Direct Feature, Derived Feature và Unparented Story/Defect; Work Item ở Completed, Accepted và Release; có Plan Estimate.</x:v>
      </x:c>
      <x:c r="H20"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Create partial and full Release mismatch.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0" s="38" t="str">
        <x:v>Red issue icon opens an unclipped grouped overlay; full mismatch warning is separate from percent done</x:v>
      </x:c>
      <x:c r="J20" s="38" t="str">
        <x:v>Phase 6/01_Release_Tracking/SRS.md</x:v>
      </x:c>
      <x:c r="K20" s="38" t="str">
        <x:v>New production acceptance scenario</x:v>
      </x:c>
      <x:c r="L20" s="51" t="str">
        <x:v>Pass</x:v>
      </x:c>
      <x:c r="M20" s="51" t="str">
        <x:v>FE-6 is in AUD-R2 while accepted child US-9 is in AUD-R1. Release Tracking shows the red mismatch count and a separate full-mismatch advisory.</x:v>
      </x:c>
      <x:c r="N20" s="51" t="str">
        <x:v>DEVINT_RETEST_EXECUTION_PLAN_2026-08-14.md §8; https://rally-dev.qnsc.vn/release-tracking</x:v>
      </x:c>
      <x:c r="O20" s="51" t="str">
        <x:v>Pass: partial/full Release mismatch indicators follow the approved rule.</x:v>
      </x:c>
      <x:c r="P20" s="51" t="str">
        <x:v>Codex DevInt retest</x:v>
      </x:c>
      <x:c r="Q20" s="51" t="str">
        <x:v>Pending BA review</x:v>
      </x:c>
      <x:c r="R20" s="56" t="n">
        <x:v>46248</x:v>
      </x:c>
    </x:row>
    <x:row r="21">
      <x:c r="A21" s="45" t="str">
        <x:v>P6-RT-011</x:v>
      </x:c>
      <x:c r="B21" s="46" t="str">
        <x:v>Phase 6</x:v>
      </x:c>
      <x:c r="C21" s="46" t="str">
        <x:v>B. Portfolio &gt; Release Tracking</x:v>
      </x:c>
      <x:c r="D21" s="46" t="str">
        <x:v>P1</x:v>
      </x:c>
      <x:c r="E21" s="38" t="str">
        <x:v>Click inside and outside Issues panel</x:v>
      </x:c>
      <x:c r="F21" s="38" t="str">
        <x:v>DevInt truy cập được và không có lỗi tải trang nghiêm trọng.
Đăng nhập bằng đúng role nêu trong case; nếu case không nêu role thì dùng Workspace Admin.</x:v>
      </x:c>
      <x:c r="G21" s="38" t="str">
        <x:v>1 Release có Direct Feature, Derived Feature và Unparented Story/Defect; Work Item ở Completed, Accepted và Release; có Plan Estimate.</x:v>
      </x:c>
      <x:c r="H21"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Click inside and outside Issues panel.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1" s="38" t="str">
        <x:v>Inside click keeps it open; outside click closes it</x:v>
      </x:c>
      <x:c r="J21" s="38" t="str">
        <x:v>Phase 6/01_Release_Tracking/SRS.md</x:v>
      </x:c>
      <x:c r="K21" s="38" t="str">
        <x:v>New production acceptance scenario</x:v>
      </x:c>
      <x:c r="L21" s="51" t="str">
        <x:v>Pass</x:v>
      </x:c>
      <x:c r="M21" s="51" t="str">
        <x:v>Clicking inside the Issues panel keeps it open. Clicking outside the panel closes it.</x:v>
      </x:c>
      <x:c r="N21" s="51" t="str">
        <x:v>DEVINT_RETEST_EXECUTION_PLAN_2026-08-14.md §8; https://rally-dev.qnsc.vn/release-tracking</x:v>
      </x:c>
      <x:c r="O21" s="51" t="str">
        <x:v>Pass: Issues panel interaction matches the expected behavior.</x:v>
      </x:c>
      <x:c r="P21" s="51" t="str">
        <x:v>Codex DevInt retest</x:v>
      </x:c>
      <x:c r="Q21" s="51" t="str">
        <x:v>Pending BA review</x:v>
      </x:c>
      <x:c r="R21" s="56" t="n">
        <x:v>46248</x:v>
      </x:c>
    </x:row>
    <x:row r="22">
      <x:c r="A22" s="45" t="str">
        <x:v>P6-RT-012</x:v>
      </x:c>
      <x:c r="B22" s="46" t="str">
        <x:v>Phase 6</x:v>
      </x:c>
      <x:c r="C22" s="46" t="str">
        <x:v>B. Portfolio &gt; Release Tracking</x:v>
      </x:c>
      <x:c r="D22" s="46" t="str">
        <x:v>P0</x:v>
      </x:c>
      <x:c r="E22" s="38" t="str">
        <x:v>Inspect views and placeholders</x:v>
      </x:c>
      <x:c r="F22" s="38" t="str">
        <x:v>DevInt truy cập được và không có lỗi tải trang nghiêm trọng.
Đăng nhập bằng đúng role nêu trong case; nếu case không nêu role thì dùng Workspace Admin.</x:v>
      </x:c>
      <x:c r="G22" s="38" t="str">
        <x:v>1 Release có Direct Feature, Derived Feature và Unparented Story/Defect; Work Item ở Completed, Accepted và Release; có Plan Estimate.</x:v>
      </x:c>
      <x:c r="H22"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views and placeholders.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2" s="38" t="str">
        <x:v>Chart is active; Breakdown is absent; Dependencies is absent or clearly disabled as Future</x:v>
      </x:c>
      <x:c r="J22" s="38" t="str">
        <x:v>Phase 6/01_Release_Tracking/SRS.md</x:v>
      </x:c>
      <x:c r="K22" s="38" t="str">
        <x:v>New production acceptance scenario</x:v>
      </x:c>
      <x:c r="L22" s="51" t="str">
        <x:v>Pass</x:v>
      </x:c>
      <x:c r="M22" s="51" t="str">
        <x:v>Chart is active, Breakdown is absent and Dependencies is clearly marked Future.</x:v>
      </x:c>
      <x:c r="N22" s="51" t="str">
        <x:v>../Codex_audit_06_tracker.md</x:v>
      </x:c>
      <x:c r="O22" s="51"/>
      <x:c r="P22" s="51" t="str">
        <x:v>Codex</x:v>
      </x:c>
      <x:c r="Q22" s="51" t="str">
        <x:v>Pending BA confirmation</x:v>
      </x:c>
      <x:c r="R22" s="56" t="n">
        <x:v>46240</x:v>
      </x:c>
    </x:row>
    <x:row r="23">
      <x:c r="A23" s="45" t="str">
        <x:v>P6-RT-013</x:v>
      </x:c>
      <x:c r="B23" s="46" t="str">
        <x:v>Phase 6</x:v>
      </x:c>
      <x:c r="C23" s="46" t="str">
        <x:v>B. Portfolio &gt; Release Tracking</x:v>
      </x:c>
      <x:c r="D23" s="46" t="str">
        <x:v>P1</x:v>
      </x:c>
      <x:c r="E23" s="38" t="str">
        <x:v>Search each bucket and open an Unparented row</x:v>
      </x:c>
      <x:c r="F23" s="38" t="str">
        <x:v>DevInt truy cập được và không có lỗi tải trang nghiêm trọng.
Đăng nhập bằng đúng role nêu trong case; nếu case không nêu role thì dùng Workspace Admin.</x:v>
      </x:c>
      <x:c r="G23" s="38" t="str">
        <x:v>1 Release có Direct Feature, Derived Feature và Unparented Story/Defect; Work Item ở Completed, Accepted và Release; có Plan Estimate.</x:v>
      </x:c>
      <x:c r="H23"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Search each bucket and open an Unparented row.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3" s="38" t="str">
        <x:v>Search is bucket-scoped; row opens the shared full Work Item Detail</x:v>
      </x:c>
      <x:c r="J23" s="38" t="str">
        <x:v>Phase 6/01_Release_Tracking/SRS.md</x:v>
      </x:c>
      <x:c r="K23" s="38" t="str">
        <x:v>New production acceptance scenario</x:v>
      </x:c>
      <x:c r="L23" s="51" t="str">
        <x:v>Pass</x:v>
      </x:c>
      <x:c r="M23" s="51" t="str">
        <x:v>Search matched US-4 and the row opened the shared Work Item Detail route.</x:v>
      </x:c>
      <x:c r="N23" s="51" t="str">
        <x:v>../Codex_audit_06_tracker.md</x:v>
      </x:c>
      <x:c r="O23" s="51"/>
      <x:c r="P23" s="51" t="str">
        <x:v>Codex</x:v>
      </x:c>
      <x:c r="Q23" s="51" t="str">
        <x:v>Pending BA confirmation</x:v>
      </x:c>
      <x:c r="R23" s="56" t="n">
        <x:v>46240</x:v>
      </x:c>
    </x:row>
    <x:row r="24">
      <x:c r="A24" s="45" t="str">
        <x:v>P6-RT-014</x:v>
      </x:c>
      <x:c r="B24" s="46" t="str">
        <x:v>Phase 6</x:v>
      </x:c>
      <x:c r="C24" s="46" t="str">
        <x:v>B. Portfolio &gt; Release Tracking</x:v>
      </x:c>
      <x:c r="D24" s="46" t="str">
        <x:v>P0</x:v>
      </x:c>
      <x:c r="E24" s="38" t="str">
        <x:v>Select Project with no Releases and Release with empty bucket</x:v>
      </x:c>
      <x:c r="F24" s="38" t="str">
        <x:v>DevInt truy cập được và không có lỗi tải trang nghiêm trọng.
Đăng nhập bằng đúng role nêu trong case; nếu case không nêu role thì dùng Workspace Admin.</x:v>
      </x:c>
      <x:c r="G24" s="38" t="str">
        <x:v>1 Release có Direct Feature, Derived Feature và Unparented Story/Defect; Work Item ở Completed, Accepted và Release; có Plan Estimate.</x:v>
      </x:c>
      <x:c r="H24"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Select Project with no Releases and Release with empty bucket.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4" s="38" t="str">
        <x:v>Correct no-Release and empty-bucket states appear without fabricated history</x:v>
      </x:c>
      <x:c r="J24" s="38" t="str">
        <x:v>Phase 6/01_Release_Tracking/SRS.md</x:v>
      </x:c>
      <x:c r="K24" s="38" t="str">
        <x:v>Codex inventory 2026-08-05 - Partial: No-Release state passes; empty-bucket with valid Release is not executable.</x:v>
      </x:c>
      <x:c r="L24" s="51" t="str">
        <x:v>Pass</x:v>
      </x:c>
      <x:c r="M24" s="51" t="str">
        <x:v>Disposable Project P6RT014 showed the explicit no-Release state. Empty Release buckets showed correct messages without fabricated history; the Project was archived afterward.</x:v>
      </x:c>
      <x:c r="N24" s="51" t="str">
        <x:v>../Codex_audit_06_tracker.md; https://rally-dev.qnsc.vn/release-tracking</x:v>
      </x:c>
      <x:c r="O24" s="51" t="str">
        <x:v>No open gap in this retest.</x:v>
      </x:c>
      <x:c r="P24" s="51" t="str">
        <x:v>BA + Codex</x:v>
      </x:c>
      <x:c r="Q24" s="51" t="str">
        <x:v>BA confirmed Pass 2026-08-14</x:v>
      </x:c>
      <x:c r="R24" s="56" t="n">
        <x:v>46248</x:v>
      </x:c>
    </x:row>
    <x:row r="25">
      <x:c r="A25" s="45" t="str">
        <x:v>P6-IB-001</x:v>
      </x:c>
      <x:c r="B25" s="46" t="str">
        <x:v>Phase 6</x:v>
      </x:c>
      <x:c r="C25" s="46" t="str">
        <x:v>C. Reports &gt; Iteration Burndown</x:v>
      </x:c>
      <x:c r="D25" s="46" t="str">
        <x:v>P0</x:v>
      </x:c>
      <x:c r="E25" s="38" t="str">
        <x:v>Select Team and Iteration</x:v>
      </x:c>
      <x:c r="F25" s="38" t="str">
        <x:v>DevInt truy cập được và không có lỗi tải trang nghiêm trọng.
Đăng nhập bằng đúng role nêu trong case; nếu case không nêu role thì dùng Workspace Admin.</x:v>
      </x:c>
      <x:c r="G25" s="38" t="str">
        <x:v>1 Iteration đang chạy; Tasks có Estimate/ToDo/Actual; dữ liệu snapshot theo nhiều ngày; Story/Defect có acceptedDate khi cần.</x:v>
      </x:c>
      <x:c r="H25"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Select Team and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5" s="38" t="str">
        <x:v>Header, date range and working-day x-axis match global scope and selected Iteration</x:v>
      </x:c>
      <x:c r="J25" s="38" t="str">
        <x:v>Phase 6/02_Iteration_Burndown/SRS.md</x:v>
      </x:c>
      <x:c r="K25" s="38" t="str">
        <x:v>New production acceptance scenario</x:v>
      </x:c>
      <x:c r="L25" s="51" t="str">
        <x:v>Pass</x:v>
      </x:c>
      <x:c r="M25" s="51" t="str">
        <x:v>Pegasus and IT-1 are selectable and the report shows the correct Iteration dates.</x:v>
      </x:c>
      <x:c r="N25" s="51" t="str">
        <x:v>../Codex_audit_06_tracker.md</x:v>
      </x:c>
      <x:c r="O25" s="51"/>
      <x:c r="P25" s="51" t="str">
        <x:v>Codex</x:v>
      </x:c>
      <x:c r="Q25" s="51" t="str">
        <x:v>Pending BA confirmation</x:v>
      </x:c>
      <x:c r="R25" s="56" t="n">
        <x:v>46240</x:v>
      </x:c>
    </x:row>
    <x:row r="26">
      <x:c r="A26" s="45" t="str">
        <x:v>P6-IB-002</x:v>
      </x:c>
      <x:c r="B26" s="46" t="str">
        <x:v>Phase 6</x:v>
      </x:c>
      <x:c r="C26" s="46" t="str">
        <x:v>C. Reports &gt; Iteration Burndown</x:v>
      </x:c>
      <x:c r="D26" s="46" t="str">
        <x:v>P0</x:v>
      </x:c>
      <x:c r="E26" s="38" t="str">
        <x:v>Compare daily Task ToDo snapshots</x:v>
      </x:c>
      <x:c r="F26" s="38" t="str">
        <x:v>DevInt truy cập được và không có lỗi tải trang nghiêm trọng.
Đăng nhập bằng đúng role nêu trong case; nếu case không nêu role thì dùng Workspace Admin.</x:v>
      </x:c>
      <x:c r="G26" s="38" t="str">
        <x:v>1 Iteration đang chạy; Tasks có Estimate/ToDo/Actual; dữ liệu snapshot theo nhiều ngày; Story/Defect có acceptedDate khi cần.</x:v>
      </x:c>
      <x:c r="H26"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Compare daily Task ToDo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6" s="38" t="str">
        <x:v>Remaining ToDo equals scoped end-of-day Task ToDo and past days remain frozen</x:v>
      </x:c>
      <x:c r="J26" s="38" t="str">
        <x:v>Phase 6/02_Iteration_Burndown/SRS.md</x:v>
      </x:c>
      <x:c r="K26" s="38" t="str">
        <x:v>New production acceptance scenario</x:v>
      </x:c>
      <x:c r="L26" s="51" t="str">
        <x:v>Partial</x:v>
      </x:c>
      <x:c r="M26" s="51" t="str">
        <x:v>Localhost fixture retest: Sprint 26.1 has 20 finalized snapshot rows across All Teams and Team Alpha, covering 10 distinct dates. The deliberately missing 2026-06-24 remains a null gap instead of being fabricated.</x:v>
      </x:c>
      <x:c r="N26" s="51" t="str">
        <x:v>D:\QNSC\Workspace\rally\.codex-runlogs\local-phase6-blocked-harness.ts</x:v>
      </x:c>
      <x:c r="O26" s="51" t="str">
        <x:v>Local DB/domain rule passed. Keep Partial until the same scenario is retested through the deployed API/UI on DevInt and survives reload.</x:v>
      </x:c>
      <x:c r="P26" s="51" t="str">
        <x:v>Codex localhost fixture retest</x:v>
      </x:c>
      <x:c r="Q26" s="51" t="str">
        <x:v>Local evidence added; DevInt UI retest pending</x:v>
      </x:c>
      <x:c r="R26" s="56" t="n">
        <x:v>46249</x:v>
      </x:c>
    </x:row>
    <x:row r="27">
      <x:c r="A27" s="45" t="str">
        <x:v>P6-IB-003</x:v>
      </x:c>
      <x:c r="B27" s="46" t="str">
        <x:v>Phase 6</x:v>
      </x:c>
      <x:c r="C27" s="46" t="str">
        <x:v>C. Reports &gt; Iteration Burndown</x:v>
      </x:c>
      <x:c r="D27" s="46" t="str">
        <x:v>P0</x:v>
      </x:c>
      <x:c r="E27" s="38" t="str">
        <x:v>Accept a Story/Defect on a controlled date</x:v>
      </x:c>
      <x:c r="F2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7" s="38" t="str">
        <x:v>1 Iteration đang chạy; Tasks có Estimate/ToDo/Actual; dữ liệu snapshot theo nhiều ngày; Story/Defect có acceptedDate khi cần.</x:v>
      </x:c>
      <x:c r="H27"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Accept a Story/Defect on a controlled date.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7" s="38" t="str">
        <x:v>Accepted Points becomes cumulative from acceptedDate; Release remains accepted-equivalent</x:v>
      </x:c>
      <x:c r="J27" s="38" t="str">
        <x:v>Phase 6/02_Iteration_Burndown/SRS.md</x:v>
      </x:c>
      <x:c r="K27" s="38" t="str">
        <x:v>New production acceptance scenario</x:v>
      </x:c>
      <x:c r="L27" s="51" t="str">
        <x:v>Blocked</x:v>
      </x:c>
      <x:c r="M27" s="51" t="str">
        <x:v>No daily snapshots/controlled acceptedDate data exist; mutation is paused after the Work Item Team-clearing defect.</x:v>
      </x:c>
      <x:c r="N27" s="51" t="str">
        <x:v>https://rally-dev.qnsc.vn/reports</x:v>
      </x:c>
      <x:c r="O27" s="51" t="str">
        <x:v>No daily snapshots/controlled acceptedDate data exist; mutation is paused after the Work Item Team-clearing defect.</x:v>
      </x:c>
      <x:c r="P27" s="51" t="str">
        <x:v>Codex DevInt retest</x:v>
      </x:c>
      <x:c r="Q27" s="51" t="str">
        <x:v>Pending BA review</x:v>
      </x:c>
      <x:c r="R27" s="56" t="n">
        <x:v>46248</x:v>
      </x:c>
    </x:row>
    <x:row r="28">
      <x:c r="A28" s="45" t="str">
        <x:v>P6-IB-004</x:v>
      </x:c>
      <x:c r="B28" s="46" t="str">
        <x:v>Phase 6</x:v>
      </x:c>
      <x:c r="C28" s="46" t="str">
        <x:v>C. Reports &gt; Iteration Burndown</x:v>
      </x:c>
      <x:c r="D28" s="46" t="str">
        <x:v>P0</x:v>
      </x:c>
      <x:c r="E28" s="38" t="str">
        <x:v>Reopen accepted work after prior snapshots</x:v>
      </x:c>
      <x:c r="F2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8" s="38" t="str">
        <x:v>1 Iteration đang chạy; Tasks có Estimate/ToDo/Actual; dữ liệu snapshot theo nhiều ngày; Story/Defect có acceptedDate khi cần.</x:v>
      </x:c>
      <x:c r="H28"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Reopen accepted work after prior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8" s="38" t="str">
        <x:v>New snapshots exclude it; finalized old snapshots remain unchanged</x:v>
      </x:c>
      <x:c r="J28" s="38" t="str">
        <x:v>Phase 6/02_Iteration_Burndown/SRS.md</x:v>
      </x:c>
      <x:c r="K28" s="38" t="str">
        <x:v>New production acceptance scenario</x:v>
      </x:c>
      <x:c r="L28" s="51" t="str">
        <x:v>Partial</x:v>
      </x:c>
      <x:c r="M28" s="51" t="str">
        <x:v>Localhost fixture retest: changing current Task TA-2 To Do from 3h to 1h did not change any finalized historical snapshot row; the Task value was restored after comparison.</x:v>
      </x:c>
      <x:c r="N28" s="51" t="str">
        <x:v>D:\QNSC\Workspace\rally\.codex-runlogs\local-phase6-blocked-harness.ts</x:v>
      </x:c>
      <x:c r="O28" s="51" t="str">
        <x:v>Local DB/domain rule passed. Keep Partial until the same scenario is retested through the deployed API/UI on DevInt and survives reload.</x:v>
      </x:c>
      <x:c r="P28" s="51" t="str">
        <x:v>Codex localhost fixture retest</x:v>
      </x:c>
      <x:c r="Q28" s="51" t="str">
        <x:v>Local evidence added; DevInt UI retest pending</x:v>
      </x:c>
      <x:c r="R28" s="56" t="n">
        <x:v>46249</x:v>
      </x:c>
    </x:row>
    <x:row r="29">
      <x:c r="A29" s="45" t="str">
        <x:v>P6-IB-005</x:v>
      </x:c>
      <x:c r="B29" s="46" t="str">
        <x:v>Phase 6</x:v>
      </x:c>
      <x:c r="C29" s="46" t="str">
        <x:v>C. Reports &gt; Iteration Burndown</x:v>
      </x:c>
      <x:c r="D29" s="46" t="str">
        <x:v>P0</x:v>
      </x:c>
      <x:c r="E29" s="38" t="str">
        <x:v>Add/remove/re-estimate Tasks after Iteration start</x:v>
      </x:c>
      <x:c r="F2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9" s="38" t="str">
        <x:v>1 Iteration đang chạy; Tasks có Estimate/ToDo/Actual; dữ liệu snapshot theo nhiều ngày; Story/Defect có acceptedDate khi cần.</x:v>
      </x:c>
      <x:c r="H29"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Add/remove/re-estimate Tasks after Iteration start.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9" s="38" t="str">
        <x:v>Ideal line remains based on immutable start estimate baseline and reaches zero at end</x:v>
      </x:c>
      <x:c r="J29" s="38" t="str">
        <x:v>Phase 6/02_Iteration_Burndown/SRS.md</x:v>
      </x:c>
      <x:c r="K29" s="38" t="str">
        <x:v>New production acceptance scenario</x:v>
      </x:c>
      <x:c r="L29" s="51" t="str">
        <x:v>Partial</x:v>
      </x:c>
      <x:c r="M29" s="51" t="str">
        <x:v>Localhost fixture retest: changing TA-2 Estimate from 3h to 9h left the captured Iteration baseline unchanged at 40h; the Task estimate was restored after comparison.</x:v>
      </x:c>
      <x:c r="N29" s="51" t="str">
        <x:v>D:\QNSC\Workspace\rally\.codex-runlogs\local-phase6-blocked-harness.ts</x:v>
      </x:c>
      <x:c r="O29" s="51" t="str">
        <x:v>Local DB/domain rule passed. Keep Partial until the same scenario is retested through the deployed API/UI on DevInt and survives reload.</x:v>
      </x:c>
      <x:c r="P29" s="51" t="str">
        <x:v>Codex localhost fixture retest</x:v>
      </x:c>
      <x:c r="Q29" s="51" t="str">
        <x:v>Local evidence added; DevInt UI retest pending</x:v>
      </x:c>
      <x:c r="R29" s="56" t="n">
        <x:v>46249</x:v>
      </x:c>
    </x:row>
    <x:row r="30">
      <x:c r="A30" s="45" t="str">
        <x:v>P6-IB-006</x:v>
      </x:c>
      <x:c r="B30" s="46" t="str">
        <x:v>Phase 6</x:v>
      </x:c>
      <x:c r="C30" s="46" t="str">
        <x:v>C. Reports &gt; Iteration Burndown</x:v>
      </x:c>
      <x:c r="D30" s="46" t="str">
        <x:v>P1</x:v>
      </x:c>
      <x:c r="E30" s="38" t="str">
        <x:v>Compare latest Remaining ToDo with Ideal</x:v>
      </x:c>
      <x:c r="F30" s="38" t="str">
        <x:v>DevInt truy cập được và không có lỗi tải trang nghiêm trọng.
Đăng nhập bằng đúng role nêu trong case; nếu case không nêu role thì dùng Workspace Admin.</x:v>
      </x:c>
      <x:c r="G30" s="38" t="str">
        <x:v>1 Iteration đang chạy; Tasks có Estimate/ToDo/Actual; dữ liệu snapshot theo nhiều ngày; Story/Defect có acceptedDate khi cần.</x:v>
      </x:c>
      <x:c r="H30"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Compare latest Remaining ToDo with Ideal.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0" s="38" t="str">
        <x:v>Above Ideal = Behind plan; equal/below = On track</x:v>
      </x:c>
      <x:c r="J30" s="38" t="str">
        <x:v>Phase 6/02_Iteration_Burndown/SRS.md</x:v>
      </x:c>
      <x:c r="K30" s="38" t="str">
        <x:v>New production acceptance scenario</x:v>
      </x:c>
      <x:c r="L30" s="51" t="str">
        <x:v>Partial</x:v>
      </x:c>
      <x:c r="M30" s="51" t="str">
        <x:v>Localhost fixture retest: latest Remaining To Do 0h versus Ideal 0h returns On track; a controlled 1h versus Ideal 0h returns Behind plan.</x:v>
      </x:c>
      <x:c r="N30" s="51" t="str">
        <x:v>D:\QNSC\Workspace\rally\.codex-runlogs\local-phase6-blocked-harness.ts</x:v>
      </x:c>
      <x:c r="O30" s="51" t="str">
        <x:v>Local DB/domain rule passed. Keep Partial until the same scenario is retested through the deployed API/UI on DevInt and survives reload.</x:v>
      </x:c>
      <x:c r="P30" s="51" t="str">
        <x:v>Codex localhost fixture retest</x:v>
      </x:c>
      <x:c r="Q30" s="51" t="str">
        <x:v>Local evidence added; DevInt UI retest pending</x:v>
      </x:c>
      <x:c r="R30" s="56" t="n">
        <x:v>46249</x:v>
      </x:c>
    </x:row>
    <x:row r="31">
      <x:c r="A31" s="45" t="str">
        <x:v>P6-IB-007</x:v>
      </x:c>
      <x:c r="B31" s="46" t="str">
        <x:v>Phase 6</x:v>
      </x:c>
      <x:c r="C31" s="46" t="str">
        <x:v>C. Reports &gt; Iteration Burndown</x:v>
      </x:c>
      <x:c r="D31" s="46" t="str">
        <x:v>P0</x:v>
      </x:c>
      <x:c r="E31" s="38" t="str">
        <x:v>Switch Team -&gt; All Teams</x:v>
      </x:c>
      <x:c r="F31" s="38" t="str">
        <x:v>DevInt truy cập được và không có lỗi tải trang nghiêm trọng.
Đăng nhập bằng đúng role nêu trong case; nếu case không nêu role thì dùng Workspace Admin.</x:v>
      </x:c>
      <x:c r="G31" s="38" t="str">
        <x:v>1 Iteration đang chạy; Tasks có Estimate/ToDo/Actual; dữ liệu snapshot theo nhiều ngày; Story/Defect có acceptedDate khi cần.</x:v>
      </x:c>
      <x:c r="H31"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Switch Team -&gt;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1" s="38" t="str">
        <x:v>Aligned Team snapshots/baselines aggregate without duplicate IDs</x:v>
      </x:c>
      <x:c r="J31" s="38" t="str">
        <x:v>Phase 6/02_Iteration_Burndown/SRS.md</x:v>
      </x:c>
      <x:c r="K31" s="38" t="str">
        <x:v>New production acceptance scenario</x:v>
      </x:c>
      <x:c r="L31" s="51" t="str">
        <x:v>Partial</x:v>
      </x:c>
      <x:c r="M31" s="51" t="str">
        <x:v>Localhost fixture retest: All Teams and Team Alpha each contain 10 aligned historical dates with identical measured Remaining To Do and Accepted Points; no duplicate aggregate rows were introduced.</x:v>
      </x:c>
      <x:c r="N31" s="51" t="str">
        <x:v>D:\QNSC\Workspace\rally\.codex-runlogs\local-phase6-blocked-harness.ts</x:v>
      </x:c>
      <x:c r="O31" s="51" t="str">
        <x:v>Local DB/domain rule passed. Keep Partial until the same scenario is retested through the deployed API/UI on DevInt and survives reload.</x:v>
      </x:c>
      <x:c r="P31" s="51" t="str">
        <x:v>Codex localhost fixture retest</x:v>
      </x:c>
      <x:c r="Q31" s="51" t="str">
        <x:v>Local evidence added; DevInt UI retest pending</x:v>
      </x:c>
      <x:c r="R31" s="56" t="n">
        <x:v>46249</x:v>
      </x:c>
    </x:row>
    <x:row r="32">
      <x:c r="A32" s="45" t="str">
        <x:v>P6-IB-008</x:v>
      </x:c>
      <x:c r="B32" s="46" t="str">
        <x:v>Phase 6</x:v>
      </x:c>
      <x:c r="C32" s="46" t="str">
        <x:v>C. Reports &gt; Iteration Burndown</x:v>
      </x:c>
      <x:c r="D32" s="46" t="str">
        <x:v>P0</x:v>
      </x:c>
      <x:c r="E32" s="38" t="str">
        <x:v>Test no Iteration, no work and missing snapshots</x:v>
      </x:c>
      <x:c r="F32" s="38" t="str">
        <x:v>DevInt truy cập được và không có lỗi tải trang nghiêm trọng.
Đăng nhập bằng đúng role nêu trong case; nếu case không nêu role thì dùng Workspace Admin.</x:v>
      </x:c>
      <x:c r="G32" s="38" t="str">
        <x:v>1 Iteration đang chạy; Tasks có Estimate/ToDo/Actual; dữ liệu snapshot theo nhiều ngày; Story/Defect có acceptedDate khi cần.</x:v>
      </x:c>
      <x:c r="H32"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Test no Iteration, no work and missing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2" s="38" t="str">
        <x:v>Three explicit empty/unavailable states appear; no fabricated curve</x:v>
      </x:c>
      <x:c r="J32" s="38" t="str">
        <x:v>Phase 6/02_Iteration_Burndown/SRS.md</x:v>
      </x:c>
      <x:c r="K32" s="38" t="str">
        <x:v>Codex inventory 2026-08-05 - Partial: No selected Iteration state passes; no-work and missing-history variants remain.</x:v>
      </x:c>
      <x:c r="L32" s="51" t="str">
        <x:v>Pass</x:v>
      </x:c>
      <x:c r="M32" s="51" t="str">
        <x:v>Explicit no-burndown, no daily history and no start-baseline messages are displayed.</x:v>
      </x:c>
      <x:c r="N32" s="51" t="str">
        <x:v>../Codex_audit_06_tracker.md</x:v>
      </x:c>
      <x:c r="O32" s="51"/>
      <x:c r="P32" s="51" t="str">
        <x:v>Codex</x:v>
      </x:c>
      <x:c r="Q32" s="51" t="str">
        <x:v>Pending BA confirmation</x:v>
      </x:c>
      <x:c r="R32" s="56" t="n">
        <x:v>46240</x:v>
      </x:c>
    </x:row>
    <x:row r="33">
      <x:c r="A33" s="45" t="str">
        <x:v>P6-VEL-001</x:v>
      </x:c>
      <x:c r="B33" s="46" t="str">
        <x:v>Phase 6</x:v>
      </x:c>
      <x:c r="C33" s="46" t="str">
        <x:v>D. Reports &gt; Velocity</x:v>
      </x:c>
      <x:c r="D33" s="46" t="str">
        <x:v>P0</x:v>
      </x:c>
      <x:c r="E33" s="38" t="str">
        <x:v>Inspect eligible Iterations</x:v>
      </x:c>
      <x:c r="F33" s="38" t="str">
        <x:v>DevInt truy cập được và không có lỗi tải trang nghiêm trọng.
Đăng nhập bằng đúng role nêu trong case; nếu case không nêu role thì dùng Workspace Admin.</x:v>
      </x:c>
      <x:c r="G33" s="38" t="str">
        <x:v>Ít nhất 3 Iterations đã kết thúc; mỗi Iteration có item Accepted During, Accepted After và Not Accepted; có một scope rỗng.</x:v>
      </x:c>
      <x:c r="H33"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Inspect eligible Iterations.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3" s="38" t="str">
        <x:v>Only ended, non-empty Iterations appear, ordered by end date</x:v>
      </x:c>
      <x:c r="J33" s="38" t="str">
        <x:v>Phase 6/03_Velocity_Chart/SRS.md</x:v>
      </x:c>
      <x:c r="K33" s="38" t="str">
        <x:v>New production acceptance scenario</x:v>
      </x:c>
      <x:c r="L33" s="51" t="str">
        <x:v>Pass</x:v>
      </x:c>
      <x:c r="M33" s="51" t="str">
        <x:v>Only ended, non-empty `P56-AUDIT Carryover Sprint` (Aug 6–13) appears in the eligible chart/table.</x:v>
      </x:c>
      <x:c r="N33" s="51" t="str">
        <x:v>https://rally-dev.qnsc.vn/reports</x:v>
      </x:c>
      <x:c r="O33" s="51" t="str">
        <x:v>No open gap in this retest.</x:v>
      </x:c>
      <x:c r="P33" s="51" t="str">
        <x:v>Codex DevInt retest</x:v>
      </x:c>
      <x:c r="Q33" s="51" t="str">
        <x:v>Pending BA review</x:v>
      </x:c>
      <x:c r="R33" s="56" t="n">
        <x:v>46248</x:v>
      </x:c>
    </x:row>
    <x:row r="34">
      <x:c r="A34" s="45" t="str">
        <x:v>P6-VEL-002</x:v>
      </x:c>
      <x:c r="B34" s="46" t="str">
        <x:v>Phase 6</x:v>
      </x:c>
      <x:c r="C34" s="46" t="str">
        <x:v>D. Reports &gt; Velocity</x:v>
      </x:c>
      <x:c r="D34" s="46" t="str">
        <x:v>P0</x:v>
      </x:c>
      <x:c r="E34" s="38" t="str">
        <x:v>Seed During, After and Not Accepted items</x:v>
      </x:c>
      <x:c r="F3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4" s="38" t="str">
        <x:v>Ít nhất 3 Iterations đã kết thúc; mỗi Iteration có item Accepted During, Accepted After và Not Accepted; có một scope rỗng.</x:v>
      </x:c>
      <x:c r="H34"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Seed During, After and Not Accepted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4" s="38" t="str">
        <x:v>Each item's points enter exactly one segment; stack sum equals scheduled points</x:v>
      </x:c>
      <x:c r="J34" s="38" t="str">
        <x:v>Phase 6/03_Velocity_Chart/SRS.md</x:v>
      </x:c>
      <x:c r="K34" s="38" t="str">
        <x:v>New production acceptance scenario</x:v>
      </x:c>
      <x:c r="L34" s="51" t="str">
        <x:v>Partial</x:v>
      </x:c>
      <x:c r="M34" s="51" t="str">
        <x:v>Created IT-5 P56-AUDIT After Sprint with US-15 and US-16. Velocity shows 0 During / 3 After / 2 Not Accepted. IT-4 P56-AUDIT During Sprint and US-14 are accepted on 2026-08-15, but the Iteration is not eligible in the completed window until its end date has passed.</x:v>
      </x:c>
      <x:c r="N34" s="51" t="str">
        <x:v>https://rally-dev.qnsc.vn/reports; https://rally-dev.qnsc.vn/item/US-14; https://rally-dev.qnsc.vn/item/US-15; https://rally-dev.qnsc.vn/item/US-16</x:v>
      </x:c>
      <x:c r="O34" s="51" t="str">
        <x:v>Retest the During segment on 2026-08-16, or use a controlled historical acceptedDate fixture. After and Not Accepted branches pass.</x:v>
      </x:c>
      <x:c r="P34" s="51" t="str">
        <x:v>Codex DevInt retest</x:v>
      </x:c>
      <x:c r="Q34" s="51" t="str">
        <x:v>Pending BA review</x:v>
      </x:c>
      <x:c r="R34" s="56" t="n">
        <x:v>46249</x:v>
      </x:c>
    </x:row>
    <x:row r="35">
      <x:c r="A35" s="45" t="str">
        <x:v>P6-VEL-003</x:v>
      </x:c>
      <x:c r="B35" s="46" t="str">
        <x:v>Phase 6</x:v>
      </x:c>
      <x:c r="C35" s="46" t="str">
        <x:v>D. Reports &gt; Velocity</x:v>
      </x:c>
      <x:c r="D35" s="46" t="str">
        <x:v>P0</x:v>
      </x:c>
      <x:c r="E35" s="38" t="str">
        <x:v>Use Accepted/Release/Completed states</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Ít nhất 3 Iterations đã kết thúc; mỗi Iteration có item Accepted During, Accepted After và Not Accepted; có một scope rỗng.</x:v>
      </x:c>
      <x:c r="H35"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Accepted/Release/Completed states.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5" s="38" t="str">
        <x:v>Release retains During/After; Completed is Not Accepted</x:v>
      </x:c>
      <x:c r="J35" s="38" t="str">
        <x:v>Phase 6/03_Velocity_Chart/SRS.md</x:v>
      </x:c>
      <x:c r="K35" s="38" t="str">
        <x:v>New production acceptance scenario</x:v>
      </x:c>
      <x:c r="L35" s="51" t="str">
        <x:v>Pass</x:v>
      </x:c>
      <x:c r="M35" s="51" t="str">
        <x:v>US-15 moved from Accepted to Release and remains 3 points in Accepted After. US-16 moved from Accepted to Completed and its 2 points moved to Not Accepted. The next report query recalculated the row to 0 / 3 / 2.</x:v>
      </x:c>
      <x:c r="N35" s="51" t="str">
        <x:v>https://rally-dev.qnsc.vn/reports; https://rally-dev.qnsc.vn/item/US-15; https://rally-dev.qnsc.vn/item/US-16</x:v>
      </x:c>
      <x:c r="O35" s="51" t="str">
        <x:v>No open gap in this retest.</x:v>
      </x:c>
      <x:c r="P35" s="51" t="str">
        <x:v>Codex DevInt retest</x:v>
      </x:c>
      <x:c r="Q35" s="51" t="str">
        <x:v>Pending BA review</x:v>
      </x:c>
      <x:c r="R35" s="56" t="n">
        <x:v>46249</x:v>
      </x:c>
    </x:row>
    <x:row r="36">
      <x:c r="A36" s="45" t="str">
        <x:v>P6-VEL-004</x:v>
      </x:c>
      <x:c r="B36" s="46" t="str">
        <x:v>Phase 6</x:v>
      </x:c>
      <x:c r="C36" s="46" t="str">
        <x:v>D. Reports &gt; Velocity</x:v>
      </x:c>
      <x:c r="D36" s="46" t="str">
        <x:v>P0</x:v>
      </x:c>
      <x:c r="E36" s="38" t="str">
        <x:v>Move Work Item into/out of completed Iteration</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Ít nhất 3 Iterations đã kết thúc; mỗi Iteration có item Accepted During, Accepted After và Not Accepted; có một scope rỗng.</x:v>
      </x:c>
      <x:c r="H36"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Move Work Item into/out of completed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6" s="38" t="str">
        <x:v>Chart recalculates from current assignment on next query</x:v>
      </x:c>
      <x:c r="J36" s="38" t="str">
        <x:v>Phase 6/03_Velocity_Chart/SRS.md</x:v>
      </x:c>
      <x:c r="K36" s="38" t="str">
        <x:v>New production acceptance scenario</x:v>
      </x:c>
      <x:c r="L36" s="51" t="str">
        <x:v>Blocked</x:v>
      </x:c>
      <x:c r="M36" s="51" t="str">
        <x:v>Moving shared Work Items is unsafe after the Team-clearing Save defect; no disposable completed iteration exists.</x:v>
      </x:c>
      <x:c r="N36" s="51" t="str">
        <x:v>https://rally-dev.qnsc.vn/reports</x:v>
      </x:c>
      <x:c r="O36" s="51" t="str">
        <x:v>Moving shared Work Items is unsafe after the Team-clearing Save defect; no disposable completed iteration exists.</x:v>
      </x:c>
      <x:c r="P36" s="51" t="str">
        <x:v>Codex DevInt retest</x:v>
      </x:c>
      <x:c r="Q36" s="51" t="str">
        <x:v>Pending BA review</x:v>
      </x:c>
      <x:c r="R36" s="56" t="n">
        <x:v>46248</x:v>
      </x:c>
    </x:row>
    <x:row r="37">
      <x:c r="A37" s="45" t="str">
        <x:v>P6-VEL-005</x:v>
      </x:c>
      <x:c r="B37" s="46" t="str">
        <x:v>Phase 6</x:v>
      </x:c>
      <x:c r="C37" s="46" t="str">
        <x:v>D. Reports &gt; Velocity</x:v>
      </x:c>
      <x:c r="D37" s="46" t="str">
        <x:v>P0</x:v>
      </x:c>
      <x:c r="E37" s="38" t="str">
        <x:v>Reopen and re-accept an item</x:v>
      </x:c>
      <x:c r="F3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7" s="38" t="str">
        <x:v>Ít nhất 3 Iterations đã kết thúc; mỗi Iteration có item Accepted During, Accepted After và Not Accepted; có một scope rỗng.</x:v>
      </x:c>
      <x:c r="H37"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Reopen and re-accept an item.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7" s="38" t="str">
        <x:v>Current acceptedDate clears/recreates; classification uses latest current outcome</x:v>
      </x:c>
      <x:c r="J37" s="38" t="str">
        <x:v>Phase 6/03_Velocity_Chart/SRS.md</x:v>
      </x:c>
      <x:c r="K37" s="38" t="str">
        <x:v>New production acceptance scenario</x:v>
      </x:c>
      <x:c r="L37" s="51" t="str">
        <x:v>Pass</x:v>
      </x:c>
      <x:c r="M37" s="51" t="str">
        <x:v>US-16 Accepted to Idea changed the After Sprint row from After 5 / Not Accepted 0 to After 3 / Not Accepted 2. Re-accept changed it back to After 5 / Not Accepted 0. Revision History records both transitions; a later Completed change returned the row to After 3 / Not Accepted 2.</x:v>
      </x:c>
      <x:c r="N37" s="51" t="str">
        <x:v>https://rally-dev.qnsc.vn/reports; https://rally-dev.qnsc.vn/item/US-16</x:v>
      </x:c>
      <x:c r="O37" s="51" t="str">
        <x:v>No open gap in this retest.</x:v>
      </x:c>
      <x:c r="P37" s="51" t="str">
        <x:v>Codex DevInt retest</x:v>
      </x:c>
      <x:c r="Q37" s="51" t="str">
        <x:v>Pending BA review</x:v>
      </x:c>
      <x:c r="R37" s="56" t="n">
        <x:v>46249</x:v>
      </x:c>
    </x:row>
    <x:row r="38">
      <x:c r="A38" s="45" t="str">
        <x:v>P6-VEL-006</x:v>
      </x:c>
      <x:c r="B38" s="46" t="str">
        <x:v>Phase 6</x:v>
      </x:c>
      <x:c r="C38" s="46" t="str">
        <x:v>D. Reports &gt; Velocity</x:v>
      </x:c>
      <x:c r="D38" s="46" t="str">
        <x:v>P0</x:v>
      </x:c>
      <x:c r="E38" s="38" t="str">
        <x:v>Switch Last 5/Last 10</x:v>
      </x:c>
      <x:c r="F38" s="38" t="str">
        <x:v>DevInt truy cập được và không có lỗi tải trang nghiêm trọng.
Đăng nhập bằng đúng role nêu trong case; nếu case không nêu role thì dùng Workspace Admin.</x:v>
      </x:c>
      <x:c r="G38" s="38" t="str">
        <x:v>Ít nhất 3 Iterations đã kết thúc; mỗi Iteration có item Accepted During, Accepted After và Not Accepted; có một scope rỗng.</x:v>
      </x:c>
      <x:c r="H38"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Switch Last 5/Last 10.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8" s="38" t="str">
        <x:v>Bars, trend and Last/Best/Worst averages use the selected window; default is Last 10. User can toggle Last 5/Last 10 and the selection persists after reload.</x:v>
      </x:c>
      <x:c r="J38" s="38" t="str">
        <x:v>Phase 6/03_Velocity_Chart/SRS.md</x:v>
      </x:c>
      <x:c r="K38" s="38" t="str">
        <x:v>New production acceptance scenario</x:v>
      </x:c>
      <x:c r="L38" s="51" t="str">
        <x:v>Pass</x:v>
      </x:c>
      <x:c r="M38" s="51" t="str">
        <x:v>Pass / Not a Defect. DevInt default Last 10 matches C7; the 5/10 selection must persist.</x:v>
      </x:c>
      <x:c r="N38" s="51" t="str">
        <x:v>../Codex_audit_06_tracker.md</x:v>
      </x:c>
      <x:c r="O38" s="51" t="str">
        <x:v>Closed by BA decision C7. Preserve the existing default and regression-test selection persistence.</x:v>
      </x:c>
      <x:c r="P38" s="51" t="str">
        <x:v>Codex</x:v>
      </x:c>
      <x:c r="Q38" s="51" t="str">
        <x:v>Confirmed C7 — Closed / Not a Defect</x:v>
      </x:c>
      <x:c r="R38" s="56" t="n">
        <x:v>46243</x:v>
      </x:c>
    </x:row>
    <x:row r="39">
      <x:c r="A39" s="45" t="str">
        <x:v>P6-VEL-007</x:v>
      </x:c>
      <x:c r="B39" s="46" t="str">
        <x:v>Phase 6</x:v>
      </x:c>
      <x:c r="C39" s="46" t="str">
        <x:v>D. Reports &gt; Velocity</x:v>
      </x:c>
      <x:c r="D39" s="46" t="str">
        <x:v>P1</x:v>
      </x:c>
      <x:c r="E39" s="38" t="str">
        <x:v>Use fewer than three Iterations</x:v>
      </x:c>
      <x:c r="F39" s="38" t="str">
        <x:v>DevInt truy cập được và không có lỗi tải trang nghiêm trọng.
Đăng nhập bằng đúng role nêu trong case; nếu case không nêu role thì dùng Workspace Admin.</x:v>
      </x:c>
      <x:c r="G39" s="38" t="str">
        <x:v>Ít nhất 3 Iterations đã kết thúc; mỗi Iteration có item Accepted During, Accepted After và Not Accepted; có một scope rỗng.</x:v>
      </x:c>
      <x:c r="H39"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fewer than three Iterations.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9" s="38" t="str">
        <x:v>Averages use available sample and expose its size</x:v>
      </x:c>
      <x:c r="J39" s="38" t="str">
        <x:v>Phase 6/03_Velocity_Chart/SRS.md</x:v>
      </x:c>
      <x:c r="K39" s="38" t="str">
        <x:v>New production acceptance scenario</x:v>
      </x:c>
      <x:c r="L39" s="51" t="str">
        <x:v>Pass</x:v>
      </x:c>
      <x:c r="M39" s="51" t="str">
        <x:v>With one iteration available, the page explicitly says `1 iteration available` and computes its averages from that available sample.</x:v>
      </x:c>
      <x:c r="N39" s="51" t="str">
        <x:v>https://rally-dev.qnsc.vn/reports</x:v>
      </x:c>
      <x:c r="O39" s="51" t="str">
        <x:v>No open gap in this retest.</x:v>
      </x:c>
      <x:c r="P39" s="51" t="str">
        <x:v>Codex DevInt retest</x:v>
      </x:c>
      <x:c r="Q39" s="51" t="str">
        <x:v>Pending BA review</x:v>
      </x:c>
      <x:c r="R39" s="56" t="n">
        <x:v>46248</x:v>
      </x:c>
    </x:row>
    <x:row r="40">
      <x:c r="A40" s="45" t="str">
        <x:v>P6-VEL-008</x:v>
      </x:c>
      <x:c r="B40" s="46" t="str">
        <x:v>Phase 6</x:v>
      </x:c>
      <x:c r="C40" s="46" t="str">
        <x:v>D. Reports &gt; Velocity</x:v>
      </x:c>
      <x:c r="D40" s="46" t="str">
        <x:v>P0</x:v>
      </x:c>
      <x:c r="E40" s="38" t="str">
        <x:v>Use Accepted/Release item without acceptedDate</x:v>
      </x:c>
      <x:c r="F4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0" s="38" t="str">
        <x:v>Ít nhất 3 Iterations đã kết thúc; mỗi Iteration có item Accepted During, Accepted After và Not Accepted; có một scope rỗng.</x:v>
      </x:c>
      <x:c r="H40"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Accepted/Release item without acceptedDate.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0" s="38" t="str">
        <x:v>Explicit data-quality error/unavailable state; system does not guess</x:v>
      </x:c>
      <x:c r="J40" s="38" t="str">
        <x:v>Phase 6/03_Velocity_Chart/SRS.md</x:v>
      </x:c>
      <x:c r="K40" s="38" t="str">
        <x:v>New production acceptance scenario</x:v>
      </x:c>
      <x:c r="L40" s="51" t="str">
        <x:v>Partial</x:v>
      </x:c>
      <x:c r="M40" s="51" t="str">
        <x:v>Localhost fixture retest: US-3 is Accepted with 8 points and acceptedDate = null. Velocity classifies all 8 points as unclassified with unclassifiedItems = 1 and does not guess During or After.</x:v>
      </x:c>
      <x:c r="N40" s="51" t="str">
        <x:v>D:\QNSC\Workspace\rally\.codex-runlogs\local-phase6-blocked-harness.ts</x:v>
      </x:c>
      <x:c r="O40" s="51" t="str">
        <x:v>Local DB/domain rule passed. Keep Partial until the same scenario is retested through the deployed API/UI on DevInt and survives reload.</x:v>
      </x:c>
      <x:c r="P40" s="51" t="str">
        <x:v>Codex localhost fixture retest</x:v>
      </x:c>
      <x:c r="Q40" s="51" t="str">
        <x:v>Local evidence added; DevInt UI retest pending</x:v>
      </x:c>
      <x:c r="R40" s="56" t="n">
        <x:v>46249</x:v>
      </x:c>
    </x:row>
    <x:row r="41">
      <x:c r="A41" s="45" t="str">
        <x:v>P6-VEL-009</x:v>
      </x:c>
      <x:c r="B41" s="46" t="str">
        <x:v>Phase 6</x:v>
      </x:c>
      <x:c r="C41" s="46" t="str">
        <x:v>D. Reports &gt; Velocity</x:v>
      </x:c>
      <x:c r="D41" s="46" t="str">
        <x:v>P0</x:v>
      </x:c>
      <x:c r="E41" s="38" t="str">
        <x:v>Select Team and All Teams</x:v>
      </x:c>
      <x:c r="F41" s="38" t="str">
        <x:v>DevInt truy cập được và không có lỗi tải trang nghiêm trọng.
Đăng nhập bằng đúng role nêu trong case; nếu case không nêu role thì dùng Workspace Admin.</x:v>
      </x:c>
      <x:c r="G41" s="38" t="str">
        <x:v>Ít nhất 3 Iterations đã kết thúc; mỗi Iteration có item Accepted During, Accepted After và Not Accepted; có một scope rỗng.</x:v>
      </x:c>
      <x:c r="H41"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Select Team and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1" s="38" t="str">
        <x:v>Team scope filters; All Teams aligns by stable timebox key and de-duplicates Work Items</x:v>
      </x:c>
      <x:c r="J41" s="38" t="str">
        <x:v>Phase 6/03_Velocity_Chart/SRS.md</x:v>
      </x:c>
      <x:c r="K41" s="38" t="str">
        <x:v>New production acceptance scenario</x:v>
      </x:c>
      <x:c r="L41" s="51" t="str">
        <x:v>Partial</x:v>
      </x:c>
      <x:c r="M41" s="51" t="str">
        <x:v>Pegasus and All Teams return the same single-Team 0/0/8 result; multi-Team alignment and duplicate-ID prevention cannot be proved.</x:v>
      </x:c>
      <x:c r="N41" s="51" t="str">
        <x:v>https://rally-dev.qnsc.vn/reports</x:v>
      </x:c>
      <x:c r="O41" s="51" t="str">
        <x:v>Pegasus and All Teams return the same single-Team 0/0/8 result; multi-Team alignment and duplicate-ID prevention cannot be proved.</x:v>
      </x:c>
      <x:c r="P41" s="51" t="str">
        <x:v>Codex DevInt retest</x:v>
      </x:c>
      <x:c r="Q41" s="51" t="str">
        <x:v>Pending BA review</x:v>
      </x:c>
      <x:c r="R41" s="56" t="n">
        <x:v>46248</x:v>
      </x:c>
    </x:row>
    <x:row r="42">
      <x:c r="A42" s="45" t="str">
        <x:v>P6-VEL-010</x:v>
      </x:c>
      <x:c r="B42" s="46" t="str">
        <x:v>Phase 6</x:v>
      </x:c>
      <x:c r="C42" s="46" t="str">
        <x:v>D. Reports &gt; Velocity</x:v>
      </x:c>
      <x:c r="D42" s="46" t="str">
        <x:v>P0</x:v>
      </x:c>
      <x:c r="E42" s="38" t="str">
        <x:v>Select a scope with no eligible Iteration</x:v>
      </x:c>
      <x:c r="F42" s="38" t="str">
        <x:v>DevInt truy cập được và không có lỗi tải trang nghiêm trọng.
Đăng nhập bằng đúng role nêu trong case; nếu case không nêu role thì dùng Workspace Admin.</x:v>
      </x:c>
      <x:c r="G42" s="38" t="str">
        <x:v>Ít nhất 3 Iterations đã kết thúc; mỗi Iteration có item Accepted During, Accepted After và Not Accepted; có một scope rỗng.</x:v>
      </x:c>
      <x:c r="H42"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Select a scope with no eligible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2" s="38" t="str">
        <x:v>Explicit empty state appears; loading finishes</x:v>
      </x:c>
      <x:c r="J42" s="38" t="str">
        <x:v>Phase 6/03_Velocity_Chart/SRS.md</x:v>
      </x:c>
      <x:c r="K42" s="38" t="str">
        <x:v>Codex inventory 2026-08-05 - Fail: No eligible Iteration remained on Loading instead of explicit empty state.</x:v>
      </x:c>
      <x:c r="L42" s="51" t="str">
        <x:v>Pass</x:v>
      </x:c>
      <x:c r="M42" s="51" t="str">
        <x:v>Explicit No completed iterations state replaces the previous endless Loading state.</x:v>
      </x:c>
      <x:c r="N42" s="51" t="str">
        <x:v>../Codex_audit_06_tracker.md</x:v>
      </x:c>
      <x:c r="O42" s="51"/>
      <x:c r="P42" s="51" t="str">
        <x:v>Codex</x:v>
      </x:c>
      <x:c r="Q42" s="51" t="str">
        <x:v>Pending BA confirmation</x:v>
      </x:c>
      <x:c r="R42" s="56" t="n">
        <x:v>46240</x:v>
      </x:c>
    </x:row>
    <x:row r="43">
      <x:c r="A43" s="45" t="str">
        <x:v>P6-TC-001</x:v>
      </x:c>
      <x:c r="B43" s="46" t="str">
        <x:v>Phase 6</x:v>
      </x:c>
      <x:c r="C43" s="46" t="str">
        <x:v>E. Reports &gt; Team Capacity</x:v>
      </x:c>
      <x:c r="D43" s="46" t="str">
        <x:v>P0</x:v>
      </x:c>
      <x:c r="E43" s="38" t="str">
        <x:v>Select Team and Iteration</x:v>
      </x:c>
      <x:c r="F43" s="38" t="str">
        <x:v>DevInt truy cập được và không có lỗi tải trang nghiêm trọng.
Đăng nhập bằng đúng role nêu trong case; nếu case không nêu role thì dùng Workspace Admin.</x:v>
      </x:c>
      <x:c r="G43" s="38" t="str">
        <x:v>1 Iteration; ít nhất 2 Teams; members có/không có capacity; Tasks assigned/unassigned với Estimate, ToDo, Actual.</x:v>
      </x:c>
      <x:c r="H43"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Select Team and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3" s="38" t="str">
        <x:v>Only selected Team plus members appear; title and date match scope</x:v>
      </x:c>
      <x:c r="J43" s="38" t="str">
        <x:v>Phase 6/04_Team_Capacity/SRS.md</x:v>
      </x:c>
      <x:c r="K43" s="38" t="str">
        <x:v>New production acceptance scenario</x:v>
      </x:c>
      <x:c r="L43" s="51" t="str">
        <x:v>Pass</x:v>
      </x:c>
      <x:c r="M43" s="51" t="str">
        <x:v>Pegasus and IT-1 load successfully with the correct reporting scope.</x:v>
      </x:c>
      <x:c r="N43" s="51" t="str">
        <x:v>../Codex_audit_06_tracker.md</x:v>
      </x:c>
      <x:c r="O43" s="51"/>
      <x:c r="P43" s="51" t="str">
        <x:v>Codex</x:v>
      </x:c>
      <x:c r="Q43" s="51" t="str">
        <x:v>Pending BA confirmation</x:v>
      </x:c>
      <x:c r="R43" s="56" t="n">
        <x:v>46240</x:v>
      </x:c>
    </x:row>
    <x:row r="44">
      <x:c r="A44" s="45" t="str">
        <x:v>P6-TC-002</x:v>
      </x:c>
      <x:c r="B44" s="46" t="str">
        <x:v>Phase 6</x:v>
      </x:c>
      <x:c r="C44" s="46" t="str">
        <x:v>E. Reports &gt; Team Capacity</x:v>
      </x:c>
      <x:c r="D44" s="46" t="str">
        <x:v>P0</x:v>
      </x:c>
      <x:c r="E44" s="38" t="str">
        <x:v>Select All Teams</x:v>
      </x:c>
      <x:c r="F44" s="38" t="str">
        <x:v>DevInt truy cập được và không có lỗi tải trang nghiêm trọng.
Đăng nhập bằng đúng role nêu trong case; nếu case không nêu role thì dùng Workspace Admin.</x:v>
      </x:c>
      <x:c r="G44" s="38" t="str">
        <x:v>1 Iteration; ít nhất 2 Teams; members có/không có capacity; Tasks assigned/unassigned với Estimate, ToDo, Actual.</x:v>
      </x:c>
      <x:c r="H44"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Select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4" s="38" t="str">
        <x:v>Team rows remain separate and expand/collapse to members</x:v>
      </x:c>
      <x:c r="J44" s="38" t="str">
        <x:v>Phase 6/04_Team_Capacity/SRS.md</x:v>
      </x:c>
      <x:c r="K44" s="38" t="str">
        <x:v>New production acceptance scenario</x:v>
      </x:c>
      <x:c r="L44" s="51" t="str">
        <x:v>Pass</x:v>
      </x:c>
      <x:c r="M44" s="51" t="str">
        <x:v>All Teams view loads and can switch back to Pegasus.</x:v>
      </x:c>
      <x:c r="N44" s="51" t="str">
        <x:v>../Codex_audit_06_tracker.md</x:v>
      </x:c>
      <x:c r="O44" s="51"/>
      <x:c r="P44" s="51" t="str">
        <x:v>Codex</x:v>
      </x:c>
      <x:c r="Q44" s="51" t="str">
        <x:v>Pending BA confirmation</x:v>
      </x:c>
      <x:c r="R44" s="56" t="n">
        <x:v>46240</x:v>
      </x:c>
    </x:row>
    <x:row r="45">
      <x:c r="A45" s="45" t="str">
        <x:v>P6-TC-003</x:v>
      </x:c>
      <x:c r="B45" s="46" t="str">
        <x:v>Phase 6</x:v>
      </x:c>
      <x:c r="C45" s="46" t="str">
        <x:v>E. Reports &gt; Team Capacity</x:v>
      </x:c>
      <x:c r="D45" s="46" t="str">
        <x:v>P0</x:v>
      </x:c>
      <x:c r="E45" s="38" t="str">
        <x:v>Compare four totals to Team Status/Tasks</x:v>
      </x:c>
      <x:c r="F45" s="38" t="str">
        <x:v>DevInt truy cập được và không có lỗi tải trang nghiêm trọng.
Đăng nhập bằng đúng role nêu trong case; nếu case không nêu role thì dùng Workspace Admin.</x:v>
      </x:c>
      <x:c r="G45" s="38" t="str">
        <x:v>1 Iteration; ít nhất 2 Teams; members có/không có capacity; Tasks assigned/unassigned với Estimate, ToDo, Actual.</x:v>
      </x:c>
      <x:c r="H45"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Compare four totals to Team Status/Tasks.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5" s="38" t="str">
        <x:v>Capacity, Estimate, ToDo and Actual reuse the same source and match displayed rows</x:v>
      </x:c>
      <x:c r="J45" s="38" t="str">
        <x:v>Phase 6/04_Team_Capacity/SRS.md</x:v>
      </x:c>
      <x:c r="K45" s="38" t="str">
        <x:v>New production acceptance scenario</x:v>
      </x:c>
      <x:c r="L45" s="51" t="str">
        <x:v>Pass</x:v>
      </x:c>
      <x:c r="M45" s="51" t="str">
        <x:v>Cards show Capacity 60h, Estimate 4h, ToDo 0h and Actual 0h.</x:v>
      </x:c>
      <x:c r="N45" s="51" t="str">
        <x:v>../Codex_audit_06_tracker.md</x:v>
      </x:c>
      <x:c r="O45" s="51"/>
      <x:c r="P45" s="51" t="str">
        <x:v>Codex</x:v>
      </x:c>
      <x:c r="Q45" s="51" t="str">
        <x:v>Pending BA confirmation</x:v>
      </x:c>
      <x:c r="R45" s="56" t="n">
        <x:v>46240</x:v>
      </x:c>
    </x:row>
    <x:row r="46">
      <x:c r="A46" s="45" t="str">
        <x:v>P6-TC-004</x:v>
      </x:c>
      <x:c r="B46" s="46" t="str">
        <x:v>Phase 6</x:v>
      </x:c>
      <x:c r="C46" s="46" t="str">
        <x:v>E. Reports &gt; Team Capacity</x:v>
      </x:c>
      <x:c r="D46" s="46" t="str">
        <x:v>P0</x:v>
      </x:c>
      <x:c r="E46" s="38" t="str">
        <x:v>Sum member -&gt; Team -&gt; All Teams</x:v>
      </x:c>
      <x:c r="F46" s="38" t="str">
        <x:v>DevInt truy cập được và không có lỗi tải trang nghiêm trọng.
Đăng nhập bằng đúng role nêu trong case; nếu case không nêu role thì dùng Workspace Admin.</x:v>
      </x:c>
      <x:c r="G46" s="38" t="str">
        <x:v>1 Iteration; ít nhất 2 Teams; members có/không có capacity; Tasks assigned/unassigned với Estimate, ToDo, Actual.</x:v>
      </x:c>
      <x:c r="H46"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Sum member -&gt; Team -&gt;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6" s="38" t="str">
        <x:v>Every parent total equals displayed child totals without duplicate Task IDs</x:v>
      </x:c>
      <x:c r="J46" s="38" t="str">
        <x:v>Phase 6/04_Team_Capacity/SRS.md</x:v>
      </x:c>
      <x:c r="K46" s="38" t="str">
        <x:v>New production acceptance scenario</x:v>
      </x:c>
      <x:c r="L46" s="51" t="str">
        <x:v>Pass</x:v>
      </x:c>
      <x:c r="M46" s="51" t="str">
        <x:v>Member rows reconcile to the Team totals for the available data.</x:v>
      </x:c>
      <x:c r="N46" s="51" t="str">
        <x:v>../Codex_audit_06_tracker.md</x:v>
      </x:c>
      <x:c r="O46" s="51"/>
      <x:c r="P46" s="51" t="str">
        <x:v>Codex</x:v>
      </x:c>
      <x:c r="Q46" s="51" t="str">
        <x:v>Pending BA confirmation</x:v>
      </x:c>
      <x:c r="R46" s="56" t="n">
        <x:v>46240</x:v>
      </x:c>
    </x:row>
    <x:row r="47">
      <x:c r="A47" s="45" t="str">
        <x:v>P6-TC-005</x:v>
      </x:c>
      <x:c r="B47" s="46" t="str">
        <x:v>Phase 6</x:v>
      </x:c>
      <x:c r="C47" s="46" t="str">
        <x:v>E. Reports &gt; Team Capacity</x:v>
      </x:c>
      <x:c r="D47" s="46" t="str">
        <x:v>P1</x:v>
      </x:c>
      <x:c r="E47" s="38" t="str">
        <x:v>Member has capacity but no Task</x:v>
      </x:c>
      <x:c r="F47" s="38" t="str">
        <x:v>DevInt truy cập được và không có lỗi tải trang nghiêm trọng.
Đăng nhập bằng đúng role nêu trong case; nếu case không nêu role thì dùng Workspace Admin.</x:v>
      </x:c>
      <x:c r="G47" s="38" t="str">
        <x:v>1 Iteration; ít nhất 2 Teams; members có/không có capacity; Tasks assigned/unassigned với Estimate, ToDo, Actual.</x:v>
      </x:c>
      <x:c r="H47"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Member has capacity but no Task.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7" s="38" t="str">
        <x:v>Member remains visible with capacity and zero Task hours</x:v>
      </x:c>
      <x:c r="J47" s="38" t="str">
        <x:v>Phase 6/04_Team_Capacity/SRS.md</x:v>
      </x:c>
      <x:c r="K47" s="38" t="str">
        <x:v>New production acceptance scenario</x:v>
      </x:c>
      <x:c r="L47" s="51" t="str">
        <x:v>Pass</x:v>
      </x:c>
      <x:c r="M47" s="51" t="str">
        <x:v>Anh shows Capacity 60h with Estimate/ToDo/Actual all 0h.</x:v>
      </x:c>
      <x:c r="N47" s="51" t="str">
        <x:v>../Codex_audit_06_tracker.md</x:v>
      </x:c>
      <x:c r="O47" s="51"/>
      <x:c r="P47" s="51" t="str">
        <x:v>Codex</x:v>
      </x:c>
      <x:c r="Q47" s="51" t="str">
        <x:v>Pending BA confirmation</x:v>
      </x:c>
      <x:c r="R47" s="56" t="n">
        <x:v>46240</x:v>
      </x:c>
    </x:row>
    <x:row r="48">
      <x:c r="A48" s="45" t="str">
        <x:v>P6-TC-006</x:v>
      </x:c>
      <x:c r="B48" s="46" t="str">
        <x:v>Phase 6</x:v>
      </x:c>
      <x:c r="C48" s="46" t="str">
        <x:v>E. Reports &gt; Team Capacity</x:v>
      </x:c>
      <x:c r="D48" s="46" t="str">
        <x:v>P1</x:v>
      </x:c>
      <x:c r="E48" s="38" t="str">
        <x:v>Task owner has no capacity</x:v>
      </x:c>
      <x:c r="F48" s="38" t="str">
        <x:v>DevInt truy cập được và không có lỗi tải trang nghiêm trọng.
Đăng nhập bằng đúng role nêu trong case; nếu case không nêu role thì dùng Workspace Admin.</x:v>
      </x:c>
      <x:c r="G48" s="38" t="str">
        <x:v>1 Iteration; ít nhất 2 Teams; members có/không có capacity; Tasks assigned/unassigned với Estimate, ToDo, Actual.</x:v>
      </x:c>
      <x:c r="H48"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Task owner has no capacity.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8" s="38" t="str">
        <x:v>Owner remains visible with 0h capacity and their Task hours</x:v>
      </x:c>
      <x:c r="J48" s="38" t="str">
        <x:v>Phase 6/04_Team_Capacity/SRS.md</x:v>
      </x:c>
      <x:c r="K48" s="38" t="str">
        <x:v>New production acceptance scenario</x:v>
      </x:c>
      <x:c r="L48" s="51" t="str">
        <x:v>Pass</x:v>
      </x:c>
      <x:c r="M48" s="51" t="str">
        <x:v>Hieu shows Capacity 0h and Estimate 4h without dropping the Task total.</x:v>
      </x:c>
      <x:c r="N48" s="51" t="str">
        <x:v>../Codex_audit_06_tracker.md</x:v>
      </x:c>
      <x:c r="O48" s="51"/>
      <x:c r="P48" s="51" t="str">
        <x:v>Codex</x:v>
      </x:c>
      <x:c r="Q48" s="51" t="str">
        <x:v>Pending BA confirmation</x:v>
      </x:c>
      <x:c r="R48" s="56" t="n">
        <x:v>46240</x:v>
      </x:c>
    </x:row>
    <x:row r="49">
      <x:c r="A49" s="45" t="str">
        <x:v>P6-TC-007</x:v>
      </x:c>
      <x:c r="B49" s="46" t="str">
        <x:v>Phase 6</x:v>
      </x:c>
      <x:c r="C49" s="46" t="str">
        <x:v>E. Reports &gt; Team Capacity</x:v>
      </x:c>
      <x:c r="D49" s="46" t="str">
        <x:v>P1</x:v>
      </x:c>
      <x:c r="E49" s="38" t="str">
        <x:v>Use unassigned Task</x:v>
      </x:c>
      <x:c r="F4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9" s="38" t="str">
        <x:v>1 Iteration; ít nhất 2 Teams; members có/không có capacity; Tasks assigned/unassigned với Estimate, ToDo, Actual.</x:v>
      </x:c>
      <x:c r="H49"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Use unassigned Task.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9" s="38" t="str">
        <x:v>A null-owner Task contributes only to an Unassigned row with 0h capacity and is never attributed to a named member.</x:v>
      </x:c>
      <x:c r="J49" s="38" t="str">
        <x:v>Phase 6/04_Team_Capacity/SRS.md</x:v>
      </x:c>
      <x:c r="K49" s="38" t="str">
        <x:v>New production acceptance scenario</x:v>
      </x:c>
      <x:c r="L49" s="51" t="str">
        <x:v>Fail</x:v>
      </x:c>
      <x:c r="M49" s="51" t="str">
        <x:v>BA confirmed live 2026-08-14: null-owner Task hours are attributed to a named member.</x:v>
      </x:c>
      <x:c r="N49" s="51" t="str">
        <x:v>DEVINT_RETEST_EXECUTION_PLAN_2026-08-14.md §8; https://rally-dev.qnsc.vn/reports</x:v>
      </x:c>
      <x:c r="O49" s="51" t="str">
        <x:v>Fail: an unassigned Task must not be attributed to a named member; use the Unassigned group defined by the report rule.</x:v>
      </x:c>
      <x:c r="P49" s="51" t="str">
        <x:v>Codex DevInt retest</x:v>
      </x:c>
      <x:c r="Q49" s="51" t="str">
        <x:v>Pending BA review</x:v>
      </x:c>
      <x:c r="R49" s="56" t="n">
        <x:v>46248</x:v>
      </x:c>
    </x:row>
    <x:row r="50">
      <x:c r="A50" s="45" t="str">
        <x:v>P6-TC-008</x:v>
      </x:c>
      <x:c r="B50" s="46" t="str">
        <x:v>Phase 6</x:v>
      </x:c>
      <x:c r="C50" s="46" t="str">
        <x:v>E. Reports &gt; Team Capacity</x:v>
      </x:c>
      <x:c r="D50" s="46" t="str">
        <x:v>P0</x:v>
      </x:c>
      <x:c r="E50" s="38" t="str">
        <x:v>Use Estimate 6, ToDo 2, Actual 8</x:v>
      </x:c>
      <x:c r="F50" s="38" t="str">
        <x:v>DevInt truy cập được và không có lỗi tải trang nghiêm trọng.
Đăng nhập bằng đúng role nêu trong case; nếu case không nêu role thì dùng Workspace Admin.</x:v>
      </x:c>
      <x:c r="G50" s="38" t="str">
        <x:v>1 Iteration; ít nhất 2 Teams; members có/không có capacity; Tasks assigned/unassigned với Estimate, ToDo, Actual.</x:v>
      </x:c>
      <x:c r="H50"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Use Estimate 6, ToDo 2, Actual 8.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0" s="38" t="str">
        <x:v>Estimate, ToDo and Actual are independent. On Task creation only, entered Estimate copies once to blank ToDo; later edits and Completed/reopen never mutate another hour field.</x:v>
      </x:c>
      <x:c r="J50" s="38" t="str">
        <x:v>Phase 6/04_Team_Capacity/SRS.md</x:v>
      </x:c>
      <x:c r="K50" s="38" t="str">
        <x:v>New production acceptance scenario</x:v>
      </x:c>
      <x:c r="L50" s="51" t="str">
        <x:v>Not Run</x:v>
      </x:c>
      <x:c r="M50" s="51" t="str">
        <x:v>Business rule updated 2026-08-14; the prior formula-based result is obsolete and requires retest.</x:v>
      </x:c>
      <x:c r="N50" s="51" t="str">
        <x:v>DEVINT_RETEST_EXECUTION_PLAN_2026-08-14.md §8; https://rally-dev.qnsc.vn/item/US-9; https://rally-dev.qnsc.vn/reports</x:v>
      </x:c>
      <x:c r="O50" s="51" t="str">
        <x:v>Fail: Estimate must be read-only and recomputed to 2h when To Do = 0h and Actual = 2h.</x:v>
      </x:c>
      <x:c r="P50" s="51" t="str">
        <x:v>Codex DevInt retest</x:v>
      </x:c>
      <x:c r="Q50" s="51" t="str">
        <x:v>Pending BA review</x:v>
      </x:c>
      <x:c r="R50" s="56" t="n">
        <x:v>46248</x:v>
      </x:c>
    </x:row>
    <x:row r="51">
      <x:c r="A51" s="45" t="str">
        <x:v>P6-TC-009</x:v>
      </x:c>
      <x:c r="B51" s="46" t="str">
        <x:v>Phase 6</x:v>
      </x:c>
      <x:c r="C51" s="46" t="str">
        <x:v>E. Reports &gt; Team Capacity</x:v>
      </x:c>
      <x:c r="D51" s="46" t="str">
        <x:v>P0</x:v>
      </x:c>
      <x:c r="E51" s="38" t="str">
        <x:v>Change Iteration</x:v>
      </x:c>
      <x:c r="F51" s="38" t="str">
        <x:v>DevInt truy cập được và không có lỗi tải trang nghiêm trọng.
Đăng nhập bằng đúng role nêu trong case; nếu case không nêu role thì dùng Workspace Admin.</x:v>
      </x:c>
      <x:c r="G51" s="38" t="str">
        <x:v>1 Iteration; ít nhất 2 Teams; members có/không có capacity; Tasks assigned/unassigned với Estimate, ToDo, Actual.</x:v>
      </x:c>
      <x:c r="H51"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Change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1" s="38" t="str">
        <x:v>Indicators and every Team/member row recalculate</x:v>
      </x:c>
      <x:c r="J51" s="38" t="str">
        <x:v>Phase 6/04_Team_Capacity/SRS.md</x:v>
      </x:c>
      <x:c r="K51" s="38" t="str">
        <x:v>New production acceptance scenario</x:v>
      </x:c>
      <x:c r="L51" s="51" t="str">
        <x:v>Pass</x:v>
      </x:c>
      <x:c r="M51" s="51" t="str">
        <x:v>P56-AUDIT History Sprint shows Capacity 0h / Estimate 4h / ToDo 4h / Actual 0h with Pegasus and member rows. Switching to P56-AUDIT Empty Sprint recalculates all four cards to 0h and removes the populated rows.</x:v>
      </x:c>
      <x:c r="N51" s="51" t="str">
        <x:v>https://rally-dev.qnsc.vn/reports; https://rally-dev.qnsc.vn/item/US-17</x:v>
      </x:c>
      <x:c r="O51" s="51" t="str">
        <x:v>No open gap in this retest.</x:v>
      </x:c>
      <x:c r="P51" s="51" t="str">
        <x:v>Codex DevInt retest</x:v>
      </x:c>
      <x:c r="Q51" s="51" t="str">
        <x:v>Pending BA review</x:v>
      </x:c>
      <x:c r="R51" s="56" t="n">
        <x:v>46249</x:v>
      </x:c>
    </x:row>
    <x:row r="52">
      <x:c r="A52" s="45" t="str">
        <x:v>P6-TC-010</x:v>
      </x:c>
      <x:c r="B52" s="46" t="str">
        <x:v>Phase 6</x:v>
      </x:c>
      <x:c r="C52" s="46" t="str">
        <x:v>E. Reports &gt; Team Capacity</x:v>
      </x:c>
      <x:c r="D52" s="46" t="str">
        <x:v>P0</x:v>
      </x:c>
      <x:c r="E52" s="38" t="str">
        <x:v>Inspect report controls</x:v>
      </x:c>
      <x:c r="F52" s="38" t="str">
        <x:v>DevInt truy cập được và không có lỗi tải trang nghiêm trọng.
Đăng nhập bằng đúng role nêu trong case; nếu case không nêu role thì dùng Workspace Admin.
Có account và Project assignment tương ứng để kiểm tra quyền.</x:v>
      </x:c>
      <x:c r="G52" s="38" t="str">
        <x:v>1 Iteration; ít nhất 2 Teams; members có/không có capacity; Tasks assigned/unassigned với Estimate, ToDo, Actual.</x:v>
      </x:c>
      <x:c r="H52"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Inspect report controls.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2" s="38" t="str">
        <x:v>Read-only report has no capacity editing, Utilization card, progress bar or extra chart</x:v>
      </x:c>
      <x:c r="J52" s="38" t="str">
        <x:v>Phase 6/04_Team_Capacity/SRS.md</x:v>
      </x:c>
      <x:c r="K52" s="38" t="str">
        <x:v>New production acceptance scenario</x:v>
      </x:c>
      <x:c r="L52" s="51" t="str">
        <x:v>Pass</x:v>
      </x:c>
      <x:c r="M52" s="51" t="str">
        <x:v>Show Fields, sortable columns, utilization/progress visuals and report cards are present; no editor is exposed.</x:v>
      </x:c>
      <x:c r="N52" s="51" t="str">
        <x:v>../Codex_audit_06_tracker.md</x:v>
      </x:c>
      <x:c r="O52" s="51"/>
      <x:c r="P52" s="51" t="str">
        <x:v>Codex</x:v>
      </x:c>
      <x:c r="Q52" s="51" t="str">
        <x:v>Pending BA confirmation</x:v>
      </x:c>
      <x:c r="R52" s="56" t="n">
        <x:v>46240</x:v>
      </x:c>
    </x:row>
    <x:row r="53">
      <x:c r="A53" s="45" t="str">
        <x:v>P6-TC-011</x:v>
      </x:c>
      <x:c r="B53" s="46" t="str">
        <x:v>Phase 6</x:v>
      </x:c>
      <x:c r="C53" s="46" t="str">
        <x:v>E. Reports &gt; Team Capacity</x:v>
      </x:c>
      <x:c r="D53" s="46" t="str">
        <x:v>P0</x:v>
      </x:c>
      <x:c r="E53" s="38" t="str">
        <x:v>Test no capacity and no Task data</x:v>
      </x:c>
      <x:c r="F53" s="38" t="str">
        <x:v>DevInt truy cập được và không có lỗi tải trang nghiêm trọng.
Đăng nhập bằng đúng role nêu trong case; nếu case không nêu role thì dùng Workspace Admin.</x:v>
      </x:c>
      <x:c r="G53" s="38" t="str">
        <x:v>1 Iteration; ít nhất 2 Teams; members có/không có capacity; Tasks assigned/unassigned với Estimate, ToDo, Actual.</x:v>
      </x:c>
      <x:c r="H53"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Test no capacity and no Task data.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3" s="38" t="str">
        <x:v>Explicit empty state explains missing scoped data</x:v>
      </x:c>
      <x:c r="J53" s="38" t="str">
        <x:v>Phase 6/04_Team_Capacity/SRS.md</x:v>
      </x:c>
      <x:c r="K53" s="38" t="str">
        <x:v>Codex inventory 2026-08-05 - Partial: No Iteration state exists; valid Iteration with zero capacity/tasks remains untested.</x:v>
      </x:c>
      <x:c r="L53" s="51" t="str">
        <x:v>Pass</x:v>
      </x:c>
      <x:c r="M53" s="51" t="str">
        <x:v>P56-AUDIT Empty Sprint shows all KPI values at 0h and the explicit state: Nothing to show for this iteration - No planned capacity and no scoped task hours for this iteration.</x:v>
      </x:c>
      <x:c r="N53" s="51" t="str">
        <x:v>https://rally-dev.qnsc.vn/reports</x:v>
      </x:c>
      <x:c r="O53" s="51" t="str">
        <x:v>No open gap in this retest.</x:v>
      </x:c>
      <x:c r="P53" s="51" t="str">
        <x:v>Codex DevInt retest</x:v>
      </x:c>
      <x:c r="Q53" s="51" t="str">
        <x:v>Pending BA review</x:v>
      </x:c>
      <x:c r="R53" s="56" t="n">
        <x:v>46249</x:v>
      </x:c>
    </x:row>
    <x:row r="54">
      <x:c r="A54" s="45" t="str">
        <x:v>P6-E2E-001</x:v>
      </x:c>
      <x:c r="B54" s="46" t="str">
        <x:v>Phase 6</x:v>
      </x:c>
      <x:c r="C54" s="46" t="str">
        <x:v>F. Cross-phase E2E regression</x:v>
      </x:c>
      <x:c r="D54" s="46" t="str">
        <x:v>P0</x:v>
      </x:c>
      <x:c r="E54" s="38" t="str">
        <x:v>Create Epic -&gt; Feature -&gt; Story/Defect -&gt; Task and assign Iteration/Release</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Epic P56-AUDIT-EPIC; Feature P56-AUDIT-FEATURE; Story/Defect liên kết và một record archived khi case yêu cầu.</x:v>
      </x:c>
      <x:c r="H54"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Create Epic -&gt; Feature -&gt; Story/Defect -&gt; Task and assign Iteration/Release.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4" s="38" t="str">
        <x:v>Stable IDs and relationships are shared across Portfolio, Backlog, Detail, Iteration and Phase 6 views</x:v>
      </x:c>
      <x:c r="J54" s="38" t="str">
        <x:v>Phase 6/PHASE6_REPORTS_BUSINESS_AND_DATA_CONTRACT.md</x:v>
      </x:c>
      <x:c r="K54" s="38" t="str">
        <x:v>New production acceptance scenario</x:v>
      </x:c>
      <x:c r="L54" s="51" t="str">
        <x:v>Pass</x:v>
      </x:c>
      <x:c r="M54" s="51" t="str">
        <x:v>Re-test 2026-08-09: one Create with details submission created exactly US-7, closed the dialog, navigated to detail, and Backlog search returned 1–1 of 1.</x:v>
      </x:c>
      <x:c r="N54" s="51" t="str">
        <x:v>https://rally-dev.qnsc.vn/item/US-7; https://rally-dev.qnsc.vn/backlog</x:v>
      </x:c>
      <x:c r="O54" s="51" t="str">
        <x:v>Resolved in current DevInt.</x:v>
      </x:c>
      <x:c r="P54" s="51" t="str">
        <x:v>Codex DevInt re-test</x:v>
      </x:c>
      <x:c r="Q54" s="51" t="str">
        <x:v>Pending BA confirmation</x:v>
      </x:c>
      <x:c r="R54" s="56" t="n">
        <x:v>46243</x:v>
      </x:c>
    </x:row>
    <x:row r="55">
      <x:c r="A55" s="45" t="str">
        <x:v>P6-E2E-002</x:v>
      </x:c>
      <x:c r="B55" s="46" t="str">
        <x:v>Phase 6</x:v>
      </x:c>
      <x:c r="C55" s="46" t="str">
        <x:v>F. Cross-phase E2E regression</x:v>
      </x:c>
      <x:c r="D55" s="46" t="str">
        <x:v>P0</x:v>
      </x:c>
      <x:c r="E55" s="38" t="str">
        <x:v>Complete Tasks, accept parent and publish/report</x:v>
      </x:c>
      <x:c r="F5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5" s="38" t="str">
        <x:v>Project TEST; một User Story và một Defect; mỗi item có Tasks; dữ liệu dùng prefix P56-AUDIT.</x:v>
      </x:c>
      <x:c r="H55"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Complete Tasks, accept parent and publish/report.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5" s="38" t="str">
        <x:v>Parent/Iteration rollups follow prior rules; Release Tracking/Reports show accepted outcome correctly</x:v>
      </x:c>
      <x:c r="J55" s="38" t="str">
        <x:v>Phase 6/PHASE6_REPORTS_BUSINESS_AND_DATA_CONTRACT.md</x:v>
      </x:c>
      <x:c r="K55" s="38" t="str">
        <x:v>New production acceptance scenario</x:v>
      </x:c>
      <x:c r="L55" s="51" t="str">
        <x:v>Pass</x:v>
      </x:c>
      <x:c r="M55" s="51" t="str">
        <x:v>TA-1 Completed auto-completed US-1. Manual Accepted produced 3/8 Iteration points, 3/3 Release Tracking points and 3 Accepted-After Velocity points. Reopening TA-1 returned US-1 to In-Progress; temporary data was restored.</x:v>
      </x:c>
      <x:c r="N55" s="51" t="str">
        <x:v>../Codex_audit_06_tracker.md; https://rally-dev.qnsc.vn/iteration-status; https://rally-dev.qnsc.vn/release-tracking; https://rally-dev.qnsc.vn/reports</x:v>
      </x:c>
      <x:c r="O55" s="51" t="str">
        <x:v>No open gap in this retest.</x:v>
      </x:c>
      <x:c r="P55" s="51" t="str">
        <x:v>BA + Codex</x:v>
      </x:c>
      <x:c r="Q55" s="51" t="str">
        <x:v>BA confirmed Pass 2026-08-14</x:v>
      </x:c>
      <x:c r="R55" s="56" t="n">
        <x:v>46248</x:v>
      </x:c>
    </x:row>
    <x:row r="56">
      <x:c r="A56" s="45" t="str">
        <x:v>P6-E2E-003</x:v>
      </x:c>
      <x:c r="B56" s="46" t="str">
        <x:v>Phase 6</x:v>
      </x:c>
      <x:c r="C56" s="46" t="str">
        <x:v>F. Cross-phase E2E regression</x:v>
      </x:c>
      <x:c r="D56" s="46" t="str">
        <x:v>P0</x:v>
      </x:c>
      <x:c r="E56" s="38" t="str">
        <x:v>Change Project/Team/Release/Iteration context</x:v>
      </x:c>
      <x:c r="F56" s="38" t="str">
        <x:v>DevInt truy cập được và không có lỗi tải trang nghiêm trọng.
Đăng nhập bằng đúng role nêu trong case; nếu case không nêu role thì dùng Workspace Admin.</x:v>
      </x:c>
      <x:c r="G56" s="38" t="str">
        <x:v>Project TEST; một Iteration active và một Iteration completed; Work Item/Task có thể nhận biết bằng prefix P56-AUDIT.</x:v>
      </x:c>
      <x:c r="H56"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Change Project/Team/Release/Iteration context.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6" s="38" t="str">
        <x:v>Invalid relationships clear or filter by approved rules; unrelated data does not leak</x:v>
      </x:c>
      <x:c r="J56" s="38" t="str">
        <x:v>Phase 6/PHASE6_REPORTS_BUSINESS_AND_DATA_CONTRACT.md</x:v>
      </x:c>
      <x:c r="K56" s="38" t="str">
        <x:v>New production acceptance scenario</x:v>
      </x:c>
      <x:c r="L56" s="51" t="str">
        <x:v>Fail</x:v>
      </x:c>
      <x:c r="M56" s="51" t="str">
        <x:v>Under AUDIT26, Work Item US-1 exposed TEST Release RE-1 and TEST Team/Task roll-up values while Project remained AUDIT26. Valid Iterations were unavailable; Release Tracking route isolation itself passed.</x:v>
      </x:c>
      <x:c r="N56" s="51" t="str">
        <x:v>../Codex_audit_06_tracker.md; https://rally-dev.qnsc.vn/item/US-1; https://rally-dev.qnsc.vn/release-tracking</x:v>
      </x:c>
      <x:c r="O56" s="51" t="str">
        <x:v>Scope Work Item relationship queries and late responses by active Project; prevent cross-Project Release, Iteration, Team, Feature and Task data leakage.</x:v>
      </x:c>
      <x:c r="P56" s="51" t="str">
        <x:v>BA + Codex</x:v>
      </x:c>
      <x:c r="Q56" s="51" t="str">
        <x:v>BA confirmed Fail 2026-08-14</x:v>
      </x:c>
      <x:c r="R56" s="56" t="n">
        <x:v>46248</x:v>
      </x:c>
    </x:row>
    <x:row r="57">
      <x:c r="A57" s="47" t="str">
        <x:v>P6-E2E-004</x:v>
      </x:c>
      <x:c r="B57" s="48" t="str">
        <x:v>Phase 6</x:v>
      </x:c>
      <x:c r="C57" s="48" t="str">
        <x:v>F. Cross-phase E2E regression</x:v>
      </x:c>
      <x:c r="D57" s="48" t="str">
        <x:v>P0</x:v>
      </x:c>
      <x:c r="E57" s="41" t="str">
        <x:v>Reload and sign out/in after mutations</x:v>
      </x:c>
      <x:c r="F57" s="41" t="str">
        <x:v>DevInt truy cập được và không có lỗi tải trang nghiêm trọng.
Đăng nhập bằng đúng role nêu trong case; nếu case không nêu role thì dùng Workspace Admin.</x:v>
      </x:c>
      <x:c r="G57" s="41" t="str">
        <x:v>Dùng dữ liệu test riêng trong Project TEST. Nếu chưa có dữ liệu bắt buộc, ghi Blocked và nêu rõ dữ liệu còn thiếu.</x:v>
      </x:c>
      <x:c r="H57" s="41"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Reload and sign out/in after mutations.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7" s="41" t="str">
        <x:v>Persisted values and authorization remain correct</x:v>
      </x:c>
      <x:c r="J57" s="41" t="str">
        <x:v>Phase 6/PHASE6_REPORTS_BUSINESS_AND_DATA_CONTRACT.md</x:v>
      </x:c>
      <x:c r="K57" s="41" t="str">
        <x:v>New production acceptance scenario</x:v>
      </x:c>
      <x:c r="L57" s="53" t="str">
        <x:v>Pass</x:v>
      </x:c>
      <x:c r="M57" s="53" t="str">
        <x:v>Clean retest: TA-1 Completed auto-completed US-1; TA-1 Defined returned US-1 to In-Progress. The 0/1 roll-up remained correct after reload, sign-out/sign-in and TEST → AUDIT26 → TEST switching.</x:v>
      </x:c>
      <x:c r="N57" s="53" t="str">
        <x:v>../Codex_audit_06_tracker.md; https://rally-dev.qnsc.vn/iteration-status</x:v>
      </x:c>
      <x:c r="O57" s="53" t="str">
        <x:v>No open gap in this retest.</x:v>
      </x:c>
      <x:c r="P57" s="53" t="str">
        <x:v>BA + Codex</x:v>
      </x:c>
      <x:c r="Q57" s="53" t="str">
        <x:v>BA confirmed Pass 2026-08-14</x:v>
      </x:c>
      <x:c r="R57" s="57" t="n">
        <x:v>46248</x:v>
      </x:c>
    </x:row>
  </x:sheetData>
  <x:mergeCells>
    <x:mergeCell ref="A1:R1"/>
    <x:mergeCell ref="A2:R2"/>
  </x:mergeCells>
  <x:dataValidations count="2">
    <x:dataValidation type="list" sqref="L5:L57">
      <x:formula1>"Not Run,Pass,Partial,Fail,Blocked,Future Backlog,Not Required"</x:formula1>
    </x:dataValidation>
    <x:dataValidation type="list" sqref="Q5:Q57">
      <x:formula1>"Pending,Confirmed,Needs Discussion"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2" hidden="0" customWidth="1"/>
    <x:col min="4" max="4" width="26" hidden="0" customWidth="1"/>
    <x:col min="5" max="5" width="18" hidden="0" customWidth="1"/>
    <x:col min="6" max="6" width="15" hidden="0" customWidth="1"/>
    <x:col min="7" max="7" width="44" hidden="0" customWidth="1"/>
    <x:col min="8" max="8" width="18" hidden="0" customWidth="1"/>
    <x:col min="9" max="9" width="52" hidden="0" customWidth="1"/>
  </x:cols>
  <x:sheetData>
    <x:row r="1" ht="30" customHeight="1">
      <x:c r="A1" s="4" t="str">
        <x:v>Execution Run Log</x:v>
      </x:c>
      <x:c r="B1" s="4"/>
      <x:c r="C1" s="4"/>
      <x:c r="D1" s="4"/>
      <x:c r="E1" s="4"/>
      <x:c r="F1" s="4"/>
      <x:c r="G1" s="4"/>
      <x:c r="H1" s="4"/>
      <x:c r="I1" s="4"/>
    </x:row>
    <x:row r="2" ht="34" customHeight="1">
      <x:c r="A2" s="8" t="str">
        <x:v>Append one row per executed scenario. Keep evidence paths relative to 07_Testing Plan/02_test_phase_5_6.</x:v>
      </x:c>
      <x:c r="B2" s="8"/>
      <x:c r="C2" s="8"/>
      <x:c r="D2" s="8"/>
      <x:c r="E2" s="8"/>
      <x:c r="F2" s="8"/>
      <x:c r="G2" s="8"/>
      <x:c r="H2" s="8"/>
      <x:c r="I2" s="8"/>
    </x:row>
    <x:row r="4">
      <x:c r="A4" s="12" t="str">
        <x:v>Date</x:v>
      </x:c>
      <x:c r="B4" s="12" t="str">
        <x:v>Scenario ID</x:v>
      </x:c>
      <x:c r="C4" s="12" t="str">
        <x:v>Environment</x:v>
      </x:c>
      <x:c r="D4" s="12" t="str">
        <x:v>Scope</x:v>
      </x:c>
      <x:c r="E4" s="12" t="str">
        <x:v>Tester</x:v>
      </x:c>
      <x:c r="F4" s="12" t="str">
        <x:v>Result</x:v>
      </x:c>
      <x:c r="G4" s="12" t="str">
        <x:v>Evidence</x:v>
      </x:c>
      <x:c r="H4" s="12" t="str">
        <x:v>Gap ID</x:v>
      </x:c>
      <x:c r="I4" s="12" t="str">
        <x:v>Notes</x:v>
      </x:c>
    </x:row>
    <x:row r="5">
      <x:c r="A5" s="85" t="str">
        <x:v>2026-08-05</x:v>
      </x:c>
      <x:c r="B5" s="82" t="str">
        <x:v>P6-COM-001</x:v>
      </x:c>
      <x:c r="C5" s="82" t="str">
        <x:v>rally-dev.qnsc.vn</x:v>
      </x:c>
      <x:c r="D5" s="82" t="str">
        <x:v>QNSC / TEST / All Teams</x:v>
      </x:c>
      <x:c r="E5" s="82" t="str">
        <x:v>Codex preliminary</x:v>
      </x:c>
      <x:c r="F5" s="82" t="str">
        <x:v>Preliminary</x:v>
      </x:c>
      <x:c r="G5" s="82" t="str">
        <x:v>INITIAL_DEPLOYED_INVENTORY_2026-08-05.md</x:v>
      </x:c>
      <x:c r="H5" s="82" t="str"/>
      <x:c r="I5" s="71" t="str">
        <x:v>Observed Pass; waiting for user execution</x:v>
      </x:c>
    </x:row>
    <x:row r="6">
      <x:c r="A6" s="86" t="str">
        <x:v>2026-08-05</x:v>
      </x:c>
      <x:c r="B6" s="83" t="str">
        <x:v>P6-COM-002</x:v>
      </x:c>
      <x:c r="C6" s="83" t="str">
        <x:v>rally-dev.qnsc.vn</x:v>
      </x:c>
      <x:c r="D6" s="83" t="str">
        <x:v>QNSC / TEST / All Teams</x:v>
      </x:c>
      <x:c r="E6" s="83" t="str">
        <x:v>Codex preliminary</x:v>
      </x:c>
      <x:c r="F6" s="83" t="str">
        <x:v>Preliminary</x:v>
      </x:c>
      <x:c r="G6" s="83" t="str">
        <x:v>INITIAL_DEPLOYED_INVENTORY_2026-08-05.md</x:v>
      </x:c>
      <x:c r="H6" s="83" t="str"/>
      <x:c r="I6" s="73" t="str">
        <x:v>Observed Pass; waiting for user execution</x:v>
      </x:c>
    </x:row>
    <x:row r="7">
      <x:c r="A7" s="86" t="str">
        <x:v>2026-08-05</x:v>
      </x:c>
      <x:c r="B7" s="83" t="str">
        <x:v>P6-COM-003</x:v>
      </x:c>
      <x:c r="C7" s="83" t="str">
        <x:v>rally-dev.qnsc.vn</x:v>
      </x:c>
      <x:c r="D7" s="83" t="str">
        <x:v>QNSC / TEST / All Teams</x:v>
      </x:c>
      <x:c r="E7" s="83" t="str">
        <x:v>Codex preliminary</x:v>
      </x:c>
      <x:c r="F7" s="83" t="str">
        <x:v>Preliminary</x:v>
      </x:c>
      <x:c r="G7" s="83" t="str">
        <x:v>INITIAL_DEPLOYED_INVENTORY_2026-08-05.md</x:v>
      </x:c>
      <x:c r="H7" s="83" t="str"/>
      <x:c r="I7" s="73" t="str">
        <x:v>Observed Blocked: no Team-linked data</x:v>
      </x:c>
    </x:row>
    <x:row r="8">
      <x:c r="A8" s="86" t="str">
        <x:v>2026-08-05</x:v>
      </x:c>
      <x:c r="B8" s="83" t="str">
        <x:v>P6-COM-004</x:v>
      </x:c>
      <x:c r="C8" s="83" t="str">
        <x:v>rally-dev.qnsc.vn</x:v>
      </x:c>
      <x:c r="D8" s="83" t="str">
        <x:v>QNSC / TEST / All Teams</x:v>
      </x:c>
      <x:c r="E8" s="83" t="str">
        <x:v>Codex preliminary</x:v>
      </x:c>
      <x:c r="F8" s="83" t="str">
        <x:v>Preliminary</x:v>
      </x:c>
      <x:c r="G8" s="83" t="str">
        <x:v>INITIAL_DEPLOYED_INVENTORY_2026-08-05.md</x:v>
      </x:c>
      <x:c r="H8" s="83" t="str"/>
      <x:c r="I8" s="73" t="str">
        <x:v>Observed Blocked: no Project Admin/Project Member account</x:v>
      </x:c>
    </x:row>
    <x:row r="9">
      <x:c r="A9" s="86" t="str">
        <x:v>2026-08-05</x:v>
      </x:c>
      <x:c r="B9" s="83" t="str">
        <x:v>P6-RT-014</x:v>
      </x:c>
      <x:c r="C9" s="83" t="str">
        <x:v>rally-dev.qnsc.vn</x:v>
      </x:c>
      <x:c r="D9" s="83" t="str">
        <x:v>QNSC / TEST / All Teams</x:v>
      </x:c>
      <x:c r="E9" s="83" t="str">
        <x:v>Codex preliminary</x:v>
      </x:c>
      <x:c r="F9" s="83" t="str">
        <x:v>Preliminary</x:v>
      </x:c>
      <x:c r="G9" s="83" t="str">
        <x:v>INITIAL_DEPLOYED_INVENTORY_2026-08-05.md</x:v>
      </x:c>
      <x:c r="H9" s="83" t="str"/>
      <x:c r="I9" s="73" t="str">
        <x:v>Observed Partial: no-Release empty state only</x:v>
      </x:c>
    </x:row>
    <x:row r="10">
      <x:c r="A10" s="86" t="str">
        <x:v>2026-08-05</x:v>
      </x:c>
      <x:c r="B10" s="83" t="str">
        <x:v>P6-IB-008</x:v>
      </x:c>
      <x:c r="C10" s="83" t="str">
        <x:v>rally-dev.qnsc.vn</x:v>
      </x:c>
      <x:c r="D10" s="83" t="str">
        <x:v>QNSC / TEST / All Teams</x:v>
      </x:c>
      <x:c r="E10" s="83" t="str">
        <x:v>Codex preliminary</x:v>
      </x:c>
      <x:c r="F10" s="83" t="str">
        <x:v>Preliminary</x:v>
      </x:c>
      <x:c r="G10" s="83" t="str">
        <x:v>INITIAL_DEPLOYED_INVENTORY_2026-08-05.md</x:v>
      </x:c>
      <x:c r="H10" s="83" t="str"/>
      <x:c r="I10" s="73" t="str">
        <x:v>Observed Partial: no-Iteration state only</x:v>
      </x:c>
    </x:row>
    <x:row r="11">
      <x:c r="A11" s="86" t="str">
        <x:v>2026-08-05</x:v>
      </x:c>
      <x:c r="B11" s="83" t="str">
        <x:v>P6-VEL-010</x:v>
      </x:c>
      <x:c r="C11" s="83" t="str">
        <x:v>rally-dev.qnsc.vn</x:v>
      </x:c>
      <x:c r="D11" s="83" t="str">
        <x:v>QNSC / TEST / All Teams</x:v>
      </x:c>
      <x:c r="E11" s="83" t="str">
        <x:v>Codex preliminary</x:v>
      </x:c>
      <x:c r="F11" s="83" t="str">
        <x:v>Preliminary</x:v>
      </x:c>
      <x:c r="G11" s="83" t="str">
        <x:v>INITIAL_DEPLOYED_INVENTORY_2026-08-05.md</x:v>
      </x:c>
      <x:c r="H11" s="83" t="str">
        <x:v>P6-GAP-001</x:v>
      </x:c>
      <x:c r="I11" s="73" t="str">
        <x:v>Observed Fail: loading did not finish</x:v>
      </x:c>
    </x:row>
    <x:row r="12">
      <x:c r="A12" s="86" t="str">
        <x:v>2026-08-05</x:v>
      </x:c>
      <x:c r="B12" s="83" t="str">
        <x:v>P6-TC-011</x:v>
      </x:c>
      <x:c r="C12" s="83" t="str">
        <x:v>rally-dev.qnsc.vn</x:v>
      </x:c>
      <x:c r="D12" s="83" t="str">
        <x:v>QNSC / TEST / All Teams</x:v>
      </x:c>
      <x:c r="E12" s="83" t="str">
        <x:v>Codex preliminary</x:v>
      </x:c>
      <x:c r="F12" s="83" t="str">
        <x:v>Preliminary</x:v>
      </x:c>
      <x:c r="G12" s="83" t="str">
        <x:v>INITIAL_DEPLOYED_INVENTORY_2026-08-05.md</x:v>
      </x:c>
      <x:c r="H12" s="83" t="str"/>
      <x:c r="I12" s="73" t="str">
        <x:v>Observed Partial: no-Iteration state only</x:v>
      </x:c>
    </x:row>
    <x:row r="13">
      <x:c r="A13" s="86" t="n">
        <x:v>46240</x:v>
      </x:c>
      <x:c r="B13" s="83" t="str">
        <x:v>P6-COM-001</x:v>
      </x:c>
      <x:c r="C13" s="83" t="str">
        <x:v>rally-dev.qnsc.vn</x:v>
      </x:c>
      <x:c r="D13" s="83" t="str">
        <x:v>QNSC / TEST / Pegasus</x:v>
      </x:c>
      <x:c r="E13" s="83" t="str">
        <x:v>Codex</x:v>
      </x:c>
      <x:c r="F13" s="83" t="str">
        <x:v>Pass</x:v>
      </x:c>
      <x:c r="G13" s="83" t="str">
        <x:v>../Codex_audit_06_tracker.md</x:v>
      </x:c>
      <x:c r="H13" s="83"/>
      <x:c r="I13" s="73" t="str">
        <x:v>Portfolio menu order is Portfolio Items, Capacity Planning, Release Tracking.</x:v>
      </x:c>
    </x:row>
    <x:row r="14">
      <x:c r="A14" s="86" t="n">
        <x:v>46240</x:v>
      </x:c>
      <x:c r="B14" s="83" t="str">
        <x:v>P6-COM-002</x:v>
      </x:c>
      <x:c r="C14" s="83" t="str">
        <x:v>rally-dev.qnsc.vn</x:v>
      </x:c>
      <x:c r="D14" s="83" t="str">
        <x:v>QNSC / TEST / Pegasus</x:v>
      </x:c>
      <x:c r="E14" s="83" t="str">
        <x:v>Codex</x:v>
      </x:c>
      <x:c r="F14" s="83" t="str">
        <x:v>Pass</x:v>
      </x:c>
      <x:c r="G14" s="83" t="str">
        <x:v>../Codex_audit_06_tracker.md</x:v>
      </x:c>
      <x:c r="H14" s="83"/>
      <x:c r="I14" s="73" t="str">
        <x:v>Type contains exactly Iteration Burndown, Velocity and Team Capacity.</x:v>
      </x:c>
    </x:row>
    <x:row r="15">
      <x:c r="A15" s="86" t="n">
        <x:v>46240</x:v>
      </x:c>
      <x:c r="B15" s="83" t="str">
        <x:v>P6-COM-003</x:v>
      </x:c>
      <x:c r="C15" s="83" t="str">
        <x:v>rally-dev.qnsc.vn</x:v>
      </x:c>
      <x:c r="D15" s="83" t="str">
        <x:v>QNSC / TEST / Pegasus</x:v>
      </x:c>
      <x:c r="E15" s="83" t="str">
        <x:v>Codex</x:v>
      </x:c>
      <x:c r="F15" s="83" t="str">
        <x:v>Pass</x:v>
      </x:c>
      <x:c r="G15" s="83" t="str">
        <x:v>../Codex_audit_06_tracker.md</x:v>
      </x:c>
      <x:c r="H15" s="83"/>
      <x:c r="I15" s="73" t="str">
        <x:v>All Teams -&gt; Pegasus updates Team Capacity scope and no duplicate local Project/Team filter appears.</x:v>
      </x:c>
    </x:row>
    <x:row r="16">
      <x:c r="A16" s="86" t="n">
        <x:v>46240</x:v>
      </x:c>
      <x:c r="B16" s="83" t="str">
        <x:v>P6-COM-004</x:v>
      </x:c>
      <x:c r="C16" s="83" t="str">
        <x:v>rally-dev.qnsc.vn</x:v>
      </x:c>
      <x:c r="D16" s="83" t="str">
        <x:v>QNSC / TEST / Pegasus</x:v>
      </x:c>
      <x:c r="E16" s="83" t="str">
        <x:v>Codex</x:v>
      </x:c>
      <x:c r="F16" s="83" t="str">
        <x:v>Blocked</x:v>
      </x:c>
      <x:c r="G16" s="83" t="str">
        <x:v>../Codex_audit_06_tracker.md</x:v>
      </x:c>
      <x:c r="H16" s="83"/>
      <x:c r="I16" s="73" t="str">
        <x:v>Only a Workspace Admin session is available; RBAC roles cannot be compared.</x:v>
      </x:c>
    </x:row>
    <x:row r="17">
      <x:c r="A17" s="86" t="n">
        <x:v>46240</x:v>
      </x:c>
      <x:c r="B17" s="83" t="str">
        <x:v>P6-COM-005</x:v>
      </x:c>
      <x:c r="C17" s="83" t="str">
        <x:v>rally-dev.qnsc.vn</x:v>
      </x:c>
      <x:c r="D17" s="83" t="str">
        <x:v>QNSC / TEST / Pegasus</x:v>
      </x:c>
      <x:c r="E17" s="83" t="str">
        <x:v>Codex</x:v>
      </x:c>
      <x:c r="F17" s="83" t="str">
        <x:v>Partial</x:v>
      </x:c>
      <x:c r="G17" s="83" t="str">
        <x:v>../Codex_audit_06_tracker.md</x:v>
      </x:c>
      <x:c r="H17" s="83"/>
      <x:c r="I17" s="73" t="str">
        <x:v>Explicit empty states were confirmed in Reports and Release Tracking; a second empty Project is unavailable.</x:v>
      </x:c>
    </x:row>
    <x:row r="18">
      <x:c r="A18" s="86" t="n">
        <x:v>46240</x:v>
      </x:c>
      <x:c r="B18" s="83" t="str">
        <x:v>P6-COM-006</x:v>
      </x:c>
      <x:c r="C18" s="83" t="str">
        <x:v>rally-dev.qnsc.vn</x:v>
      </x:c>
      <x:c r="D18" s="83" t="str">
        <x:v>QNSC / TEST / Pegasus</x:v>
      </x:c>
      <x:c r="E18" s="83" t="str">
        <x:v>Codex</x:v>
      </x:c>
      <x:c r="F18" s="83" t="str">
        <x:v>Fail</x:v>
      </x:c>
      <x:c r="G18" s="83" t="str">
        <x:v>../Codex_audit_06_tracker.md</x:v>
      </x:c>
      <x:c r="H18" s="83" t="str">
        <x:v>P6-GAP-002</x:v>
      </x:c>
      <x:c r="I18" s="73" t="str">
        <x:v>Reports and Release Tracking reset the selected view/filter after reload.</x:v>
      </x:c>
    </x:row>
    <x:row r="19">
      <x:c r="A19" s="86" t="n">
        <x:v>46240</x:v>
      </x:c>
      <x:c r="B19" s="83" t="str">
        <x:v>P6-RT-001</x:v>
      </x:c>
      <x:c r="C19" s="83" t="str">
        <x:v>rally-dev.qnsc.vn</x:v>
      </x:c>
      <x:c r="D19" s="83" t="str">
        <x:v>QNSC / TEST / Pegasus</x:v>
      </x:c>
      <x:c r="E19" s="83" t="str">
        <x:v>Codex</x:v>
      </x:c>
      <x:c r="F19" s="83" t="str">
        <x:v>Pass</x:v>
      </x:c>
      <x:c r="G19" s="83" t="str">
        <x:v>../Codex_audit_06_tracker.md</x:v>
      </x:c>
      <x:c r="H19" s="83"/>
      <x:c r="I19" s="73" t="str">
        <x:v>RE-1 shows disjoint counts Direct 1, Derived 1 and Unparented 1.</x:v>
      </x:c>
    </x:row>
    <x:row r="20">
      <x:c r="A20" s="86" t="n">
        <x:v>46240</x:v>
      </x:c>
      <x:c r="B20" s="83" t="str">
        <x:v>P6-RT-002</x:v>
      </x:c>
      <x:c r="C20" s="83" t="str">
        <x:v>rally-dev.qnsc.vn</x:v>
      </x:c>
      <x:c r="D20" s="83" t="str">
        <x:v>QNSC / TEST / Pegasus</x:v>
      </x:c>
      <x:c r="E20" s="83" t="str">
        <x:v>Codex</x:v>
      </x:c>
      <x:c r="F20" s="83" t="str">
        <x:v>Pass</x:v>
      </x:c>
      <x:c r="G20" s="83" t="str">
        <x:v>../Codex_audit_06_tracker.md</x:v>
      </x:c>
      <x:c r="H20" s="83"/>
      <x:c r="I20" s="73" t="str">
        <x:v>Each selector shows only its own bucket and rank restarts at 1.</x:v>
      </x:c>
    </x:row>
    <x:row r="21">
      <x:c r="A21" s="86" t="n">
        <x:v>46240</x:v>
      </x:c>
      <x:c r="B21" s="83" t="str">
        <x:v>P6-RT-003</x:v>
      </x:c>
      <x:c r="C21" s="83" t="str">
        <x:v>rally-dev.qnsc.vn</x:v>
      </x:c>
      <x:c r="D21" s="83" t="str">
        <x:v>QNSC / TEST / Pegasus</x:v>
      </x:c>
      <x:c r="E21" s="83" t="str">
        <x:v>Codex</x:v>
      </x:c>
      <x:c r="F21" s="83" t="str">
        <x:v>Partial</x:v>
      </x:c>
      <x:c r="G21" s="83" t="str">
        <x:v>../Codex_audit_06_tracker.md</x:v>
      </x:c>
      <x:c r="H21" s="83"/>
      <x:c r="I21" s="73" t="str">
        <x:v>Rank, ID and Team sort states changed correctly; column resizing was not executed.</x:v>
      </x:c>
    </x:row>
    <x:row r="22">
      <x:c r="A22" s="86" t="n">
        <x:v>46240</x:v>
      </x:c>
      <x:c r="B22" s="83" t="str">
        <x:v>P6-RT-004</x:v>
      </x:c>
      <x:c r="C22" s="83" t="str">
        <x:v>rally-dev.qnsc.vn</x:v>
      </x:c>
      <x:c r="D22" s="83" t="str">
        <x:v>QNSC / TEST / Pegasus</x:v>
      </x:c>
      <x:c r="E22" s="83" t="str">
        <x:v>Codex</x:v>
      </x:c>
      <x:c r="F22" s="83" t="str">
        <x:v>Pass</x:v>
      </x:c>
      <x:c r="G22" s="83" t="str">
        <x:v>../Codex_audit_06_tracker.md</x:v>
      </x:c>
      <x:c r="H22" s="83"/>
      <x:c r="I22" s="73" t="str">
        <x:v>Points -&gt; Count changes units while bucket membership remains 1/1/1.</x:v>
      </x:c>
    </x:row>
    <x:row r="23">
      <x:c r="A23" s="86" t="n">
        <x:v>46240</x:v>
      </x:c>
      <x:c r="B23" s="83" t="str">
        <x:v>P6-RT-005</x:v>
      </x:c>
      <x:c r="C23" s="83" t="str">
        <x:v>rally-dev.qnsc.vn</x:v>
      </x:c>
      <x:c r="D23" s="83" t="str">
        <x:v>QNSC / TEST / Pegasus</x:v>
      </x:c>
      <x:c r="E23" s="83" t="str">
        <x:v>Codex</x:v>
      </x:c>
      <x:c r="F23" s="83" t="str">
        <x:v>Pass</x:v>
      </x:c>
      <x:c r="G23" s="83" t="str">
        <x:v>../Codex_audit_06_tracker.md</x:v>
      </x:c>
      <x:c r="H23" s="83"/>
      <x:c r="I23" s="73" t="str">
        <x:v>Direct FE-2 uses its direct child even when that child has no Release; current status is 0/3 accepted.</x:v>
      </x:c>
    </x:row>
    <x:row r="24">
      <x:c r="A24" s="86" t="n">
        <x:v>46240</x:v>
      </x:c>
      <x:c r="B24" s="83" t="str">
        <x:v>P6-RT-006</x:v>
      </x:c>
      <x:c r="C24" s="83" t="str">
        <x:v>rally-dev.qnsc.vn</x:v>
      </x:c>
      <x:c r="D24" s="83" t="str">
        <x:v>QNSC / TEST / Pegasus</x:v>
      </x:c>
      <x:c r="E24" s="83" t="str">
        <x:v>Codex</x:v>
      </x:c>
      <x:c r="F24" s="83" t="str">
        <x:v>Pass</x:v>
      </x:c>
      <x:c r="G24" s="83" t="str">
        <x:v>../Codex_audit_06_tracker.md</x:v>
      </x:c>
      <x:c r="H24" s="83"/>
      <x:c r="I24" s="73" t="str">
        <x:v>Derived FE-3 shows 3/3 points accepted without a percentage.</x:v>
      </x:c>
    </x:row>
    <x:row r="25">
      <x:c r="A25" s="86" t="n">
        <x:v>46240</x:v>
      </x:c>
      <x:c r="B25" s="83" t="str">
        <x:v>P6-RT-007</x:v>
      </x:c>
      <x:c r="C25" s="83" t="str">
        <x:v>rally-dev.qnsc.vn</x:v>
      </x:c>
      <x:c r="D25" s="83" t="str">
        <x:v>QNSC / TEST / Pegasus</x:v>
      </x:c>
      <x:c r="E25" s="83" t="str">
        <x:v>Codex</x:v>
      </x:c>
      <x:c r="F25" s="83" t="str">
        <x:v>Partial</x:v>
      </x:c>
      <x:c r="G25" s="83" t="str">
        <x:v>../Codex_audit_06_tracker.md</x:v>
      </x:c>
      <x:c r="H25" s="83"/>
      <x:c r="I25" s="73" t="str">
        <x:v>Completed is excluded and Accepted is included; Release-state branch lacks controlled data.</x:v>
      </x:c>
    </x:row>
    <x:row r="26">
      <x:c r="A26" s="86" t="n">
        <x:v>46240</x:v>
      </x:c>
      <x:c r="B26" s="83" t="str">
        <x:v>P6-RT-008</x:v>
      </x:c>
      <x:c r="C26" s="83" t="str">
        <x:v>rally-dev.qnsc.vn</x:v>
      </x:c>
      <x:c r="D26" s="83" t="str">
        <x:v>QNSC / TEST / Pegasus</x:v>
      </x:c>
      <x:c r="E26" s="83" t="str">
        <x:v>Codex</x:v>
      </x:c>
      <x:c r="F26" s="83" t="str">
        <x:v>Pass</x:v>
      </x:c>
      <x:c r="G26" s="83" t="str">
        <x:v>../Codex_audit_06_tracker.md</x:v>
      </x:c>
      <x:c r="H26" s="83"/>
      <x:c r="I26" s="73" t="str">
        <x:v>Controlled totals match UI: Planned 6 points, Accepted 3 points, Preliminary 0.</x:v>
      </x:c>
    </x:row>
    <x:row r="27">
      <x:c r="A27" s="86" t="n">
        <x:v>46240</x:v>
      </x:c>
      <x:c r="B27" s="83" t="str">
        <x:v>P6-RT-009</x:v>
      </x:c>
      <x:c r="C27" s="83" t="str">
        <x:v>rally-dev.qnsc.vn</x:v>
      </x:c>
      <x:c r="D27" s="83" t="str">
        <x:v>QNSC / TEST / Pegasus</x:v>
      </x:c>
      <x:c r="E27" s="83" t="str">
        <x:v>Codex</x:v>
      </x:c>
      <x:c r="F27" s="83" t="str">
        <x:v>Pass</x:v>
      </x:c>
      <x:c r="G27" s="83" t="str">
        <x:v>../Codex_audit_06_tracker.md</x:v>
      </x:c>
      <x:c r="H27" s="83"/>
      <x:c r="I27" s="73" t="str">
        <x:v>Missing history is shown explicitly with the correct Release title and date range.</x:v>
      </x:c>
    </x:row>
    <x:row r="28">
      <x:c r="A28" s="86" t="n">
        <x:v>46240</x:v>
      </x:c>
      <x:c r="B28" s="83" t="str">
        <x:v>P6-RT-010</x:v>
      </x:c>
      <x:c r="C28" s="83" t="str">
        <x:v>rally-dev.qnsc.vn</x:v>
      </x:c>
      <x:c r="D28" s="83" t="str">
        <x:v>QNSC / TEST / Pegasus</x:v>
      </x:c>
      <x:c r="E28" s="83" t="str">
        <x:v>Codex</x:v>
      </x:c>
      <x:c r="F28" s="83" t="str">
        <x:v>Not Run</x:v>
      </x:c>
      <x:c r="G28" s="83" t="str">
        <x:v>../Codex_audit_06_tracker.md</x:v>
      </x:c>
      <x:c r="H28" s="83"/>
      <x:c r="I28" s="73" t="str">
        <x:v>A second Release/non-null mismatch data set is unavailable.</x:v>
      </x:c>
    </x:row>
    <x:row r="29">
      <x:c r="A29" s="86" t="n">
        <x:v>46240</x:v>
      </x:c>
      <x:c r="B29" s="83" t="str">
        <x:v>P6-RT-011</x:v>
      </x:c>
      <x:c r="C29" s="83" t="str">
        <x:v>rally-dev.qnsc.vn</x:v>
      </x:c>
      <x:c r="D29" s="83" t="str">
        <x:v>QNSC / TEST / Pegasus</x:v>
      </x:c>
      <x:c r="E29" s="83" t="str">
        <x:v>Codex</x:v>
      </x:c>
      <x:c r="F29" s="83" t="str">
        <x:v>Not Run</x:v>
      </x:c>
      <x:c r="G29" s="83" t="str">
        <x:v>../Codex_audit_06_tracker.md</x:v>
      </x:c>
      <x:c r="H29" s="83"/>
      <x:c r="I29" s="73" t="str">
        <x:v>No qualifying mismatch exists, so the Issues panel cannot be opened.</x:v>
      </x:c>
    </x:row>
    <x:row r="30">
      <x:c r="A30" s="86" t="n">
        <x:v>46240</x:v>
      </x:c>
      <x:c r="B30" s="83" t="str">
        <x:v>P6-RT-012</x:v>
      </x:c>
      <x:c r="C30" s="83" t="str">
        <x:v>rally-dev.qnsc.vn</x:v>
      </x:c>
      <x:c r="D30" s="83" t="str">
        <x:v>QNSC / TEST / Pegasus</x:v>
      </x:c>
      <x:c r="E30" s="83" t="str">
        <x:v>Codex</x:v>
      </x:c>
      <x:c r="F30" s="83" t="str">
        <x:v>Pass</x:v>
      </x:c>
      <x:c r="G30" s="83" t="str">
        <x:v>../Codex_audit_06_tracker.md</x:v>
      </x:c>
      <x:c r="H30" s="83"/>
      <x:c r="I30" s="73" t="str">
        <x:v>Chart is active, Breakdown is absent and Dependencies is clearly marked Future.</x:v>
      </x:c>
    </x:row>
    <x:row r="31">
      <x:c r="A31" s="86" t="n">
        <x:v>46240</x:v>
      </x:c>
      <x:c r="B31" s="83" t="str">
        <x:v>P6-RT-013</x:v>
      </x:c>
      <x:c r="C31" s="83" t="str">
        <x:v>rally-dev.qnsc.vn</x:v>
      </x:c>
      <x:c r="D31" s="83" t="str">
        <x:v>QNSC / TEST / Pegasus</x:v>
      </x:c>
      <x:c r="E31" s="83" t="str">
        <x:v>Codex</x:v>
      </x:c>
      <x:c r="F31" s="83" t="str">
        <x:v>Pass</x:v>
      </x:c>
      <x:c r="G31" s="83" t="str">
        <x:v>../Codex_audit_06_tracker.md</x:v>
      </x:c>
      <x:c r="H31" s="83"/>
      <x:c r="I31" s="73" t="str">
        <x:v>Search matched US-4 and the row opened the shared Work Item Detail route.</x:v>
      </x:c>
    </x:row>
    <x:row r="32">
      <x:c r="A32" s="86" t="n">
        <x:v>46240</x:v>
      </x:c>
      <x:c r="B32" s="83" t="str">
        <x:v>P6-RT-014</x:v>
      </x:c>
      <x:c r="C32" s="83" t="str">
        <x:v>rally-dev.qnsc.vn</x:v>
      </x:c>
      <x:c r="D32" s="83" t="str">
        <x:v>QNSC / TEST / Pegasus</x:v>
      </x:c>
      <x:c r="E32" s="83" t="str">
        <x:v>Codex</x:v>
      </x:c>
      <x:c r="F32" s="83" t="str">
        <x:v>Partial</x:v>
      </x:c>
      <x:c r="G32" s="83" t="str">
        <x:v>../Codex_audit_06_tracker.md</x:v>
      </x:c>
      <x:c r="H32" s="83"/>
      <x:c r="I32" s="73" t="str">
        <x:v>Valid Release empty-bucket messaging passed; no second Project without Releases is available.</x:v>
      </x:c>
    </x:row>
    <x:row r="33">
      <x:c r="A33" s="86" t="n">
        <x:v>46240</x:v>
      </x:c>
      <x:c r="B33" s="83" t="str">
        <x:v>P6-IB-001</x:v>
      </x:c>
      <x:c r="C33" s="83" t="str">
        <x:v>rally-dev.qnsc.vn</x:v>
      </x:c>
      <x:c r="D33" s="83" t="str">
        <x:v>QNSC / TEST / Pegasus</x:v>
      </x:c>
      <x:c r="E33" s="83" t="str">
        <x:v>Codex</x:v>
      </x:c>
      <x:c r="F33" s="83" t="str">
        <x:v>Pass</x:v>
      </x:c>
      <x:c r="G33" s="83" t="str">
        <x:v>../Codex_audit_06_tracker.md</x:v>
      </x:c>
      <x:c r="H33" s="83"/>
      <x:c r="I33" s="73" t="str">
        <x:v>Pegasus and IT-1 are selectable and the report shows the correct Iteration dates.</x:v>
      </x:c>
    </x:row>
    <x:row r="34">
      <x:c r="A34" s="86" t="n">
        <x:v>46240</x:v>
      </x:c>
      <x:c r="B34" s="83" t="str">
        <x:v>P6-IB-002</x:v>
      </x:c>
      <x:c r="C34" s="83" t="str">
        <x:v>rally-dev.qnsc.vn</x:v>
      </x:c>
      <x:c r="D34" s="83" t="str">
        <x:v>QNSC / TEST / Pegasus</x:v>
      </x:c>
      <x:c r="E34" s="83" t="str">
        <x:v>Codex</x:v>
      </x:c>
      <x:c r="F34" s="83" t="str">
        <x:v>Not Run</x:v>
      </x:c>
      <x:c r="G34" s="83" t="str">
        <x:v>../Codex_audit_06_tracker.md</x:v>
      </x:c>
      <x:c r="H34" s="83"/>
      <x:c r="I34" s="73" t="str">
        <x:v>No daily Task ToDo snapshot history exists.</x:v>
      </x:c>
    </x:row>
    <x:row r="35">
      <x:c r="A35" s="86" t="n">
        <x:v>46240</x:v>
      </x:c>
      <x:c r="B35" s="83" t="str">
        <x:v>P6-IB-003</x:v>
      </x:c>
      <x:c r="C35" s="83" t="str">
        <x:v>rally-dev.qnsc.vn</x:v>
      </x:c>
      <x:c r="D35" s="83" t="str">
        <x:v>QNSC / TEST / Pegasus</x:v>
      </x:c>
      <x:c r="E35" s="83" t="str">
        <x:v>Codex</x:v>
      </x:c>
      <x:c r="F35" s="83" t="str">
        <x:v>Not Run</x:v>
      </x:c>
      <x:c r="G35" s="83" t="str">
        <x:v>../Codex_audit_06_tracker.md</x:v>
      </x:c>
      <x:c r="H35" s="83"/>
      <x:c r="I35" s="73" t="str">
        <x:v>No historical accepted-date snapshot data exists.</x:v>
      </x:c>
    </x:row>
    <x:row r="36">
      <x:c r="A36" s="86" t="n">
        <x:v>46240</x:v>
      </x:c>
      <x:c r="B36" s="83" t="str">
        <x:v>P6-IB-004</x:v>
      </x:c>
      <x:c r="C36" s="83" t="str">
        <x:v>rally-dev.qnsc.vn</x:v>
      </x:c>
      <x:c r="D36" s="83" t="str">
        <x:v>QNSC / TEST / Pegasus</x:v>
      </x:c>
      <x:c r="E36" s="83" t="str">
        <x:v>Codex</x:v>
      </x:c>
      <x:c r="F36" s="83" t="str">
        <x:v>Not Run</x:v>
      </x:c>
      <x:c r="G36" s="83" t="str">
        <x:v>../Codex_audit_06_tracker.md</x:v>
      </x:c>
      <x:c r="H36" s="83"/>
      <x:c r="I36" s="73" t="str">
        <x:v>No prior snapshot baseline exists for reopen comparison.</x:v>
      </x:c>
    </x:row>
    <x:row r="37">
      <x:c r="A37" s="86" t="n">
        <x:v>46240</x:v>
      </x:c>
      <x:c r="B37" s="83" t="str">
        <x:v>P6-IB-005</x:v>
      </x:c>
      <x:c r="C37" s="83" t="str">
        <x:v>rally-dev.qnsc.vn</x:v>
      </x:c>
      <x:c r="D37" s="83" t="str">
        <x:v>QNSC / TEST / Pegasus</x:v>
      </x:c>
      <x:c r="E37" s="83" t="str">
        <x:v>Codex</x:v>
      </x:c>
      <x:c r="F37" s="83" t="str">
        <x:v>Not Run</x:v>
      </x:c>
      <x:c r="G37" s="83" t="str">
        <x:v>../Codex_audit_06_tracker.md</x:v>
      </x:c>
      <x:c r="H37" s="83"/>
      <x:c r="I37" s="73" t="str">
        <x:v>No start baseline/history exists for an auditable comparison.</x:v>
      </x:c>
    </x:row>
    <x:row r="38">
      <x:c r="A38" s="86" t="n">
        <x:v>46240</x:v>
      </x:c>
      <x:c r="B38" s="83" t="str">
        <x:v>P6-IB-006</x:v>
      </x:c>
      <x:c r="C38" s="83" t="str">
        <x:v>rally-dev.qnsc.vn</x:v>
      </x:c>
      <x:c r="D38" s="83" t="str">
        <x:v>QNSC / TEST / Pegasus</x:v>
      </x:c>
      <x:c r="E38" s="83" t="str">
        <x:v>Codex</x:v>
      </x:c>
      <x:c r="F38" s="83" t="str">
        <x:v>Not Run</x:v>
      </x:c>
      <x:c r="G38" s="83" t="str">
        <x:v>../Codex_audit_06_tracker.md</x:v>
      </x:c>
      <x:c r="H38" s="83"/>
      <x:c r="I38" s="73" t="str">
        <x:v>No plotted series exists because daily history is empty.</x:v>
      </x:c>
    </x:row>
    <x:row r="39">
      <x:c r="A39" s="86" t="n">
        <x:v>46240</x:v>
      </x:c>
      <x:c r="B39" s="83" t="str">
        <x:v>P6-IB-007</x:v>
      </x:c>
      <x:c r="C39" s="83" t="str">
        <x:v>rally-dev.qnsc.vn</x:v>
      </x:c>
      <x:c r="D39" s="83" t="str">
        <x:v>QNSC / TEST / Pegasus</x:v>
      </x:c>
      <x:c r="E39" s="83" t="str">
        <x:v>Codex</x:v>
      </x:c>
      <x:c r="F39" s="83" t="str">
        <x:v>Not Run</x:v>
      </x:c>
      <x:c r="G39" s="83" t="str">
        <x:v>../Codex_audit_06_tracker.md</x:v>
      </x:c>
      <x:c r="H39" s="83"/>
      <x:c r="I39" s="73" t="str">
        <x:v>Only one usable Team/Iteration data set exists, so aggregation cannot be compared.</x:v>
      </x:c>
    </x:row>
    <x:row r="40">
      <x:c r="A40" s="86" t="n">
        <x:v>46240</x:v>
      </x:c>
      <x:c r="B40" s="83" t="str">
        <x:v>P6-IB-008</x:v>
      </x:c>
      <x:c r="C40" s="83" t="str">
        <x:v>rally-dev.qnsc.vn</x:v>
      </x:c>
      <x:c r="D40" s="83" t="str">
        <x:v>QNSC / TEST / Pegasus</x:v>
      </x:c>
      <x:c r="E40" s="83" t="str">
        <x:v>Codex</x:v>
      </x:c>
      <x:c r="F40" s="83" t="str">
        <x:v>Pass</x:v>
      </x:c>
      <x:c r="G40" s="83" t="str">
        <x:v>../Codex_audit_06_tracker.md</x:v>
      </x:c>
      <x:c r="H40" s="83"/>
      <x:c r="I40" s="73" t="str">
        <x:v>Explicit no-burndown, no daily history and no start-baseline messages are displayed.</x:v>
      </x:c>
    </x:row>
    <x:row r="41">
      <x:c r="A41" s="86" t="n">
        <x:v>46240</x:v>
      </x:c>
      <x:c r="B41" s="83" t="str">
        <x:v>P6-VEL-001</x:v>
      </x:c>
      <x:c r="C41" s="83" t="str">
        <x:v>rally-dev.qnsc.vn</x:v>
      </x:c>
      <x:c r="D41" s="83" t="str">
        <x:v>QNSC / TEST / Pegasus</x:v>
      </x:c>
      <x:c r="E41" s="83" t="str">
        <x:v>Codex</x:v>
      </x:c>
      <x:c r="F41" s="83" t="str">
        <x:v>Not Run</x:v>
      </x:c>
      <x:c r="G41" s="83" t="str">
        <x:v>../Codex_audit_06_tracker.md</x:v>
      </x:c>
      <x:c r="H41" s="83"/>
      <x:c r="I41" s="73" t="str">
        <x:v>No ended Iteration with scheduled work exists.</x:v>
      </x:c>
    </x:row>
    <x:row r="42">
      <x:c r="A42" s="86" t="n">
        <x:v>46240</x:v>
      </x:c>
      <x:c r="B42" s="83" t="str">
        <x:v>P6-VEL-002</x:v>
      </x:c>
      <x:c r="C42" s="83" t="str">
        <x:v>rally-dev.qnsc.vn</x:v>
      </x:c>
      <x:c r="D42" s="83" t="str">
        <x:v>QNSC / TEST / Pegasus</x:v>
      </x:c>
      <x:c r="E42" s="83" t="str">
        <x:v>Codex</x:v>
      </x:c>
      <x:c r="F42" s="83" t="str">
        <x:v>Not Run</x:v>
      </x:c>
      <x:c r="G42" s="83" t="str">
        <x:v>../Codex_audit_06_tracker.md</x:v>
      </x:c>
      <x:c r="H42" s="83"/>
      <x:c r="I42" s="73" t="str">
        <x:v>Required historical acceptance data is unavailable.</x:v>
      </x:c>
    </x:row>
    <x:row r="43">
      <x:c r="A43" s="86" t="n">
        <x:v>46240</x:v>
      </x:c>
      <x:c r="B43" s="83" t="str">
        <x:v>P6-VEL-003</x:v>
      </x:c>
      <x:c r="C43" s="83" t="str">
        <x:v>rally-dev.qnsc.vn</x:v>
      </x:c>
      <x:c r="D43" s="83" t="str">
        <x:v>QNSC / TEST / Pegasus</x:v>
      </x:c>
      <x:c r="E43" s="83" t="str">
        <x:v>Codex</x:v>
      </x:c>
      <x:c r="F43" s="83" t="str">
        <x:v>Not Run</x:v>
      </x:c>
      <x:c r="G43" s="83" t="str">
        <x:v>../Codex_audit_06_tracker.md</x:v>
      </x:c>
      <x:c r="H43" s="83"/>
      <x:c r="I43" s="73" t="str">
        <x:v>No eligible completed Iteration exists for state comparison.</x:v>
      </x:c>
    </x:row>
    <x:row r="44">
      <x:c r="A44" s="86" t="n">
        <x:v>46240</x:v>
      </x:c>
      <x:c r="B44" s="83" t="str">
        <x:v>P6-VEL-004</x:v>
      </x:c>
      <x:c r="C44" s="83" t="str">
        <x:v>rally-dev.qnsc.vn</x:v>
      </x:c>
      <x:c r="D44" s="83" t="str">
        <x:v>QNSC / TEST / Pegasus</x:v>
      </x:c>
      <x:c r="E44" s="83" t="str">
        <x:v>Codex</x:v>
      </x:c>
      <x:c r="F44" s="83" t="str">
        <x:v>Not Run</x:v>
      </x:c>
      <x:c r="G44" s="83" t="str">
        <x:v>../Codex_audit_06_tracker.md</x:v>
      </x:c>
      <x:c r="H44" s="83"/>
      <x:c r="I44" s="73" t="str">
        <x:v>No controlled completed Iteration exists.</x:v>
      </x:c>
    </x:row>
    <x:row r="45">
      <x:c r="A45" s="86" t="n">
        <x:v>46240</x:v>
      </x:c>
      <x:c r="B45" s="83" t="str">
        <x:v>P6-VEL-005</x:v>
      </x:c>
      <x:c r="C45" s="83" t="str">
        <x:v>rally-dev.qnsc.vn</x:v>
      </x:c>
      <x:c r="D45" s="83" t="str">
        <x:v>QNSC / TEST / Pegasus</x:v>
      </x:c>
      <x:c r="E45" s="83" t="str">
        <x:v>Codex</x:v>
      </x:c>
      <x:c r="F45" s="83" t="str">
        <x:v>Not Run</x:v>
      </x:c>
      <x:c r="G45" s="83" t="str">
        <x:v>../Codex_audit_06_tracker.md</x:v>
      </x:c>
      <x:c r="H45" s="83"/>
      <x:c r="I45" s="73" t="str">
        <x:v>No historical accepted-date data exists.</x:v>
      </x:c>
    </x:row>
    <x:row r="46">
      <x:c r="A46" s="86" t="n">
        <x:v>46240</x:v>
      </x:c>
      <x:c r="B46" s="83" t="str">
        <x:v>P6-VEL-006</x:v>
      </x:c>
      <x:c r="C46" s="83" t="str">
        <x:v>rally-dev.qnsc.vn</x:v>
      </x:c>
      <x:c r="D46" s="83" t="str">
        <x:v>QNSC / TEST / Pegasus</x:v>
      </x:c>
      <x:c r="E46" s="83" t="str">
        <x:v>Codex</x:v>
      </x:c>
      <x:c r="F46" s="83" t="str">
        <x:v>Pass</x:v>
      </x:c>
      <x:c r="G46" s="83" t="str">
        <x:v>../Codex_audit_06_tracker.md</x:v>
      </x:c>
      <x:c r="H46" s="83" t="str">
        <x:v>N/A — C7 reconciliation</x:v>
      </x:c>
      <x:c r="I46" s="73" t="str">
        <x:v>BA confirmed default Last 10 with a Last 5/Last 10 toggle and persisted selection. Previous failure reclassified as Not a Defect.</x:v>
      </x:c>
    </x:row>
    <x:row r="47">
      <x:c r="A47" s="86" t="n">
        <x:v>46240</x:v>
      </x:c>
      <x:c r="B47" s="83" t="str">
        <x:v>P6-VEL-007</x:v>
      </x:c>
      <x:c r="C47" s="83" t="str">
        <x:v>rally-dev.qnsc.vn</x:v>
      </x:c>
      <x:c r="D47" s="83" t="str">
        <x:v>QNSC / TEST / Pegasus</x:v>
      </x:c>
      <x:c r="E47" s="83" t="str">
        <x:v>Codex</x:v>
      </x:c>
      <x:c r="F47" s="83" t="str">
        <x:v>Not Run</x:v>
      </x:c>
      <x:c r="G47" s="83" t="str">
        <x:v>../Codex_audit_06_tracker.md</x:v>
      </x:c>
      <x:c r="H47" s="83"/>
      <x:c r="I47" s="73" t="str">
        <x:v>No eligible Iteration exists.</x:v>
      </x:c>
    </x:row>
    <x:row r="48">
      <x:c r="A48" s="86" t="n">
        <x:v>46240</x:v>
      </x:c>
      <x:c r="B48" s="83" t="str">
        <x:v>P6-VEL-008</x:v>
      </x:c>
      <x:c r="C48" s="83" t="str">
        <x:v>rally-dev.qnsc.vn</x:v>
      </x:c>
      <x:c r="D48" s="83" t="str">
        <x:v>QNSC / TEST / Pegasus</x:v>
      </x:c>
      <x:c r="E48" s="83" t="str">
        <x:v>Codex</x:v>
      </x:c>
      <x:c r="F48" s="83" t="str">
        <x:v>Not Run</x:v>
      </x:c>
      <x:c r="G48" s="83" t="str">
        <x:v>../Codex_audit_06_tracker.md</x:v>
      </x:c>
      <x:c r="H48" s="83"/>
      <x:c r="I48" s="73" t="str">
        <x:v>Required malformed historical test record is unavailable.</x:v>
      </x:c>
    </x:row>
    <x:row r="49">
      <x:c r="A49" s="86" t="n">
        <x:v>46240</x:v>
      </x:c>
      <x:c r="B49" s="83" t="str">
        <x:v>P6-VEL-009</x:v>
      </x:c>
      <x:c r="C49" s="83" t="str">
        <x:v>rally-dev.qnsc.vn</x:v>
      </x:c>
      <x:c r="D49" s="83" t="str">
        <x:v>QNSC / TEST / Pegasus</x:v>
      </x:c>
      <x:c r="E49" s="83" t="str">
        <x:v>Codex</x:v>
      </x:c>
      <x:c r="F49" s="83" t="str">
        <x:v>Not Run</x:v>
      </x:c>
      <x:c r="G49" s="83" t="str">
        <x:v>../Codex_audit_06_tracker.md</x:v>
      </x:c>
      <x:c r="H49" s="83"/>
      <x:c r="I49" s="73" t="str">
        <x:v>There is no eligible velocity data to compare Team aggregation.</x:v>
      </x:c>
    </x:row>
    <x:row r="50">
      <x:c r="A50" s="86" t="n">
        <x:v>46240</x:v>
      </x:c>
      <x:c r="B50" s="83" t="str">
        <x:v>P6-VEL-010</x:v>
      </x:c>
      <x:c r="C50" s="83" t="str">
        <x:v>rally-dev.qnsc.vn</x:v>
      </x:c>
      <x:c r="D50" s="83" t="str">
        <x:v>QNSC / TEST / Pegasus</x:v>
      </x:c>
      <x:c r="E50" s="83" t="str">
        <x:v>Codex</x:v>
      </x:c>
      <x:c r="F50" s="83" t="str">
        <x:v>Pass</x:v>
      </x:c>
      <x:c r="G50" s="83" t="str">
        <x:v>../Codex_audit_06_tracker.md</x:v>
      </x:c>
      <x:c r="H50" s="83"/>
      <x:c r="I50" s="73" t="str">
        <x:v>Explicit No completed iterations state replaces the previous endless Loading state.</x:v>
      </x:c>
    </x:row>
    <x:row r="51">
      <x:c r="A51" s="86" t="n">
        <x:v>46240</x:v>
      </x:c>
      <x:c r="B51" s="83" t="str">
        <x:v>P6-TC-001</x:v>
      </x:c>
      <x:c r="C51" s="83" t="str">
        <x:v>rally-dev.qnsc.vn</x:v>
      </x:c>
      <x:c r="D51" s="83" t="str">
        <x:v>QNSC / TEST / Pegasus</x:v>
      </x:c>
      <x:c r="E51" s="83" t="str">
        <x:v>Codex</x:v>
      </x:c>
      <x:c r="F51" s="83" t="str">
        <x:v>Pass</x:v>
      </x:c>
      <x:c r="G51" s="83" t="str">
        <x:v>../Codex_audit_06_tracker.md</x:v>
      </x:c>
      <x:c r="H51" s="83"/>
      <x:c r="I51" s="73" t="str">
        <x:v>Pegasus and IT-1 load successfully with the correct reporting scope.</x:v>
      </x:c>
    </x:row>
    <x:row r="52">
      <x:c r="A52" s="86" t="n">
        <x:v>46240</x:v>
      </x:c>
      <x:c r="B52" s="83" t="str">
        <x:v>P6-TC-002</x:v>
      </x:c>
      <x:c r="C52" s="83" t="str">
        <x:v>rally-dev.qnsc.vn</x:v>
      </x:c>
      <x:c r="D52" s="83" t="str">
        <x:v>QNSC / TEST / Pegasus</x:v>
      </x:c>
      <x:c r="E52" s="83" t="str">
        <x:v>Codex</x:v>
      </x:c>
      <x:c r="F52" s="83" t="str">
        <x:v>Pass</x:v>
      </x:c>
      <x:c r="G52" s="83" t="str">
        <x:v>../Codex_audit_06_tracker.md</x:v>
      </x:c>
      <x:c r="H52" s="83"/>
      <x:c r="I52" s="73" t="str">
        <x:v>All Teams view loads and can switch back to Pegasus.</x:v>
      </x:c>
    </x:row>
    <x:row r="53">
      <x:c r="A53" s="86" t="n">
        <x:v>46240</x:v>
      </x:c>
      <x:c r="B53" s="83" t="str">
        <x:v>P6-TC-003</x:v>
      </x:c>
      <x:c r="C53" s="83" t="str">
        <x:v>rally-dev.qnsc.vn</x:v>
      </x:c>
      <x:c r="D53" s="83" t="str">
        <x:v>QNSC / TEST / Pegasus</x:v>
      </x:c>
      <x:c r="E53" s="83" t="str">
        <x:v>Codex</x:v>
      </x:c>
      <x:c r="F53" s="83" t="str">
        <x:v>Pass</x:v>
      </x:c>
      <x:c r="G53" s="83" t="str">
        <x:v>../Codex_audit_06_tracker.md</x:v>
      </x:c>
      <x:c r="H53" s="83"/>
      <x:c r="I53" s="73" t="str">
        <x:v>Cards show Capacity 60h, Estimate 4h, ToDo 0h and Actual 0h.</x:v>
      </x:c>
    </x:row>
    <x:row r="54">
      <x:c r="A54" s="86" t="n">
        <x:v>46240</x:v>
      </x:c>
      <x:c r="B54" s="83" t="str">
        <x:v>P6-TC-004</x:v>
      </x:c>
      <x:c r="C54" s="83" t="str">
        <x:v>rally-dev.qnsc.vn</x:v>
      </x:c>
      <x:c r="D54" s="83" t="str">
        <x:v>QNSC / TEST / Pegasus</x:v>
      </x:c>
      <x:c r="E54" s="83" t="str">
        <x:v>Codex</x:v>
      </x:c>
      <x:c r="F54" s="83" t="str">
        <x:v>Pass</x:v>
      </x:c>
      <x:c r="G54" s="83" t="str">
        <x:v>../Codex_audit_06_tracker.md</x:v>
      </x:c>
      <x:c r="H54" s="83"/>
      <x:c r="I54" s="73" t="str">
        <x:v>Member rows reconcile to the Team totals for the available data.</x:v>
      </x:c>
    </x:row>
    <x:row r="55">
      <x:c r="A55" s="86" t="n">
        <x:v>46240</x:v>
      </x:c>
      <x:c r="B55" s="83" t="str">
        <x:v>P6-TC-005</x:v>
      </x:c>
      <x:c r="C55" s="83" t="str">
        <x:v>rally-dev.qnsc.vn</x:v>
      </x:c>
      <x:c r="D55" s="83" t="str">
        <x:v>QNSC / TEST / Pegasus</x:v>
      </x:c>
      <x:c r="E55" s="83" t="str">
        <x:v>Codex</x:v>
      </x:c>
      <x:c r="F55" s="83" t="str">
        <x:v>Pass</x:v>
      </x:c>
      <x:c r="G55" s="83" t="str">
        <x:v>../Codex_audit_06_tracker.md</x:v>
      </x:c>
      <x:c r="H55" s="83"/>
      <x:c r="I55" s="73" t="str">
        <x:v>Anh shows Capacity 60h with Estimate/ToDo/Actual all 0h.</x:v>
      </x:c>
    </x:row>
    <x:row r="56">
      <x:c r="A56" s="86" t="n">
        <x:v>46240</x:v>
      </x:c>
      <x:c r="B56" s="83" t="str">
        <x:v>P6-TC-006</x:v>
      </x:c>
      <x:c r="C56" s="83" t="str">
        <x:v>rally-dev.qnsc.vn</x:v>
      </x:c>
      <x:c r="D56" s="83" t="str">
        <x:v>QNSC / TEST / Pegasus</x:v>
      </x:c>
      <x:c r="E56" s="83" t="str">
        <x:v>Codex</x:v>
      </x:c>
      <x:c r="F56" s="83" t="str">
        <x:v>Pass</x:v>
      </x:c>
      <x:c r="G56" s="83" t="str">
        <x:v>../Codex_audit_06_tracker.md</x:v>
      </x:c>
      <x:c r="H56" s="83"/>
      <x:c r="I56" s="73" t="str">
        <x:v>Hieu shows Capacity 0h and Estimate 4h without dropping the Task total.</x:v>
      </x:c>
    </x:row>
    <x:row r="57">
      <x:c r="A57" s="86" t="n">
        <x:v>46240</x:v>
      </x:c>
      <x:c r="B57" s="83" t="str">
        <x:v>P6-TC-007</x:v>
      </x:c>
      <x:c r="C57" s="83" t="str">
        <x:v>rally-dev.qnsc.vn</x:v>
      </x:c>
      <x:c r="D57" s="83" t="str">
        <x:v>QNSC / TEST / Pegasus</x:v>
      </x:c>
      <x:c r="E57" s="83" t="str">
        <x:v>Codex</x:v>
      </x:c>
      <x:c r="F57" s="83" t="str">
        <x:v>Not Run</x:v>
      </x:c>
      <x:c r="G57" s="83" t="str">
        <x:v>../Codex_audit_06_tracker.md</x:v>
      </x:c>
      <x:c r="H57" s="83"/>
      <x:c r="I57" s="73" t="str">
        <x:v>No unassigned Task is available.</x:v>
      </x:c>
    </x:row>
    <x:row r="58">
      <x:c r="A58" s="86" t="n">
        <x:v>46240</x:v>
      </x:c>
      <x:c r="B58" s="83" t="str">
        <x:v>P6-TC-008</x:v>
      </x:c>
      <x:c r="C58" s="83" t="str">
        <x:v>rally-dev.qnsc.vn</x:v>
      </x:c>
      <x:c r="D58" s="83" t="str">
        <x:v>QNSC / TEST / Pegasus</x:v>
      </x:c>
      <x:c r="E58" s="83" t="str">
        <x:v>Codex</x:v>
      </x:c>
      <x:c r="F58" s="83" t="str">
        <x:v>Not Run</x:v>
      </x:c>
      <x:c r="G58" s="83" t="str">
        <x:v>../Codex_audit_06_tracker.md</x:v>
      </x:c>
      <x:c r="H58" s="83"/>
      <x:c r="I58" s="73" t="str">
        <x:v>The required controlled Task values are unavailable.</x:v>
      </x:c>
    </x:row>
    <x:row r="59">
      <x:c r="A59" s="86" t="n">
        <x:v>46240</x:v>
      </x:c>
      <x:c r="B59" s="83" t="str">
        <x:v>P6-TC-009</x:v>
      </x:c>
      <x:c r="C59" s="83" t="str">
        <x:v>rally-dev.qnsc.vn</x:v>
      </x:c>
      <x:c r="D59" s="83" t="str">
        <x:v>QNSC / TEST / Pegasus</x:v>
      </x:c>
      <x:c r="E59" s="83" t="str">
        <x:v>Codex</x:v>
      </x:c>
      <x:c r="F59" s="83" t="str">
        <x:v>Not Run</x:v>
      </x:c>
      <x:c r="G59" s="83" t="str">
        <x:v>../Codex_audit_06_tracker.md</x:v>
      </x:c>
      <x:c r="H59" s="83"/>
      <x:c r="I59" s="73" t="str">
        <x:v>Only one usable Iteration exists.</x:v>
      </x:c>
    </x:row>
    <x:row r="60">
      <x:c r="A60" s="86" t="n">
        <x:v>46240</x:v>
      </x:c>
      <x:c r="B60" s="83" t="str">
        <x:v>P6-TC-010</x:v>
      </x:c>
      <x:c r="C60" s="83" t="str">
        <x:v>rally-dev.qnsc.vn</x:v>
      </x:c>
      <x:c r="D60" s="83" t="str">
        <x:v>QNSC / TEST / Pegasus</x:v>
      </x:c>
      <x:c r="E60" s="83" t="str">
        <x:v>Codex</x:v>
      </x:c>
      <x:c r="F60" s="83" t="str">
        <x:v>Pass</x:v>
      </x:c>
      <x:c r="G60" s="83" t="str">
        <x:v>../Codex_audit_06_tracker.md</x:v>
      </x:c>
      <x:c r="H60" s="83"/>
      <x:c r="I60" s="73" t="str">
        <x:v>Show Fields, sortable columns, utilization/progress visuals and report cards are present; no editor is exposed.</x:v>
      </x:c>
    </x:row>
    <x:row r="61">
      <x:c r="A61" s="86" t="n">
        <x:v>46240</x:v>
      </x:c>
      <x:c r="B61" s="83" t="str">
        <x:v>P6-TC-011</x:v>
      </x:c>
      <x:c r="C61" s="83" t="str">
        <x:v>rally-dev.qnsc.vn</x:v>
      </x:c>
      <x:c r="D61" s="83" t="str">
        <x:v>QNSC / TEST / Pegasus</x:v>
      </x:c>
      <x:c r="E61" s="83" t="str">
        <x:v>Codex</x:v>
      </x:c>
      <x:c r="F61" s="83" t="str">
        <x:v>Not Run</x:v>
      </x:c>
      <x:c r="G61" s="83" t="str">
        <x:v>../Codex_audit_06_tracker.md</x:v>
      </x:c>
      <x:c r="H61" s="83"/>
      <x:c r="I61" s="73" t="str">
        <x:v>No valid zero-capacity/zero-task Team and Iteration branch is available.</x:v>
      </x:c>
    </x:row>
    <x:row r="62">
      <x:c r="A62" s="86" t="n">
        <x:v>46240</x:v>
      </x:c>
      <x:c r="B62" s="83" t="str">
        <x:v>P6-E2E-001</x:v>
      </x:c>
      <x:c r="C62" s="83" t="str">
        <x:v>rally-dev.qnsc.vn</x:v>
      </x:c>
      <x:c r="D62" s="83" t="str">
        <x:v>QNSC / TEST / Pegasus</x:v>
      </x:c>
      <x:c r="E62" s="83" t="str">
        <x:v>Codex</x:v>
      </x:c>
      <x:c r="F62" s="83" t="str">
        <x:v>Fail</x:v>
      </x:c>
      <x:c r="G62" s="83" t="str">
        <x:v>../Codex_audit_06_tracker.md</x:v>
      </x:c>
      <x:c r="H62" s="83" t="str">
        <x:v>P6-GAP-004</x:v>
      </x:c>
      <x:c r="I62" s="73" t="str">
        <x:v>Create with details silently created duplicate/orphan Work Items while leaving the dialog open and showing no confirmation.</x:v>
      </x:c>
    </x:row>
    <x:row r="63">
      <x:c r="A63" s="86" t="n">
        <x:v>46240</x:v>
      </x:c>
      <x:c r="B63" s="83" t="str">
        <x:v>P6-E2E-002</x:v>
      </x:c>
      <x:c r="C63" s="83" t="str">
        <x:v>rally-dev.qnsc.vn</x:v>
      </x:c>
      <x:c r="D63" s="83" t="str">
        <x:v>QNSC / TEST / Pegasus</x:v>
      </x:c>
      <x:c r="E63" s="83" t="str">
        <x:v>Codex</x:v>
      </x:c>
      <x:c r="F63" s="83" t="str">
        <x:v>Fail</x:v>
      </x:c>
      <x:c r="G63" s="83" t="str">
        <x:v>../Codex_audit_06_tracker.md</x:v>
      </x:c>
      <x:c r="H63" s="83" t="str">
        <x:v>P6-GAP-005</x:v>
      </x:c>
      <x:c r="I63" s="73" t="str">
        <x:v>Work Item state update did not persist/mirror reliably; Schedule/Flow returned to Idea after reload and reporting did not count it as accepted.</x:v>
      </x:c>
    </x:row>
    <x:row r="64">
      <x:c r="A64" s="86" t="n">
        <x:v>46240</x:v>
      </x:c>
      <x:c r="B64" s="83" t="str">
        <x:v>P6-E2E-003</x:v>
      </x:c>
      <x:c r="C64" s="83" t="str">
        <x:v>rally-dev.qnsc.vn</x:v>
      </x:c>
      <x:c r="D64" s="83" t="str">
        <x:v>QNSC / TEST / Pegasus</x:v>
      </x:c>
      <x:c r="E64" s="83" t="str">
        <x:v>Codex</x:v>
      </x:c>
      <x:c r="F64" s="83" t="str">
        <x:v>Partial</x:v>
      </x:c>
      <x:c r="G64" s="83" t="str">
        <x:v>../Codex_audit_06_tracker.md</x:v>
      </x:c>
      <x:c r="H64" s="83"/>
      <x:c r="I64" s="73" t="str">
        <x:v>Project/Team scope changed correctly; only one Release and one Iteration prevent cross-context validation.</x:v>
      </x:c>
    </x:row>
    <x:row r="65">
      <x:c r="A65" s="86" t="n">
        <x:v>46240</x:v>
      </x:c>
      <x:c r="B65" s="83" t="str">
        <x:v>P6-E2E-004</x:v>
      </x:c>
      <x:c r="C65" s="83" t="str">
        <x:v>rally-dev.qnsc.vn</x:v>
      </x:c>
      <x:c r="D65" s="83" t="str">
        <x:v>QNSC / TEST / Pegasus</x:v>
      </x:c>
      <x:c r="E65" s="83" t="str">
        <x:v>Codex</x:v>
      </x:c>
      <x:c r="F65" s="83" t="str">
        <x:v>Partial</x:v>
      </x:c>
      <x:c r="G65" s="83" t="str">
        <x:v>../Codex_audit_06_tracker.md</x:v>
      </x:c>
      <x:c r="H65" s="83"/>
      <x:c r="I65" s="73" t="str">
        <x:v>Record data persisted in several flows, but report filters reset on reload; sign-out/in was not repeated.</x:v>
      </x:c>
    </x:row>
    <x:row r="66">
      <x:c r="A66" s="86" t="n">
        <x:v>46240</x:v>
      </x:c>
      <x:c r="B66" s="83" t="str">
        <x:v>GAP-P3-TS-008</x:v>
      </x:c>
      <x:c r="C66" s="83" t="str">
        <x:v>rally-dev.qnsc.vn</x:v>
      </x:c>
      <x:c r="D66" s="83" t="str">
        <x:v>QNSC / TEST / Pegasus</x:v>
      </x:c>
      <x:c r="E66" s="83" t="str">
        <x:v>BA + Codex</x:v>
      </x:c>
      <x:c r="F66" s="83" t="str">
        <x:v>Fail</x:v>
      </x:c>
      <x:c r="G66" s="83" t="str">
        <x:v>../Codex_audit_06_tracker.md</x:v>
      </x:c>
      <x:c r="H66" s="83" t="str">
        <x:v>GAP-P3-TS-008</x:v>
      </x:c>
      <x:c r="I66" s="73" t="str">
        <x:v>Team Status and Work Item Owner selectors used inconsistent/stale Team membership. Removed-member Task treatment remains Pending BA.</x:v>
      </x:c>
    </x:row>
    <x:row r="67">
      <x:c r="A67" s="86" t="n">
        <x:v>46243</x:v>
      </x:c>
      <x:c r="B67" s="83" t="str">
        <x:v>FAIL-PARTIAL-RETEST-20260809</x:v>
      </x:c>
      <x:c r="C67" s="83" t="str">
        <x:v>https://rally-dev.qnsc.vn/</x:v>
      </x:c>
      <x:c r="D67" s="83" t="str">
        <x:v>QNSC / TEST / Pegasus</x:v>
      </x:c>
      <x:c r="E67" s="83" t="str">
        <x:v>Codex DevInt re-test</x:v>
      </x:c>
      <x:c r="F67" s="83" t="str">
        <x:v>11 Pass / 31 Partial / 9 Fail</x:v>
      </x:c>
      <x:c r="G67" s="83" t="str">
        <x:v>Codex_audit_06_tracker.md</x:v>
      </x:c>
      <x:c r="H67" s="83" t="str">
        <x:v>9 Fail</x:v>
      </x:c>
      <x:c r="I67" s="73" t="str">
        <x:v>Re-tested 51 prior Fail/Partial scenarios; existing Blocked scenarios were excluded.</x:v>
      </x:c>
    </x:row>
    <x:row r="68">
      <x:c r="A68" s="86" t="n">
        <x:v>46248</x:v>
      </x:c>
      <x:c r="B68" s="83" t="str">
        <x:v>P0-6-RETEST-20260814</x:v>
      </x:c>
      <x:c r="C68" s="83" t="str">
        <x:v>https://rally-dev.qnsc.vn/</x:v>
      </x:c>
      <x:c r="D68" s="83" t="str">
        <x:v>QNSC / TEST / Pegasus + All Teams</x:v>
      </x:c>
      <x:c r="E68" s="83" t="str">
        <x:v>Codex DevInt retest</x:v>
      </x:c>
      <x:c r="F68" s="83" t="str">
        <x:v>12 Pass / 27 Partial / 15 Fail / 41 Blocked (95 retested)</x:v>
      </x:c>
      <x:c r="G68" s="83" t="str">
        <x:v>DEVINT_RETEST_EXECUTION_PLAN_2026-08-14.md</x:v>
      </x:c>
      <x:c r="H68" s="83" t="str">
        <x:v>15 Fail</x:v>
      </x:c>
      <x:c r="I68" s="73" t="str">
        <x:v>BA revised GAP-P1-USER-004 to Pass: No Access or Unassigned user is acceptable as a descriptive no-Project-assignment state, not as a selectable permission.</x:v>
      </x:c>
    </x:row>
    <x:row r="69">
      <x:c r="A69" s="86" t="n">
        <x:v>46248</x:v>
      </x:c>
      <x:c r="B69" s="83" t="str">
        <x:v>BLOCKED-CARRYOVER-RETEST-20260814</x:v>
      </x:c>
      <x:c r="C69" s="83" t="str">
        <x:v>https://rally-dev.qnsc.vn/</x:v>
      </x:c>
      <x:c r="D69" s="83" t="str">
        <x:v>QNSC / AUDIT26 / No Team</x:v>
      </x:c>
      <x:c r="E69" s="83" t="str">
        <x:v>Codex DevInt retest</x:v>
      </x:c>
      <x:c r="F69" s="83" t="str">
        <x:v>3 Pass / 6 Partial / 3 Fail / 5 Blocked (17 retested)</x:v>
      </x:c>
      <x:c r="G69" s="83" t="str">
        <x:v>DEVINT_RETEST_EXECUTION_PLAN_2026-08-14.md</x:v>
      </x:c>
      <x:c r="H69" s="83" t="str">
        <x:v>3 Fail</x:v>
      </x:c>
      <x:c r="I69" s="73" t="str">
        <x:v>Retested 17 previously Blocked Carry Over cases. Five remain blocked by Team setup or missing account/data prerequisites; P6-TC-008 evidence was refreshed and remains Fail.</x:v>
      </x:c>
    </x:row>
    <x:row r="70">
      <x:c r="A70" s="86" t="str">
        <x:v>2026-08-14</x:v>
      </x:c>
      <x:c r="B70" s="83" t="str">
        <x:v>BA-DOC-ALIGN-P0-6</x:v>
      </x:c>
      <x:c r="C70" s="83" t="str">
        <x:v>rally-dev.qnsc.vn</x:v>
      </x:c>
      <x:c r="D70" s="83" t="str">
        <x:v>Phase 0-6 FE/business</x:v>
      </x:c>
      <x:c r="E70" s="83" t="str">
        <x:v>BA + Codex</x:v>
      </x:c>
      <x:c r="F70" s="83" t="str">
        <x:v>Aligned</x:v>
      </x:c>
      <x:c r="G70" s="83" t="str">
        <x:v>LIVE_RETEST_CONFIRMED_FAIL_CHAIN_REPORT_2026-08-14.md</x:v>
      </x:c>
      <x:c r="H70" s="83" t="str">
        <x:v>10 confirmed Fail</x:v>
      </x:c>
      <x:c r="I70" s="73" t="str">
        <x:v>Updated confirmed statuses and latest Expected Results; P6-TC-008 reset to Not Run under independent Task-hour rule.</x:v>
      </x:c>
    </x:row>
    <x:row r="71">
      <x:c r="A71" s="86" t="n">
        <x:v>46248</x:v>
      </x:c>
      <x:c r="B71" s="83" t="str">
        <x:v>BA-LIVE-RECHECK-20260814</x:v>
      </x:c>
      <x:c r="C71" s="83" t="str">
        <x:v>https://rally-dev.qnsc.vn/</x:v>
      </x:c>
      <x:c r="D71" s="83" t="str">
        <x:v>QNSC / TEST + AUDIT26</x:v>
      </x:c>
      <x:c r="E71" s="83" t="str">
        <x:v>BA + Codex</x:v>
      </x:c>
      <x:c r="F71" s="83" t="str">
        <x:v>15 Pass / 3 Partial / 9 Fail</x:v>
      </x:c>
      <x:c r="G71" s="83" t="str">
        <x:v>../Codex_audit_06_tracker.md</x:v>
      </x:c>
      <x:c r="H71" s="83" t="str">
        <x:v>9 confirmed Fail</x:v>
      </x:c>
      <x:c r="I71" s="73" t="str">
        <x:v>27 BA-confirmed cases synchronized to MD and workbook. GAP-P0-SHELL-007 was added as a new row.</x:v>
      </x:c>
    </x:row>
    <x:row r="72">
      <x:c r="A72" s="86"/>
      <x:c r="B72" s="83"/>
      <x:c r="C72" s="83"/>
      <x:c r="D72" s="83"/>
      <x:c r="E72" s="83"/>
      <x:c r="F72" s="83"/>
      <x:c r="G72" s="83"/>
      <x:c r="H72" s="83"/>
      <x:c r="I72" s="73"/>
    </x:row>
    <x:row r="73">
      <x:c r="A73" s="86"/>
      <x:c r="B73" s="83"/>
      <x:c r="C73" s="83"/>
      <x:c r="D73" s="83"/>
      <x:c r="E73" s="83"/>
      <x:c r="F73" s="83"/>
      <x:c r="G73" s="83"/>
      <x:c r="H73" s="83"/>
      <x:c r="I73" s="73"/>
    </x:row>
    <x:row r="74">
      <x:c r="A74" s="86"/>
      <x:c r="B74" s="83"/>
      <x:c r="C74" s="83"/>
      <x:c r="D74" s="83"/>
      <x:c r="E74" s="83"/>
      <x:c r="F74" s="83"/>
      <x:c r="G74" s="83"/>
      <x:c r="H74" s="83"/>
      <x:c r="I74" s="73"/>
    </x:row>
    <x:row r="75">
      <x:c r="A75" s="86"/>
      <x:c r="B75" s="83"/>
      <x:c r="C75" s="83"/>
      <x:c r="D75" s="83"/>
      <x:c r="E75" s="83"/>
      <x:c r="F75" s="83"/>
      <x:c r="G75" s="83"/>
      <x:c r="H75" s="83"/>
      <x:c r="I75" s="73"/>
    </x:row>
    <x:row r="76">
      <x:c r="A76" s="86"/>
      <x:c r="B76" s="83"/>
      <x:c r="C76" s="83"/>
      <x:c r="D76" s="83"/>
      <x:c r="E76" s="83"/>
      <x:c r="F76" s="83"/>
      <x:c r="G76" s="83"/>
      <x:c r="H76" s="83"/>
      <x:c r="I76" s="73"/>
    </x:row>
    <x:row r="77">
      <x:c r="A77" s="86"/>
      <x:c r="B77" s="83"/>
      <x:c r="C77" s="83"/>
      <x:c r="D77" s="83"/>
      <x:c r="E77" s="83"/>
      <x:c r="F77" s="83"/>
      <x:c r="G77" s="83"/>
      <x:c r="H77" s="83"/>
      <x:c r="I77" s="73"/>
    </x:row>
    <x:row r="78">
      <x:c r="A78" s="86"/>
      <x:c r="B78" s="83"/>
      <x:c r="C78" s="83"/>
      <x:c r="D78" s="83"/>
      <x:c r="E78" s="83"/>
      <x:c r="F78" s="83"/>
      <x:c r="G78" s="83"/>
      <x:c r="H78" s="83"/>
      <x:c r="I78" s="73"/>
    </x:row>
    <x:row r="79">
      <x:c r="A79" s="86"/>
      <x:c r="B79" s="83"/>
      <x:c r="C79" s="83"/>
      <x:c r="D79" s="83"/>
      <x:c r="E79" s="83"/>
      <x:c r="F79" s="83"/>
      <x:c r="G79" s="83"/>
      <x:c r="H79" s="83"/>
      <x:c r="I79" s="73"/>
    </x:row>
    <x:row r="80">
      <x:c r="A80" s="86"/>
      <x:c r="B80" s="83"/>
      <x:c r="C80" s="83"/>
      <x:c r="D80" s="83"/>
      <x:c r="E80" s="83"/>
      <x:c r="F80" s="83"/>
      <x:c r="G80" s="83"/>
      <x:c r="H80" s="83"/>
      <x:c r="I80" s="73"/>
    </x:row>
    <x:row r="81">
      <x:c r="A81" s="86"/>
      <x:c r="B81" s="83"/>
      <x:c r="C81" s="83"/>
      <x:c r="D81" s="83"/>
      <x:c r="E81" s="83"/>
      <x:c r="F81" s="83"/>
      <x:c r="G81" s="83"/>
      <x:c r="H81" s="83"/>
      <x:c r="I81" s="73"/>
    </x:row>
    <x:row r="82">
      <x:c r="A82" s="86"/>
      <x:c r="B82" s="83"/>
      <x:c r="C82" s="83"/>
      <x:c r="D82" s="83"/>
      <x:c r="E82" s="83"/>
      <x:c r="F82" s="83"/>
      <x:c r="G82" s="83"/>
      <x:c r="H82" s="83"/>
      <x:c r="I82" s="73"/>
    </x:row>
    <x:row r="83">
      <x:c r="A83" s="86"/>
      <x:c r="B83" s="83"/>
      <x:c r="C83" s="83"/>
      <x:c r="D83" s="83"/>
      <x:c r="E83" s="83"/>
      <x:c r="F83" s="83"/>
      <x:c r="G83" s="83"/>
      <x:c r="H83" s="83"/>
      <x:c r="I83" s="73"/>
    </x:row>
    <x:row r="84">
      <x:c r="A84" s="86"/>
      <x:c r="B84" s="83"/>
      <x:c r="C84" s="83"/>
      <x:c r="D84" s="83"/>
      <x:c r="E84" s="83"/>
      <x:c r="F84" s="83"/>
      <x:c r="G84" s="83"/>
      <x:c r="H84" s="83"/>
      <x:c r="I84" s="73"/>
    </x:row>
    <x:row r="85">
      <x:c r="A85" s="86"/>
      <x:c r="B85" s="83"/>
      <x:c r="C85" s="83"/>
      <x:c r="D85" s="83"/>
      <x:c r="E85" s="83"/>
      <x:c r="F85" s="83"/>
      <x:c r="G85" s="83"/>
      <x:c r="H85" s="83"/>
      <x:c r="I85" s="73"/>
    </x:row>
    <x:row r="86">
      <x:c r="A86" s="86"/>
      <x:c r="B86" s="83"/>
      <x:c r="C86" s="83"/>
      <x:c r="D86" s="83"/>
      <x:c r="E86" s="83"/>
      <x:c r="F86" s="83"/>
      <x:c r="G86" s="83"/>
      <x:c r="H86" s="83"/>
      <x:c r="I86" s="73"/>
    </x:row>
    <x:row r="87">
      <x:c r="A87" s="86"/>
      <x:c r="B87" s="83"/>
      <x:c r="C87" s="83"/>
      <x:c r="D87" s="83"/>
      <x:c r="E87" s="83"/>
      <x:c r="F87" s="83"/>
      <x:c r="G87" s="83"/>
      <x:c r="H87" s="83"/>
      <x:c r="I87" s="73"/>
    </x:row>
    <x:row r="88">
      <x:c r="A88" s="86"/>
      <x:c r="B88" s="83"/>
      <x:c r="C88" s="83"/>
      <x:c r="D88" s="83"/>
      <x:c r="E88" s="83"/>
      <x:c r="F88" s="83"/>
      <x:c r="G88" s="83"/>
      <x:c r="H88" s="83"/>
      <x:c r="I88" s="73"/>
    </x:row>
    <x:row r="89">
      <x:c r="A89" s="86"/>
      <x:c r="B89" s="83"/>
      <x:c r="C89" s="83"/>
      <x:c r="D89" s="83"/>
      <x:c r="E89" s="83"/>
      <x:c r="F89" s="83"/>
      <x:c r="G89" s="83"/>
      <x:c r="H89" s="83"/>
      <x:c r="I89" s="73"/>
    </x:row>
    <x:row r="90">
      <x:c r="A90" s="86"/>
      <x:c r="B90" s="83"/>
      <x:c r="C90" s="83"/>
      <x:c r="D90" s="83"/>
      <x:c r="E90" s="83"/>
      <x:c r="F90" s="83"/>
      <x:c r="G90" s="83"/>
      <x:c r="H90" s="83"/>
      <x:c r="I90" s="73"/>
    </x:row>
    <x:row r="91">
      <x:c r="A91" s="86"/>
      <x:c r="B91" s="83"/>
      <x:c r="C91" s="83"/>
      <x:c r="D91" s="83"/>
      <x:c r="E91" s="83"/>
      <x:c r="F91" s="83"/>
      <x:c r="G91" s="83"/>
      <x:c r="H91" s="83"/>
      <x:c r="I91" s="73"/>
    </x:row>
    <x:row r="92">
      <x:c r="A92" s="86"/>
      <x:c r="B92" s="83"/>
      <x:c r="C92" s="83"/>
      <x:c r="D92" s="83"/>
      <x:c r="E92" s="83"/>
      <x:c r="F92" s="83"/>
      <x:c r="G92" s="83"/>
      <x:c r="H92" s="83"/>
      <x:c r="I92" s="73"/>
    </x:row>
    <x:row r="93">
      <x:c r="A93" s="86"/>
      <x:c r="B93" s="83"/>
      <x:c r="C93" s="83"/>
      <x:c r="D93" s="83"/>
      <x:c r="E93" s="83"/>
      <x:c r="F93" s="83"/>
      <x:c r="G93" s="83"/>
      <x:c r="H93" s="83"/>
      <x:c r="I93" s="73"/>
    </x:row>
    <x:row r="94">
      <x:c r="A94" s="86"/>
      <x:c r="B94" s="83"/>
      <x:c r="C94" s="83"/>
      <x:c r="D94" s="83"/>
      <x:c r="E94" s="83"/>
      <x:c r="F94" s="83"/>
      <x:c r="G94" s="83"/>
      <x:c r="H94" s="83"/>
      <x:c r="I94" s="73"/>
    </x:row>
    <x:row r="95">
      <x:c r="A95" s="86"/>
      <x:c r="B95" s="83"/>
      <x:c r="C95" s="83"/>
      <x:c r="D95" s="83"/>
      <x:c r="E95" s="83"/>
      <x:c r="F95" s="83"/>
      <x:c r="G95" s="83"/>
      <x:c r="H95" s="83"/>
      <x:c r="I95" s="73"/>
    </x:row>
    <x:row r="96">
      <x:c r="A96" s="86"/>
      <x:c r="B96" s="83"/>
      <x:c r="C96" s="83"/>
      <x:c r="D96" s="83"/>
      <x:c r="E96" s="83"/>
      <x:c r="F96" s="83"/>
      <x:c r="G96" s="83"/>
      <x:c r="H96" s="83"/>
      <x:c r="I96" s="73"/>
    </x:row>
    <x:row r="97">
      <x:c r="A97" s="86"/>
      <x:c r="B97" s="83"/>
      <x:c r="C97" s="83"/>
      <x:c r="D97" s="83"/>
      <x:c r="E97" s="83"/>
      <x:c r="F97" s="83"/>
      <x:c r="G97" s="83"/>
      <x:c r="H97" s="83"/>
      <x:c r="I97" s="73"/>
    </x:row>
    <x:row r="98">
      <x:c r="A98" s="86"/>
      <x:c r="B98" s="83"/>
      <x:c r="C98" s="83"/>
      <x:c r="D98" s="83"/>
      <x:c r="E98" s="83"/>
      <x:c r="F98" s="83"/>
      <x:c r="G98" s="83"/>
      <x:c r="H98" s="83"/>
      <x:c r="I98" s="73"/>
    </x:row>
    <x:row r="99">
      <x:c r="A99" s="86"/>
      <x:c r="B99" s="83"/>
      <x:c r="C99" s="83"/>
      <x:c r="D99" s="83"/>
      <x:c r="E99" s="83"/>
      <x:c r="F99" s="83"/>
      <x:c r="G99" s="83"/>
      <x:c r="H99" s="83"/>
      <x:c r="I99" s="73"/>
    </x:row>
    <x:row r="100">
      <x:c r="A100" s="86"/>
      <x:c r="B100" s="83"/>
      <x:c r="C100" s="83"/>
      <x:c r="D100" s="83"/>
      <x:c r="E100" s="83"/>
      <x:c r="F100" s="83"/>
      <x:c r="G100" s="83"/>
      <x:c r="H100" s="83"/>
      <x:c r="I100" s="73"/>
    </x:row>
    <x:row r="101">
      <x:c r="A101" s="86"/>
      <x:c r="B101" s="83"/>
      <x:c r="C101" s="83"/>
      <x:c r="D101" s="83"/>
      <x:c r="E101" s="83"/>
      <x:c r="F101" s="83"/>
      <x:c r="G101" s="83"/>
      <x:c r="H101" s="83"/>
      <x:c r="I101" s="73"/>
    </x:row>
    <x:row r="102">
      <x:c r="A102" s="86"/>
      <x:c r="B102" s="83"/>
      <x:c r="C102" s="83"/>
      <x:c r="D102" s="83"/>
      <x:c r="E102" s="83"/>
      <x:c r="F102" s="83"/>
      <x:c r="G102" s="83"/>
      <x:c r="H102" s="83"/>
      <x:c r="I102" s="73"/>
    </x:row>
    <x:row r="103">
      <x:c r="A103" s="86"/>
      <x:c r="B103" s="83"/>
      <x:c r="C103" s="83"/>
      <x:c r="D103" s="83"/>
      <x:c r="E103" s="83"/>
      <x:c r="F103" s="83"/>
      <x:c r="G103" s="83"/>
      <x:c r="H103" s="83"/>
      <x:c r="I103" s="73"/>
    </x:row>
    <x:row r="104">
      <x:c r="A104" s="86"/>
      <x:c r="B104" s="83"/>
      <x:c r="C104" s="83"/>
      <x:c r="D104" s="83"/>
      <x:c r="E104" s="83"/>
      <x:c r="F104" s="83"/>
      <x:c r="G104" s="83"/>
      <x:c r="H104" s="83"/>
      <x:c r="I104" s="73"/>
    </x:row>
    <x:row r="105">
      <x:c r="A105" s="86"/>
      <x:c r="B105" s="83"/>
      <x:c r="C105" s="83"/>
      <x:c r="D105" s="83"/>
      <x:c r="E105" s="83"/>
      <x:c r="F105" s="83"/>
      <x:c r="G105" s="83"/>
      <x:c r="H105" s="83"/>
      <x:c r="I105" s="73"/>
    </x:row>
    <x:row r="106">
      <x:c r="A106" s="86"/>
      <x:c r="B106" s="83"/>
      <x:c r="C106" s="83"/>
      <x:c r="D106" s="83"/>
      <x:c r="E106" s="83"/>
      <x:c r="F106" s="83"/>
      <x:c r="G106" s="83"/>
      <x:c r="H106" s="83"/>
      <x:c r="I106" s="73"/>
    </x:row>
    <x:row r="107">
      <x:c r="A107" s="86"/>
      <x:c r="B107" s="83"/>
      <x:c r="C107" s="83"/>
      <x:c r="D107" s="83"/>
      <x:c r="E107" s="83"/>
      <x:c r="F107" s="83"/>
      <x:c r="G107" s="83"/>
      <x:c r="H107" s="83"/>
      <x:c r="I107" s="73"/>
    </x:row>
    <x:row r="108">
      <x:c r="A108" s="86"/>
      <x:c r="B108" s="83"/>
      <x:c r="C108" s="83"/>
      <x:c r="D108" s="83"/>
      <x:c r="E108" s="83"/>
      <x:c r="F108" s="83"/>
      <x:c r="G108" s="83"/>
      <x:c r="H108" s="83"/>
      <x:c r="I108" s="73"/>
    </x:row>
    <x:row r="109">
      <x:c r="A109" s="86"/>
      <x:c r="B109" s="83"/>
      <x:c r="C109" s="83"/>
      <x:c r="D109" s="83"/>
      <x:c r="E109" s="83"/>
      <x:c r="F109" s="83"/>
      <x:c r="G109" s="83"/>
      <x:c r="H109" s="83"/>
      <x:c r="I109" s="73"/>
    </x:row>
    <x:row r="110">
      <x:c r="A110" s="86"/>
      <x:c r="B110" s="83"/>
      <x:c r="C110" s="83"/>
      <x:c r="D110" s="83"/>
      <x:c r="E110" s="83"/>
      <x:c r="F110" s="83"/>
      <x:c r="G110" s="83"/>
      <x:c r="H110" s="83"/>
      <x:c r="I110" s="73"/>
    </x:row>
    <x:row r="111">
      <x:c r="A111" s="86"/>
      <x:c r="B111" s="83"/>
      <x:c r="C111" s="83"/>
      <x:c r="D111" s="83"/>
      <x:c r="E111" s="83"/>
      <x:c r="F111" s="83"/>
      <x:c r="G111" s="83"/>
      <x:c r="H111" s="83"/>
      <x:c r="I111" s="73"/>
    </x:row>
    <x:row r="112">
      <x:c r="A112" s="86"/>
      <x:c r="B112" s="83"/>
      <x:c r="C112" s="83"/>
      <x:c r="D112" s="83"/>
      <x:c r="E112" s="83"/>
      <x:c r="F112" s="83"/>
      <x:c r="G112" s="83"/>
      <x:c r="H112" s="83"/>
      <x:c r="I112" s="73"/>
    </x:row>
    <x:row r="113">
      <x:c r="A113" s="86"/>
      <x:c r="B113" s="83"/>
      <x:c r="C113" s="83"/>
      <x:c r="D113" s="83"/>
      <x:c r="E113" s="83"/>
      <x:c r="F113" s="83"/>
      <x:c r="G113" s="83"/>
      <x:c r="H113" s="83"/>
      <x:c r="I113" s="73"/>
    </x:row>
    <x:row r="114">
      <x:c r="A114" s="86"/>
      <x:c r="B114" s="83"/>
      <x:c r="C114" s="83"/>
      <x:c r="D114" s="83"/>
      <x:c r="E114" s="83"/>
      <x:c r="F114" s="83"/>
      <x:c r="G114" s="83"/>
      <x:c r="H114" s="83"/>
      <x:c r="I114" s="73"/>
    </x:row>
    <x:row r="115">
      <x:c r="A115" s="86"/>
      <x:c r="B115" s="83"/>
      <x:c r="C115" s="83"/>
      <x:c r="D115" s="83"/>
      <x:c r="E115" s="83"/>
      <x:c r="F115" s="83"/>
      <x:c r="G115" s="83"/>
      <x:c r="H115" s="83"/>
      <x:c r="I115" s="73"/>
    </x:row>
    <x:row r="116">
      <x:c r="A116" s="86"/>
      <x:c r="B116" s="83"/>
      <x:c r="C116" s="83"/>
      <x:c r="D116" s="83"/>
      <x:c r="E116" s="83"/>
      <x:c r="F116" s="83"/>
      <x:c r="G116" s="83"/>
      <x:c r="H116" s="83"/>
      <x:c r="I116" s="73"/>
    </x:row>
    <x:row r="117">
      <x:c r="A117" s="86"/>
      <x:c r="B117" s="83"/>
      <x:c r="C117" s="83"/>
      <x:c r="D117" s="83"/>
      <x:c r="E117" s="83"/>
      <x:c r="F117" s="83"/>
      <x:c r="G117" s="83"/>
      <x:c r="H117" s="83"/>
      <x:c r="I117" s="73"/>
    </x:row>
    <x:row r="118">
      <x:c r="A118" s="86"/>
      <x:c r="B118" s="83"/>
      <x:c r="C118" s="83"/>
      <x:c r="D118" s="83"/>
      <x:c r="E118" s="83"/>
      <x:c r="F118" s="83"/>
      <x:c r="G118" s="83"/>
      <x:c r="H118" s="83"/>
      <x:c r="I118" s="73"/>
    </x:row>
    <x:row r="119">
      <x:c r="A119" s="86"/>
      <x:c r="B119" s="83"/>
      <x:c r="C119" s="83"/>
      <x:c r="D119" s="83"/>
      <x:c r="E119" s="83"/>
      <x:c r="F119" s="83"/>
      <x:c r="G119" s="83"/>
      <x:c r="H119" s="83"/>
      <x:c r="I119" s="73"/>
    </x:row>
    <x:row r="120">
      <x:c r="A120" s="86"/>
      <x:c r="B120" s="83"/>
      <x:c r="C120" s="83"/>
      <x:c r="D120" s="83"/>
      <x:c r="E120" s="83"/>
      <x:c r="F120" s="83"/>
      <x:c r="G120" s="83"/>
      <x:c r="H120" s="83"/>
      <x:c r="I120" s="73"/>
    </x:row>
    <x:row r="121">
      <x:c r="A121" s="86"/>
      <x:c r="B121" s="83"/>
      <x:c r="C121" s="83"/>
      <x:c r="D121" s="83"/>
      <x:c r="E121" s="83"/>
      <x:c r="F121" s="83"/>
      <x:c r="G121" s="83"/>
      <x:c r="H121" s="83"/>
      <x:c r="I121" s="73"/>
    </x:row>
    <x:row r="122">
      <x:c r="A122" s="86"/>
      <x:c r="B122" s="83"/>
      <x:c r="C122" s="83"/>
      <x:c r="D122" s="83"/>
      <x:c r="E122" s="83"/>
      <x:c r="F122" s="83"/>
      <x:c r="G122" s="83"/>
      <x:c r="H122" s="83"/>
      <x:c r="I122" s="73"/>
    </x:row>
    <x:row r="123">
      <x:c r="A123" s="86"/>
      <x:c r="B123" s="83"/>
      <x:c r="C123" s="83"/>
      <x:c r="D123" s="83"/>
      <x:c r="E123" s="83"/>
      <x:c r="F123" s="83"/>
      <x:c r="G123" s="83"/>
      <x:c r="H123" s="83"/>
      <x:c r="I123" s="73"/>
    </x:row>
    <x:row r="124">
      <x:c r="A124" s="86"/>
      <x:c r="B124" s="83"/>
      <x:c r="C124" s="83"/>
      <x:c r="D124" s="83"/>
      <x:c r="E124" s="83"/>
      <x:c r="F124" s="83"/>
      <x:c r="G124" s="83"/>
      <x:c r="H124" s="83"/>
      <x:c r="I124" s="73"/>
    </x:row>
    <x:row r="125">
      <x:c r="A125" s="86"/>
      <x:c r="B125" s="83"/>
      <x:c r="C125" s="83"/>
      <x:c r="D125" s="83"/>
      <x:c r="E125" s="83"/>
      <x:c r="F125" s="83"/>
      <x:c r="G125" s="83"/>
      <x:c r="H125" s="83"/>
      <x:c r="I125" s="73"/>
    </x:row>
    <x:row r="126">
      <x:c r="A126" s="86"/>
      <x:c r="B126" s="83"/>
      <x:c r="C126" s="83"/>
      <x:c r="D126" s="83"/>
      <x:c r="E126" s="83"/>
      <x:c r="F126" s="83"/>
      <x:c r="G126" s="83"/>
      <x:c r="H126" s="83"/>
      <x:c r="I126" s="73"/>
    </x:row>
    <x:row r="127">
      <x:c r="A127" s="86"/>
      <x:c r="B127" s="83"/>
      <x:c r="C127" s="83"/>
      <x:c r="D127" s="83"/>
      <x:c r="E127" s="83"/>
      <x:c r="F127" s="83"/>
      <x:c r="G127" s="83"/>
      <x:c r="H127" s="83"/>
      <x:c r="I127" s="73"/>
    </x:row>
    <x:row r="128">
      <x:c r="A128" s="86"/>
      <x:c r="B128" s="83"/>
      <x:c r="C128" s="83"/>
      <x:c r="D128" s="83"/>
      <x:c r="E128" s="83"/>
      <x:c r="F128" s="83"/>
      <x:c r="G128" s="83"/>
      <x:c r="H128" s="83"/>
      <x:c r="I128" s="73"/>
    </x:row>
    <x:row r="129">
      <x:c r="A129" s="86"/>
      <x:c r="B129" s="83"/>
      <x:c r="C129" s="83"/>
      <x:c r="D129" s="83"/>
      <x:c r="E129" s="83"/>
      <x:c r="F129" s="83"/>
      <x:c r="G129" s="83"/>
      <x:c r="H129" s="83"/>
      <x:c r="I129" s="73"/>
    </x:row>
    <x:row r="130">
      <x:c r="A130" s="86"/>
      <x:c r="B130" s="83"/>
      <x:c r="C130" s="83"/>
      <x:c r="D130" s="83"/>
      <x:c r="E130" s="83"/>
      <x:c r="F130" s="83"/>
      <x:c r="G130" s="83"/>
      <x:c r="H130" s="83"/>
      <x:c r="I130" s="73"/>
    </x:row>
    <x:row r="131">
      <x:c r="A131" s="86"/>
      <x:c r="B131" s="83"/>
      <x:c r="C131" s="83"/>
      <x:c r="D131" s="83"/>
      <x:c r="E131" s="83"/>
      <x:c r="F131" s="83"/>
      <x:c r="G131" s="83"/>
      <x:c r="H131" s="83"/>
      <x:c r="I131" s="73"/>
    </x:row>
    <x:row r="132">
      <x:c r="A132" s="86"/>
      <x:c r="B132" s="83"/>
      <x:c r="C132" s="83"/>
      <x:c r="D132" s="83"/>
      <x:c r="E132" s="83"/>
      <x:c r="F132" s="83"/>
      <x:c r="G132" s="83"/>
      <x:c r="H132" s="83"/>
      <x:c r="I132" s="73"/>
    </x:row>
    <x:row r="133">
      <x:c r="A133" s="86"/>
      <x:c r="B133" s="83"/>
      <x:c r="C133" s="83"/>
      <x:c r="D133" s="83"/>
      <x:c r="E133" s="83"/>
      <x:c r="F133" s="83"/>
      <x:c r="G133" s="83"/>
      <x:c r="H133" s="83"/>
      <x:c r="I133" s="73"/>
    </x:row>
    <x:row r="134">
      <x:c r="A134" s="86"/>
      <x:c r="B134" s="83"/>
      <x:c r="C134" s="83"/>
      <x:c r="D134" s="83"/>
      <x:c r="E134" s="83"/>
      <x:c r="F134" s="83"/>
      <x:c r="G134" s="83"/>
      <x:c r="H134" s="83"/>
      <x:c r="I134" s="73"/>
    </x:row>
    <x:row r="135">
      <x:c r="A135" s="86"/>
      <x:c r="B135" s="83"/>
      <x:c r="C135" s="83"/>
      <x:c r="D135" s="83"/>
      <x:c r="E135" s="83"/>
      <x:c r="F135" s="83"/>
      <x:c r="G135" s="83"/>
      <x:c r="H135" s="83"/>
      <x:c r="I135" s="73"/>
    </x:row>
    <x:row r="136">
      <x:c r="A136" s="86"/>
      <x:c r="B136" s="83"/>
      <x:c r="C136" s="83"/>
      <x:c r="D136" s="83"/>
      <x:c r="E136" s="83"/>
      <x:c r="F136" s="83"/>
      <x:c r="G136" s="83"/>
      <x:c r="H136" s="83"/>
      <x:c r="I136" s="73"/>
    </x:row>
    <x:row r="137">
      <x:c r="A137" s="86"/>
      <x:c r="B137" s="83"/>
      <x:c r="C137" s="83"/>
      <x:c r="D137" s="83"/>
      <x:c r="E137" s="83"/>
      <x:c r="F137" s="83"/>
      <x:c r="G137" s="83"/>
      <x:c r="H137" s="83"/>
      <x:c r="I137" s="73"/>
    </x:row>
    <x:row r="138">
      <x:c r="A138" s="86"/>
      <x:c r="B138" s="83"/>
      <x:c r="C138" s="83"/>
      <x:c r="D138" s="83"/>
      <x:c r="E138" s="83"/>
      <x:c r="F138" s="83"/>
      <x:c r="G138" s="83"/>
      <x:c r="H138" s="83"/>
      <x:c r="I138" s="73"/>
    </x:row>
    <x:row r="139">
      <x:c r="A139" s="86"/>
      <x:c r="B139" s="83"/>
      <x:c r="C139" s="83"/>
      <x:c r="D139" s="83"/>
      <x:c r="E139" s="83"/>
      <x:c r="F139" s="83"/>
      <x:c r="G139" s="83"/>
      <x:c r="H139" s="83"/>
      <x:c r="I139" s="73"/>
    </x:row>
    <x:row r="140">
      <x:c r="A140" s="86"/>
      <x:c r="B140" s="83"/>
      <x:c r="C140" s="83"/>
      <x:c r="D140" s="83"/>
      <x:c r="E140" s="83"/>
      <x:c r="F140" s="83"/>
      <x:c r="G140" s="83"/>
      <x:c r="H140" s="83"/>
      <x:c r="I140" s="73"/>
    </x:row>
    <x:row r="141">
      <x:c r="A141" s="86"/>
      <x:c r="B141" s="83"/>
      <x:c r="C141" s="83"/>
      <x:c r="D141" s="83"/>
      <x:c r="E141" s="83"/>
      <x:c r="F141" s="83"/>
      <x:c r="G141" s="83"/>
      <x:c r="H141" s="83"/>
      <x:c r="I141" s="73"/>
    </x:row>
    <x:row r="142">
      <x:c r="A142" s="86"/>
      <x:c r="B142" s="83"/>
      <x:c r="C142" s="83"/>
      <x:c r="D142" s="83"/>
      <x:c r="E142" s="83"/>
      <x:c r="F142" s="83"/>
      <x:c r="G142" s="83"/>
      <x:c r="H142" s="83"/>
      <x:c r="I142" s="73"/>
    </x:row>
    <x:row r="143">
      <x:c r="A143" s="86"/>
      <x:c r="B143" s="83"/>
      <x:c r="C143" s="83"/>
      <x:c r="D143" s="83"/>
      <x:c r="E143" s="83"/>
      <x:c r="F143" s="83"/>
      <x:c r="G143" s="83"/>
      <x:c r="H143" s="83"/>
      <x:c r="I143" s="73"/>
    </x:row>
    <x:row r="144">
      <x:c r="A144" s="86"/>
      <x:c r="B144" s="83"/>
      <x:c r="C144" s="83"/>
      <x:c r="D144" s="83"/>
      <x:c r="E144" s="83"/>
      <x:c r="F144" s="83"/>
      <x:c r="G144" s="83"/>
      <x:c r="H144" s="83"/>
      <x:c r="I144" s="73"/>
    </x:row>
    <x:row r="145">
      <x:c r="A145" s="86"/>
      <x:c r="B145" s="83"/>
      <x:c r="C145" s="83"/>
      <x:c r="D145" s="83"/>
      <x:c r="E145" s="83"/>
      <x:c r="F145" s="83"/>
      <x:c r="G145" s="83"/>
      <x:c r="H145" s="83"/>
      <x:c r="I145" s="73"/>
    </x:row>
    <x:row r="146">
      <x:c r="A146" s="86"/>
      <x:c r="B146" s="83"/>
      <x:c r="C146" s="83"/>
      <x:c r="D146" s="83"/>
      <x:c r="E146" s="83"/>
      <x:c r="F146" s="83"/>
      <x:c r="G146" s="83"/>
      <x:c r="H146" s="83"/>
      <x:c r="I146" s="73"/>
    </x:row>
    <x:row r="147">
      <x:c r="A147" s="86"/>
      <x:c r="B147" s="83"/>
      <x:c r="C147" s="83"/>
      <x:c r="D147" s="83"/>
      <x:c r="E147" s="83"/>
      <x:c r="F147" s="83"/>
      <x:c r="G147" s="83"/>
      <x:c r="H147" s="83"/>
      <x:c r="I147" s="73"/>
    </x:row>
    <x:row r="148">
      <x:c r="A148" s="86"/>
      <x:c r="B148" s="83"/>
      <x:c r="C148" s="83"/>
      <x:c r="D148" s="83"/>
      <x:c r="E148" s="83"/>
      <x:c r="F148" s="83"/>
      <x:c r="G148" s="83"/>
      <x:c r="H148" s="83"/>
      <x:c r="I148" s="73"/>
    </x:row>
    <x:row r="149">
      <x:c r="A149" s="86"/>
      <x:c r="B149" s="83"/>
      <x:c r="C149" s="83"/>
      <x:c r="D149" s="83"/>
      <x:c r="E149" s="83"/>
      <x:c r="F149" s="83"/>
      <x:c r="G149" s="83"/>
      <x:c r="H149" s="83"/>
      <x:c r="I149" s="73"/>
    </x:row>
    <x:row r="150">
      <x:c r="A150" s="86"/>
      <x:c r="B150" s="83"/>
      <x:c r="C150" s="83"/>
      <x:c r="D150" s="83"/>
      <x:c r="E150" s="83"/>
      <x:c r="F150" s="83"/>
      <x:c r="G150" s="83"/>
      <x:c r="H150" s="83"/>
      <x:c r="I150" s="73"/>
    </x:row>
    <x:row r="151">
      <x:c r="A151" s="86"/>
      <x:c r="B151" s="83"/>
      <x:c r="C151" s="83"/>
      <x:c r="D151" s="83"/>
      <x:c r="E151" s="83"/>
      <x:c r="F151" s="83"/>
      <x:c r="G151" s="83"/>
      <x:c r="H151" s="83"/>
      <x:c r="I151" s="73"/>
    </x:row>
    <x:row r="152">
      <x:c r="A152" s="86"/>
      <x:c r="B152" s="83"/>
      <x:c r="C152" s="83"/>
      <x:c r="D152" s="83"/>
      <x:c r="E152" s="83"/>
      <x:c r="F152" s="83"/>
      <x:c r="G152" s="83"/>
      <x:c r="H152" s="83"/>
      <x:c r="I152" s="73"/>
    </x:row>
    <x:row r="153">
      <x:c r="A153" s="86"/>
      <x:c r="B153" s="83"/>
      <x:c r="C153" s="83"/>
      <x:c r="D153" s="83"/>
      <x:c r="E153" s="83"/>
      <x:c r="F153" s="83"/>
      <x:c r="G153" s="83"/>
      <x:c r="H153" s="83"/>
      <x:c r="I153" s="73"/>
    </x:row>
    <x:row r="154">
      <x:c r="A154" s="86"/>
      <x:c r="B154" s="83"/>
      <x:c r="C154" s="83"/>
      <x:c r="D154" s="83"/>
      <x:c r="E154" s="83"/>
      <x:c r="F154" s="83"/>
      <x:c r="G154" s="83"/>
      <x:c r="H154" s="83"/>
      <x:c r="I154" s="73"/>
    </x:row>
    <x:row r="155">
      <x:c r="A155" s="86"/>
      <x:c r="B155" s="83"/>
      <x:c r="C155" s="83"/>
      <x:c r="D155" s="83"/>
      <x:c r="E155" s="83"/>
      <x:c r="F155" s="83"/>
      <x:c r="G155" s="83"/>
      <x:c r="H155" s="83"/>
      <x:c r="I155" s="73"/>
    </x:row>
    <x:row r="156">
      <x:c r="A156" s="86"/>
      <x:c r="B156" s="83"/>
      <x:c r="C156" s="83"/>
      <x:c r="D156" s="83"/>
      <x:c r="E156" s="83"/>
      <x:c r="F156" s="83"/>
      <x:c r="G156" s="83"/>
      <x:c r="H156" s="83"/>
      <x:c r="I156" s="73"/>
    </x:row>
    <x:row r="157">
      <x:c r="A157" s="86"/>
      <x:c r="B157" s="83"/>
      <x:c r="C157" s="83"/>
      <x:c r="D157" s="83"/>
      <x:c r="E157" s="83"/>
      <x:c r="F157" s="83"/>
      <x:c r="G157" s="83"/>
      <x:c r="H157" s="83"/>
      <x:c r="I157" s="73"/>
    </x:row>
    <x:row r="158">
      <x:c r="A158" s="86"/>
      <x:c r="B158" s="83"/>
      <x:c r="C158" s="83"/>
      <x:c r="D158" s="83"/>
      <x:c r="E158" s="83"/>
      <x:c r="F158" s="83"/>
      <x:c r="G158" s="83"/>
      <x:c r="H158" s="83"/>
      <x:c r="I158" s="73"/>
    </x:row>
    <x:row r="159">
      <x:c r="A159" s="86"/>
      <x:c r="B159" s="83"/>
      <x:c r="C159" s="83"/>
      <x:c r="D159" s="83"/>
      <x:c r="E159" s="83"/>
      <x:c r="F159" s="83"/>
      <x:c r="G159" s="83"/>
      <x:c r="H159" s="83"/>
      <x:c r="I159" s="73"/>
    </x:row>
    <x:row r="160">
      <x:c r="A160" s="86"/>
      <x:c r="B160" s="83"/>
      <x:c r="C160" s="83"/>
      <x:c r="D160" s="83"/>
      <x:c r="E160" s="83"/>
      <x:c r="F160" s="83"/>
      <x:c r="G160" s="83"/>
      <x:c r="H160" s="83"/>
      <x:c r="I160" s="73"/>
    </x:row>
    <x:row r="161">
      <x:c r="A161" s="86"/>
      <x:c r="B161" s="83"/>
      <x:c r="C161" s="83"/>
      <x:c r="D161" s="83"/>
      <x:c r="E161" s="83"/>
      <x:c r="F161" s="83"/>
      <x:c r="G161" s="83"/>
      <x:c r="H161" s="83"/>
      <x:c r="I161" s="73"/>
    </x:row>
    <x:row r="162">
      <x:c r="A162" s="86"/>
      <x:c r="B162" s="83"/>
      <x:c r="C162" s="83"/>
      <x:c r="D162" s="83"/>
      <x:c r="E162" s="83"/>
      <x:c r="F162" s="83"/>
      <x:c r="G162" s="83"/>
      <x:c r="H162" s="83"/>
      <x:c r="I162" s="73"/>
    </x:row>
    <x:row r="163">
      <x:c r="A163" s="86"/>
      <x:c r="B163" s="83"/>
      <x:c r="C163" s="83"/>
      <x:c r="D163" s="83"/>
      <x:c r="E163" s="83"/>
      <x:c r="F163" s="83"/>
      <x:c r="G163" s="83"/>
      <x:c r="H163" s="83"/>
      <x:c r="I163" s="73"/>
    </x:row>
    <x:row r="164">
      <x:c r="A164" s="86"/>
      <x:c r="B164" s="83"/>
      <x:c r="C164" s="83"/>
      <x:c r="D164" s="83"/>
      <x:c r="E164" s="83"/>
      <x:c r="F164" s="83"/>
      <x:c r="G164" s="83"/>
      <x:c r="H164" s="83"/>
      <x:c r="I164" s="73"/>
    </x:row>
    <x:row r="165">
      <x:c r="A165" s="86"/>
      <x:c r="B165" s="83"/>
      <x:c r="C165" s="83"/>
      <x:c r="D165" s="83"/>
      <x:c r="E165" s="83"/>
      <x:c r="F165" s="83"/>
      <x:c r="G165" s="83"/>
      <x:c r="H165" s="83"/>
      <x:c r="I165" s="73"/>
    </x:row>
    <x:row r="166">
      <x:c r="A166" s="86"/>
      <x:c r="B166" s="83"/>
      <x:c r="C166" s="83"/>
      <x:c r="D166" s="83"/>
      <x:c r="E166" s="83"/>
      <x:c r="F166" s="83"/>
      <x:c r="G166" s="83"/>
      <x:c r="H166" s="83"/>
      <x:c r="I166" s="73"/>
    </x:row>
    <x:row r="167">
      <x:c r="A167" s="86"/>
      <x:c r="B167" s="83"/>
      <x:c r="C167" s="83"/>
      <x:c r="D167" s="83"/>
      <x:c r="E167" s="83"/>
      <x:c r="F167" s="83"/>
      <x:c r="G167" s="83"/>
      <x:c r="H167" s="83"/>
      <x:c r="I167" s="73"/>
    </x:row>
    <x:row r="168">
      <x:c r="A168" s="86"/>
      <x:c r="B168" s="83"/>
      <x:c r="C168" s="83"/>
      <x:c r="D168" s="83"/>
      <x:c r="E168" s="83"/>
      <x:c r="F168" s="83"/>
      <x:c r="G168" s="83"/>
      <x:c r="H168" s="83"/>
      <x:c r="I168" s="73"/>
    </x:row>
    <x:row r="169">
      <x:c r="A169" s="86"/>
      <x:c r="B169" s="83"/>
      <x:c r="C169" s="83"/>
      <x:c r="D169" s="83"/>
      <x:c r="E169" s="83"/>
      <x:c r="F169" s="83"/>
      <x:c r="G169" s="83"/>
      <x:c r="H169" s="83"/>
      <x:c r="I169" s="73"/>
    </x:row>
    <x:row r="170">
      <x:c r="A170" s="86"/>
      <x:c r="B170" s="83"/>
      <x:c r="C170" s="83"/>
      <x:c r="D170" s="83"/>
      <x:c r="E170" s="83"/>
      <x:c r="F170" s="83"/>
      <x:c r="G170" s="83"/>
      <x:c r="H170" s="83"/>
      <x:c r="I170" s="73"/>
    </x:row>
    <x:row r="171">
      <x:c r="A171" s="86"/>
      <x:c r="B171" s="83"/>
      <x:c r="C171" s="83"/>
      <x:c r="D171" s="83"/>
      <x:c r="E171" s="83"/>
      <x:c r="F171" s="83"/>
      <x:c r="G171" s="83"/>
      <x:c r="H171" s="83"/>
      <x:c r="I171" s="73"/>
    </x:row>
    <x:row r="172">
      <x:c r="A172" s="86"/>
      <x:c r="B172" s="83"/>
      <x:c r="C172" s="83"/>
      <x:c r="D172" s="83"/>
      <x:c r="E172" s="83"/>
      <x:c r="F172" s="83"/>
      <x:c r="G172" s="83"/>
      <x:c r="H172" s="83"/>
      <x:c r="I172" s="73"/>
    </x:row>
    <x:row r="173">
      <x:c r="A173" s="86"/>
      <x:c r="B173" s="83"/>
      <x:c r="C173" s="83"/>
      <x:c r="D173" s="83"/>
      <x:c r="E173" s="83"/>
      <x:c r="F173" s="83"/>
      <x:c r="G173" s="83"/>
      <x:c r="H173" s="83"/>
      <x:c r="I173" s="73"/>
    </x:row>
    <x:row r="174">
      <x:c r="A174" s="86"/>
      <x:c r="B174" s="83"/>
      <x:c r="C174" s="83"/>
      <x:c r="D174" s="83"/>
      <x:c r="E174" s="83"/>
      <x:c r="F174" s="83"/>
      <x:c r="G174" s="83"/>
      <x:c r="H174" s="83"/>
      <x:c r="I174" s="73"/>
    </x:row>
    <x:row r="175">
      <x:c r="A175" s="86"/>
      <x:c r="B175" s="83"/>
      <x:c r="C175" s="83"/>
      <x:c r="D175" s="83"/>
      <x:c r="E175" s="83"/>
      <x:c r="F175" s="83"/>
      <x:c r="G175" s="83"/>
      <x:c r="H175" s="83"/>
      <x:c r="I175" s="73"/>
    </x:row>
    <x:row r="176">
      <x:c r="A176" s="86"/>
      <x:c r="B176" s="83"/>
      <x:c r="C176" s="83"/>
      <x:c r="D176" s="83"/>
      <x:c r="E176" s="83"/>
      <x:c r="F176" s="83"/>
      <x:c r="G176" s="83"/>
      <x:c r="H176" s="83"/>
      <x:c r="I176" s="73"/>
    </x:row>
    <x:row r="177">
      <x:c r="A177" s="86"/>
      <x:c r="B177" s="83"/>
      <x:c r="C177" s="83"/>
      <x:c r="D177" s="83"/>
      <x:c r="E177" s="83"/>
      <x:c r="F177" s="83"/>
      <x:c r="G177" s="83"/>
      <x:c r="H177" s="83"/>
      <x:c r="I177" s="73"/>
    </x:row>
    <x:row r="178">
      <x:c r="A178" s="86"/>
      <x:c r="B178" s="83"/>
      <x:c r="C178" s="83"/>
      <x:c r="D178" s="83"/>
      <x:c r="E178" s="83"/>
      <x:c r="F178" s="83"/>
      <x:c r="G178" s="83"/>
      <x:c r="H178" s="83"/>
      <x:c r="I178" s="73"/>
    </x:row>
    <x:row r="179">
      <x:c r="A179" s="86"/>
      <x:c r="B179" s="83"/>
      <x:c r="C179" s="83"/>
      <x:c r="D179" s="83"/>
      <x:c r="E179" s="83"/>
      <x:c r="F179" s="83"/>
      <x:c r="G179" s="83"/>
      <x:c r="H179" s="83"/>
      <x:c r="I179" s="73"/>
    </x:row>
    <x:row r="180">
      <x:c r="A180" s="86"/>
      <x:c r="B180" s="83"/>
      <x:c r="C180" s="83"/>
      <x:c r="D180" s="83"/>
      <x:c r="E180" s="83"/>
      <x:c r="F180" s="83"/>
      <x:c r="G180" s="83"/>
      <x:c r="H180" s="83"/>
      <x:c r="I180" s="73"/>
    </x:row>
    <x:row r="181">
      <x:c r="A181" s="86"/>
      <x:c r="B181" s="83"/>
      <x:c r="C181" s="83"/>
      <x:c r="D181" s="83"/>
      <x:c r="E181" s="83"/>
      <x:c r="F181" s="83"/>
      <x:c r="G181" s="83"/>
      <x:c r="H181" s="83"/>
      <x:c r="I181" s="73"/>
    </x:row>
    <x:row r="182">
      <x:c r="A182" s="86"/>
      <x:c r="B182" s="83"/>
      <x:c r="C182" s="83"/>
      <x:c r="D182" s="83"/>
      <x:c r="E182" s="83"/>
      <x:c r="F182" s="83"/>
      <x:c r="G182" s="83"/>
      <x:c r="H182" s="83"/>
      <x:c r="I182" s="73"/>
    </x:row>
    <x:row r="183">
      <x:c r="A183" s="86"/>
      <x:c r="B183" s="83"/>
      <x:c r="C183" s="83"/>
      <x:c r="D183" s="83"/>
      <x:c r="E183" s="83"/>
      <x:c r="F183" s="83"/>
      <x:c r="G183" s="83"/>
      <x:c r="H183" s="83"/>
      <x:c r="I183" s="73"/>
    </x:row>
    <x:row r="184">
      <x:c r="A184" s="86"/>
      <x:c r="B184" s="83"/>
      <x:c r="C184" s="83"/>
      <x:c r="D184" s="83"/>
      <x:c r="E184" s="83"/>
      <x:c r="F184" s="83"/>
      <x:c r="G184" s="83"/>
      <x:c r="H184" s="83"/>
      <x:c r="I184" s="73"/>
    </x:row>
    <x:row r="185">
      <x:c r="A185" s="86"/>
      <x:c r="B185" s="83"/>
      <x:c r="C185" s="83"/>
      <x:c r="D185" s="83"/>
      <x:c r="E185" s="83"/>
      <x:c r="F185" s="83"/>
      <x:c r="G185" s="83"/>
      <x:c r="H185" s="83"/>
      <x:c r="I185" s="73"/>
    </x:row>
    <x:row r="186">
      <x:c r="A186" s="86"/>
      <x:c r="B186" s="83"/>
      <x:c r="C186" s="83"/>
      <x:c r="D186" s="83"/>
      <x:c r="E186" s="83"/>
      <x:c r="F186" s="83"/>
      <x:c r="G186" s="83"/>
      <x:c r="H186" s="83"/>
      <x:c r="I186" s="73"/>
    </x:row>
    <x:row r="187">
      <x:c r="A187" s="86"/>
      <x:c r="B187" s="83"/>
      <x:c r="C187" s="83"/>
      <x:c r="D187" s="83"/>
      <x:c r="E187" s="83"/>
      <x:c r="F187" s="83"/>
      <x:c r="G187" s="83"/>
      <x:c r="H187" s="83"/>
      <x:c r="I187" s="73"/>
    </x:row>
    <x:row r="188">
      <x:c r="A188" s="86"/>
      <x:c r="B188" s="83"/>
      <x:c r="C188" s="83"/>
      <x:c r="D188" s="83"/>
      <x:c r="E188" s="83"/>
      <x:c r="F188" s="83"/>
      <x:c r="G188" s="83"/>
      <x:c r="H188" s="83"/>
      <x:c r="I188" s="73"/>
    </x:row>
    <x:row r="189">
      <x:c r="A189" s="86"/>
      <x:c r="B189" s="83"/>
      <x:c r="C189" s="83"/>
      <x:c r="D189" s="83"/>
      <x:c r="E189" s="83"/>
      <x:c r="F189" s="83"/>
      <x:c r="G189" s="83"/>
      <x:c r="H189" s="83"/>
      <x:c r="I189" s="73"/>
    </x:row>
    <x:row r="190">
      <x:c r="A190" s="86"/>
      <x:c r="B190" s="83"/>
      <x:c r="C190" s="83"/>
      <x:c r="D190" s="83"/>
      <x:c r="E190" s="83"/>
      <x:c r="F190" s="83"/>
      <x:c r="G190" s="83"/>
      <x:c r="H190" s="83"/>
      <x:c r="I190" s="73"/>
    </x:row>
    <x:row r="191">
      <x:c r="A191" s="86"/>
      <x:c r="B191" s="83"/>
      <x:c r="C191" s="83"/>
      <x:c r="D191" s="83"/>
      <x:c r="E191" s="83"/>
      <x:c r="F191" s="83"/>
      <x:c r="G191" s="83"/>
      <x:c r="H191" s="83"/>
      <x:c r="I191" s="73"/>
    </x:row>
    <x:row r="192">
      <x:c r="A192" s="86"/>
      <x:c r="B192" s="83"/>
      <x:c r="C192" s="83"/>
      <x:c r="D192" s="83"/>
      <x:c r="E192" s="83"/>
      <x:c r="F192" s="83"/>
      <x:c r="G192" s="83"/>
      <x:c r="H192" s="83"/>
      <x:c r="I192" s="73"/>
    </x:row>
    <x:row r="193">
      <x:c r="A193" s="86"/>
      <x:c r="B193" s="83"/>
      <x:c r="C193" s="83"/>
      <x:c r="D193" s="83"/>
      <x:c r="E193" s="83"/>
      <x:c r="F193" s="83"/>
      <x:c r="G193" s="83"/>
      <x:c r="H193" s="83"/>
      <x:c r="I193" s="73"/>
    </x:row>
    <x:row r="194">
      <x:c r="A194" s="86"/>
      <x:c r="B194" s="83"/>
      <x:c r="C194" s="83"/>
      <x:c r="D194" s="83"/>
      <x:c r="E194" s="83"/>
      <x:c r="F194" s="83"/>
      <x:c r="G194" s="83"/>
      <x:c r="H194" s="83"/>
      <x:c r="I194" s="73"/>
    </x:row>
    <x:row r="195">
      <x:c r="A195" s="86"/>
      <x:c r="B195" s="83"/>
      <x:c r="C195" s="83"/>
      <x:c r="D195" s="83"/>
      <x:c r="E195" s="83"/>
      <x:c r="F195" s="83"/>
      <x:c r="G195" s="83"/>
      <x:c r="H195" s="83"/>
      <x:c r="I195" s="73"/>
    </x:row>
    <x:row r="196">
      <x:c r="A196" s="86"/>
      <x:c r="B196" s="83"/>
      <x:c r="C196" s="83"/>
      <x:c r="D196" s="83"/>
      <x:c r="E196" s="83"/>
      <x:c r="F196" s="83"/>
      <x:c r="G196" s="83"/>
      <x:c r="H196" s="83"/>
      <x:c r="I196" s="73"/>
    </x:row>
    <x:row r="197">
      <x:c r="A197" s="86"/>
      <x:c r="B197" s="83"/>
      <x:c r="C197" s="83"/>
      <x:c r="D197" s="83"/>
      <x:c r="E197" s="83"/>
      <x:c r="F197" s="83"/>
      <x:c r="G197" s="83"/>
      <x:c r="H197" s="83"/>
      <x:c r="I197" s="73"/>
    </x:row>
    <x:row r="198">
      <x:c r="A198" s="86"/>
      <x:c r="B198" s="83"/>
      <x:c r="C198" s="83"/>
      <x:c r="D198" s="83"/>
      <x:c r="E198" s="83"/>
      <x:c r="F198" s="83"/>
      <x:c r="G198" s="83"/>
      <x:c r="H198" s="83"/>
      <x:c r="I198" s="73"/>
    </x:row>
    <x:row r="199">
      <x:c r="A199" s="86"/>
      <x:c r="B199" s="83"/>
      <x:c r="C199" s="83"/>
      <x:c r="D199" s="83"/>
      <x:c r="E199" s="83"/>
      <x:c r="F199" s="83"/>
      <x:c r="G199" s="83"/>
      <x:c r="H199" s="83"/>
      <x:c r="I199" s="73"/>
    </x:row>
    <x:row r="200">
      <x:c r="A200" s="87"/>
      <x:c r="B200" s="84"/>
      <x:c r="C200" s="84"/>
      <x:c r="D200" s="84"/>
      <x:c r="E200" s="84"/>
      <x:c r="F200" s="84"/>
      <x:c r="G200" s="84"/>
      <x:c r="H200" s="84"/>
      <x:c r="I200" s="75"/>
    </x:row>
  </x:sheetData>
  <x:mergeCells>
    <x:mergeCell ref="A1:I1"/>
    <x:mergeCell ref="A2:I2"/>
  </x:mergeCells>
  <x:dataValidations count="1">
    <x:dataValidation type="list" sqref="F5:F200">
      <x:formula1>"Not Run,Pass,Partial,Fail,Blocked,Future Backlog,Not Required,Preliminary"</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5" hidden="0" customWidth="1"/>
    <x:col min="3" max="3" width="25" hidden="0" customWidth="1"/>
    <x:col min="4" max="4" width="45" hidden="0" customWidth="1"/>
    <x:col min="5" max="5" width="42" hidden="0" customWidth="1"/>
    <x:col min="6" max="6" width="30" hidden="0" customWidth="1"/>
    <x:col min="7" max="7" width="36" hidden="0" customWidth="1"/>
    <x:col min="8" max="8" width="24" hidden="0" customWidth="1"/>
  </x:cols>
  <x:sheetData>
    <x:row r="1" ht="28" hidden="0" customHeight="1">
      <x:c r="A1" s="95" t="str">
        <x:v>Mini Rally Current Project Access Baseline</x:v>
      </x:c>
      <x:c r="B1" s="95"/>
      <x:c r="C1" s="95"/>
      <x:c r="D1" s="95"/>
      <x:c r="E1" s="95"/>
      <x:c r="F1" s="95"/>
      <x:c r="G1" s="95"/>
      <x:c r="H1" s="95"/>
    </x:row>
    <x:row r="2" ht="36" hidden="0" customHeight="1">
      <x:c r="A2" s="99" t="str">
        <x:v>Approved 2026-08-14. This sheet supersedes former global Project Admin/Project Member/Project Viewer and selectable No Access assumptions. Historical results using those assumptions require re-test.</x:v>
      </x:c>
      <x:c r="B2" s="99"/>
      <x:c r="C2" s="99"/>
      <x:c r="D2" s="99"/>
      <x:c r="E2" s="99"/>
      <x:c r="F2" s="99"/>
      <x:c r="G2" s="99"/>
      <x:c r="H2" s="99"/>
    </x:row>
    <x:row r="3" ht="34" hidden="0" customHeight="1">
      <x:c r="A3" s="99" t="str">
        <x:v>Company role: Workspace Admin only. All other authorization is assigned independently per Project as Admin or Editor. No assignment means Project hidden and direct access denied.</x:v>
      </x:c>
      <x:c r="B3" s="99"/>
      <x:c r="C3" s="99"/>
      <x:c r="D3" s="99"/>
      <x:c r="E3" s="99"/>
      <x:c r="F3" s="99"/>
      <x:c r="G3" s="99"/>
      <x:c r="H3" s="99"/>
    </x:row>
    <x:row r="4" ht="30" hidden="0" customHeight="1">
      <x:c r="A4" s="104" t="str">
        <x:v>Role / Access Level</x:v>
      </x:c>
      <x:c r="B4" s="104" t="str">
        <x:v>Assignment Scope</x:v>
      </x:c>
      <x:c r="C4" s="104" t="str">
        <x:v>Team Scope</x:v>
      </x:c>
      <x:c r="D4" s="104" t="str">
        <x:v>Delivery Capabilities</x:v>
      </x:c>
      <x:c r="E4" s="104" t="str">
        <x:v>Structural Settings</x:v>
      </x:c>
      <x:c r="F4" s="104" t="str">
        <x:v>Project Visibility</x:v>
      </x:c>
      <x:c r="G4" s="104" t="str">
        <x:v>Effective Time</x:v>
      </x:c>
      <x:c r="H4" s="104" t="str">
        <x:v>Test State</x:v>
      </x:c>
    </x:row>
    <x:row r="5" ht="118.80000305175781" hidden="0" customHeight="1">
      <x:c r="A5" s="115" t="str">
        <x:v>Workspace Admin</x:v>
      </x:c>
      <x:c r="B5" s="112" t="str">
        <x:v>Company-wide; assigned internally</x:v>
      </x:c>
      <x:c r="C5" s="112" t="str">
        <x:v>Not a Project or Team member</x:v>
      </x:c>
      <x:c r="D5" s="112" t="str">
        <x:v>Full access across all Projects</x:v>
      </x:c>
      <x:c r="E5" s="112" t="str">
        <x:v>CRUD Projects/Teams; manage users and Project access</x:v>
      </x:c>
      <x:c r="F5" s="112" t="str">
        <x:v>All Projects</x:v>
      </x:c>
      <x:c r="G5" s="112" t="str">
        <x:v>Access changes: next sign-in; company disable/removal: next refresh</x:v>
      </x:c>
      <x:c r="H5" s="118" t="str">
        <x:v>Approved baseline</x:v>
      </x:c>
    </x:row>
    <x:row r="6" ht="158.39999389648438" hidden="0" customHeight="1">
      <x:c r="A6" s="116" t="str">
        <x:v>Admin</x:v>
      </x:c>
      <x:c r="B6" s="113" t="str">
        <x:v>Per assigned Project</x:v>
      </x:c>
      <x:c r="C6" s="113" t="str">
        <x:v>All Teams in that Project</x:v>
      </x:c>
      <x:c r="D6" s="113" t="str">
        <x:v>Full delivery administration, including planning, tracking, quality, portfolio, capacity and reports</x:v>
      </x:c>
      <x:c r="E6" s="113" t="str">
        <x:v>Read-only Project details, Teams, Users &amp; Permissions</x:v>
      </x:c>
      <x:c r="F6" s="113" t="str">
        <x:v>Assigned Project only</x:v>
      </x:c>
      <x:c r="G6" s="113" t="str">
        <x:v>Next sign-in</x:v>
      </x:c>
      <x:c r="H6" s="119" t="str">
        <x:v>Not Run</x:v>
      </x:c>
    </x:row>
    <x:row r="7" ht="132" hidden="0" customHeight="1">
      <x:c r="A7" s="116" t="str">
        <x:v>Editor</x:v>
      </x:c>
      <x:c r="B7" s="113" t="str">
        <x:v>Per assigned Project</x:v>
      </x:c>
      <x:c r="C7" s="113" t="str">
        <x:v>One or more explicit Teams</x:v>
      </x:c>
      <x:c r="D7" s="113" t="str">
        <x:v>CRUD US/DE/Task and Quality Defects in assigned Teams; update Iteration Status</x:v>
      </x:c>
      <x:c r="E7" s="113" t="str">
        <x:v>No structural administration</x:v>
      </x:c>
      <x:c r="F7" s="113" t="str">
        <x:v>Assigned Project and Teams only</x:v>
      </x:c>
      <x:c r="G7" s="113" t="str">
        <x:v>Next sign-in</x:v>
      </x:c>
      <x:c r="H7" s="119" t="str">
        <x:v>Not Run</x:v>
      </x:c>
    </x:row>
    <x:row r="8" ht="52.79999923706055" hidden="0" customHeight="1">
      <x:c r="A8" s="116" t="str">
        <x:v>Unassigned user</x:v>
      </x:c>
      <x:c r="B8" s="113" t="str">
        <x:v>No Project assignment row</x:v>
      </x:c>
      <x:c r="C8" s="113" t="str">
        <x:v>None</x:v>
      </x:c>
      <x:c r="D8" s="113" t="str">
        <x:v>None</x:v>
      </x:c>
      <x:c r="E8" s="113" t="str">
        <x:v>None</x:v>
      </x:c>
      <x:c r="F8" s="113" t="str">
        <x:v>Project hidden; direct URL denied or safely not found</x:v>
      </x:c>
      <x:c r="G8" s="113" t="str">
        <x:v>Immediately after removal; effective session checked on next sign-in</x:v>
      </x:c>
      <x:c r="H8" s="119" t="str">
        <x:v>Not Run</x:v>
      </x:c>
    </x:row>
    <x:row r="9" ht="66" hidden="0" customHeight="1">
      <x:c r="A9" s="117" t="str">
        <x:v>Future Backlog</x:v>
      </x:c>
      <x:c r="B9" s="114" t="str">
        <x:v>Viewer access level and selectable No Access</x:v>
      </x:c>
      <x:c r="C9" s="114" t="str">
        <x:v>Not part of current scope</x:v>
      </x:c>
      <x:c r="D9" s="114" t="str">
        <x:v>Not part of current scope</x:v>
      </x:c>
      <x:c r="E9" s="114" t="str">
        <x:v>Not part of current scope</x:v>
      </x:c>
      <x:c r="F9" s="114" t="str">
        <x:v>Not part of current scope</x:v>
      </x:c>
      <x:c r="G9" s="114" t="str">
        <x:v>Future release</x:v>
      </x:c>
      <x:c r="H9" s="120" t="str">
        <x:v>Future Backlog</x:v>
      </x:c>
    </x:row>
    <x:row r="10"/>
    <x:row r="11" ht="24" hidden="0" customHeight="1">
      <x:c r="A11" s="95" t="str">
        <x:v>Required Access Re-test Scenarios</x:v>
      </x:c>
      <x:c r="B11" s="95"/>
      <x:c r="C11" s="95"/>
      <x:c r="D11" s="95"/>
      <x:c r="E11" s="95"/>
      <x:c r="F11" s="95"/>
      <x:c r="G11" s="95"/>
      <x:c r="H11" s="95"/>
    </x:row>
    <x:row r="12" ht="30" hidden="0" customHeight="1">
      <x:c r="A12" s="104" t="str">
        <x:v>Scenario ID</x:v>
      </x:c>
      <x:c r="B12" s="104" t="str">
        <x:v>Business Rule</x:v>
      </x:c>
      <x:c r="C12" s="104" t="str">
        <x:v>Precondition</x:v>
      </x:c>
      <x:c r="D12" s="104" t="str">
        <x:v>Action</x:v>
      </x:c>
      <x:c r="E12" s="104" t="str">
        <x:v>Expected Result</x:v>
      </x:c>
      <x:c r="F12" s="104" t="str">
        <x:v>Status</x:v>
      </x:c>
      <x:c r="G12" s="104" t="str">
        <x:v>Evidence</x:v>
      </x:c>
      <x:c r="H12" s="104" t="str">
        <x:v>Notes</x:v>
      </x:c>
    </x:row>
    <x:row r="13" ht="92.4000015258789" hidden="0" customHeight="1">
      <x:c r="A13" s="115" t="str">
        <x:v>P4-RBAC-001</x:v>
      </x:c>
      <x:c r="B13" s="112" t="str">
        <x:v>Permission Model is read-only and current</x:v>
      </x:c>
      <x:c r="C13" s="112" t="str">
        <x:v>Sign in as WA</x:v>
      </x:c>
      <x:c r="D13" s="112" t="str">
        <x:v>Open Settings &gt; Permission Model</x:v>
      </x:c>
      <x:c r="E13" s="112" t="str">
        <x:v>Only Workspace Admin, Admin and Editor are shown; no editable matrix; Viewer/selectable No Access are absent</x:v>
      </x:c>
      <x:c r="F13" s="112" t="str">
        <x:v>Not Run</x:v>
      </x:c>
      <x:c r="G13" s="112" t="str"/>
      <x:c r="H13" s="112" t="str"/>
    </x:row>
    <x:row r="14" ht="118.80000305175781" hidden="0" customHeight="1">
      <x:c r="A14" s="116" t="str">
        <x:v>P4-RBAC-002</x:v>
      </x:c>
      <x:c r="B14" s="113" t="str">
        <x:v>WA is company-level only</x:v>
      </x:c>
      <x:c r="C14" s="113" t="str">
        <x:v>WA account exists</x:v>
      </x:c>
      <x:c r="D14" s="113" t="str">
        <x:v>Open Users and Project Users &amp; Permissions</x:v>
      </x:c>
      <x:c r="E14" s="113" t="str">
        <x:v>WA detail is read-only and WA is excluded from Project member lists</x:v>
      </x:c>
      <x:c r="F14" s="113" t="str">
        <x:v>Not Run</x:v>
      </x:c>
      <x:c r="G14" s="113" t="str"/>
      <x:c r="H14" s="113" t="str"/>
    </x:row>
    <x:row r="15" ht="92.4000015258789" hidden="0" customHeight="1">
      <x:c r="A15" s="116" t="str">
        <x:v>P4-RBAC-003</x:v>
      </x:c>
      <x:c r="B15" s="113" t="str">
        <x:v>Project access is independent</x:v>
      </x:c>
      <x:c r="C15" s="113" t="str">
        <x:v>User has Admin in Project A only</x:v>
      </x:c>
      <x:c r="D15" s="113" t="str">
        <x:v>Open Project B</x:v>
      </x:c>
      <x:c r="E15" s="113" t="str">
        <x:v>Project B remains hidden/denied until WA assigns Admin or Editor</x:v>
      </x:c>
      <x:c r="F15" s="113" t="str">
        <x:v>Not Run</x:v>
      </x:c>
      <x:c r="G15" s="113" t="str"/>
      <x:c r="H15" s="113" t="str"/>
    </x:row>
    <x:row r="16" ht="92.4000015258789" hidden="0" customHeight="1">
      <x:c r="A16" s="116" t="str">
        <x:v>P4-RBAC-004</x:v>
      </x:c>
      <x:c r="B16" s="113" t="str">
        <x:v>Admin covers all Teams</x:v>
      </x:c>
      <x:c r="C16" s="113" t="str">
        <x:v>User has Admin in Project A</x:v>
      </x:c>
      <x:c r="D16" s="113" t="str">
        <x:v>Open Project A and Team-scoped delivery screens</x:v>
      </x:c>
      <x:c r="E16" s="113" t="str">
        <x:v>All Teams and delivery administration are available</x:v>
      </x:c>
      <x:c r="F16" s="113" t="str">
        <x:v>Not Run</x:v>
      </x:c>
      <x:c r="G16" s="113" t="str"/>
      <x:c r="H16" s="113" t="str"/>
    </x:row>
    <x:row r="17" ht="105.5999984741211" hidden="0" customHeight="1">
      <x:c r="A17" s="116" t="str">
        <x:v>P4-RBAC-005</x:v>
      </x:c>
      <x:c r="B17" s="113" t="str">
        <x:v>Admin cannot change structure</x:v>
      </x:c>
      <x:c r="C17" s="113" t="str">
        <x:v>User has Admin in Project A</x:v>
      </x:c>
      <x:c r="D17" s="113" t="str">
        <x:v>Open Settings &gt; Workspaces &amp; Projects</x:v>
      </x:c>
      <x:c r="E17" s="113" t="str">
        <x:v>Project Details, Teams and Users &amp; Permissions are read-only</x:v>
      </x:c>
      <x:c r="F17" s="113" t="str">
        <x:v>Not Run</x:v>
      </x:c>
      <x:c r="G17" s="113" t="str"/>
      <x:c r="H17" s="113" t="str"/>
    </x:row>
    <x:row r="18" ht="105.5999984741211" hidden="0" customHeight="1">
      <x:c r="A18" s="116" t="str">
        <x:v>P4-RBAC-006</x:v>
      </x:c>
      <x:c r="B18" s="113" t="str">
        <x:v>Editor is Team-scoped</x:v>
      </x:c>
      <x:c r="C18" s="113" t="str">
        <x:v>User has Editor in Project A / Team 1</x:v>
      </x:c>
      <x:c r="D18" s="113" t="str">
        <x:v>Open Backlog, Quality and Iteration Status</x:v>
      </x:c>
      <x:c r="E18" s="113" t="str">
        <x:v>CRUD delivery items only in Team 1; no structural admin, Portfolio, Capacity or Reports</x:v>
      </x:c>
      <x:c r="F18" s="113" t="str">
        <x:v>Not Run</x:v>
      </x:c>
      <x:c r="G18" s="113" t="str"/>
      <x:c r="H18" s="113" t="str"/>
    </x:row>
    <x:row r="19" ht="92.4000015258789" hidden="0" customHeight="1">
      <x:c r="A19" s="116" t="str">
        <x:v>P4-RBAC-007</x:v>
      </x:c>
      <x:c r="B19" s="113" t="str">
        <x:v>Unassigned Project is hidden and denied</x:v>
      </x:c>
      <x:c r="C19" s="113" t="str">
        <x:v>User has no assignment in Project B</x:v>
      </x:c>
      <x:c r="D19" s="113" t="str">
        <x:v>Use selector, search and direct URL</x:v>
      </x:c>
      <x:c r="E19" s="113" t="str">
        <x:v>Project B is absent and direct navigation is safely denied without metadata leak</x:v>
      </x:c>
      <x:c r="F19" s="113" t="str">
        <x:v>Not Run</x:v>
      </x:c>
      <x:c r="G19" s="113" t="str"/>
      <x:c r="H19" s="113" t="str"/>
    </x:row>
    <x:row r="20" ht="79.19999694824219" hidden="0" customHeight="1">
      <x:c r="A20" s="116" t="str">
        <x:v>P4-RBAC-008</x:v>
      </x:c>
      <x:c r="B20" s="113" t="str">
        <x:v>Removing access deletes the assignment</x:v>
      </x:c>
      <x:c r="C20" s="113" t="str">
        <x:v>User has Editor/Admin in Project B</x:v>
      </x:c>
      <x:c r="D20" s="113" t="str">
        <x:v>Remove Project access and sign in again</x:v>
      </x:c>
      <x:c r="E20" s="113" t="str">
        <x:v>Assignment row and Team scope are removed; Project becomes hidden/direct access denied</x:v>
      </x:c>
      <x:c r="F20" s="113" t="str">
        <x:v>Not Run</x:v>
      </x:c>
      <x:c r="G20" s="113" t="str"/>
      <x:c r="H20" s="113" t="str"/>
    </x:row>
    <x:row r="21" ht="105.5999984741211" hidden="0" customHeight="1">
      <x:c r="A21" s="116" t="str">
        <x:v>P4-RBAC-009</x:v>
      </x:c>
      <x:c r="B21" s="113" t="str">
        <x:v>User-first and Project-first journeys stay synchronized</x:v>
      </x:c>
      <x:c r="C21" s="113" t="str">
        <x:v>Sign in as WA</x:v>
      </x:c>
      <x:c r="D21" s="113" t="str">
        <x:v>Assign/change/remove Project access from either journey</x:v>
      </x:c>
      <x:c r="E21" s="113" t="str">
        <x:v>Both journeys show the same Admin/Editor assignment and Team state</x:v>
      </x:c>
      <x:c r="F21" s="113" t="str">
        <x:v>Not Run</x:v>
      </x:c>
      <x:c r="G21" s="113" t="str"/>
      <x:c r="H21" s="113" t="str"/>
    </x:row>
    <x:row r="22" ht="92.4000015258789" hidden="0" customHeight="1">
      <x:c r="A22" s="116" t="str">
        <x:v>P4-RBAC-010</x:v>
      </x:c>
      <x:c r="B22" s="113" t="str">
        <x:v>Team setup can assign access</x:v>
      </x:c>
      <x:c r="C22" s="113" t="str">
        <x:v>Sign in as WA</x:v>
      </x:c>
      <x:c r="D22" s="113" t="str">
        <x:v>Create/edit Team and add existing user</x:v>
      </x:c>
      <x:c r="E22" s="113" t="str">
        <x:v>Admin receives All Teams; Editor joins the selected Team</x:v>
      </x:c>
      <x:c r="F22" s="113" t="str">
        <x:v>Not Run</x:v>
      </x:c>
      <x:c r="G22" s="113" t="str"/>
      <x:c r="H22" s="113" t="str"/>
    </x:row>
    <x:row r="23" ht="118.80000305175781" hidden="0" customHeight="1">
      <x:c r="A23" s="117" t="str">
        <x:v>P4-RBAC-011</x:v>
      </x:c>
      <x:c r="B23" s="114" t="str">
        <x:v>Notification route rechecks access</x:v>
      </x:c>
      <x:c r="C23" s="114" t="str">
        <x:v>Assignment or Note mention notification exists</x:v>
      </x:c>
      <x:c r="D23" s="114" t="str">
        <x:v>Click notification after access changes</x:v>
      </x:c>
      <x:c r="E23" s="114" t="str">
        <x:v>User reaches the related Work Item only when current assignment allows it</x:v>
      </x:c>
      <x:c r="F23" s="114" t="str">
        <x:v>Not Run</x:v>
      </x:c>
      <x:c r="G23" s="114" t="str"/>
      <x:c r="H23" s="114" t="str"/>
    </x:row>
  </x:sheetData>
  <x:mergeCells>
    <x:mergeCell ref="A1:H1"/>
    <x:mergeCell ref="A2:H2"/>
    <x:mergeCell ref="A3:H3"/>
    <x:mergeCell ref="A11:H11"/>
  </x:mergeCells>
  <x:dataValidations count="1">
    <x:dataValidation type="list" sqref="F13:F23">
      <x:formula1>"Not Run,Pass,Fail,Blocked"</x:formula1>
    </x:dataValidation>
  </x:dataValidations>
  <x:pageMargins left="0.7" right="0.7" top="0.75" bottom="0.75" header="0.3" footer="0.3"/>
</x:worksheet>
</file>