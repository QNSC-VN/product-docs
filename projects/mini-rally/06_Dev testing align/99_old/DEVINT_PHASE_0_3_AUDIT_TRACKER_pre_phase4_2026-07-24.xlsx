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a17616762164f8d" /></Relationships>
</file>

<file path=xl/workbook.xml><?xml version="1.0" encoding="utf-8"?>
<x:workbook xmlns:x="http://schemas.openxmlformats.org/spreadsheetml/2006/main">
  <x:sheets>
    <x:sheet xmlns:r="http://schemas.openxmlformats.org/officeDocument/2006/relationships" name="Audit Control" sheetId="1" r:id="R4b2ada6b7b99495d"/>
    <x:sheet xmlns:r="http://schemas.openxmlformats.org/officeDocument/2006/relationships" name="Screen Inventory" sheetId="2" r:id="Rb0de7c7ede134b7b"/>
    <x:sheet xmlns:r="http://schemas.openxmlformats.org/officeDocument/2006/relationships" name="Gap Log" sheetId="3" r:id="Rff40f77b23074d7b"/>
    <x:sheet xmlns:r="http://schemas.openxmlformats.org/officeDocument/2006/relationships" name="Execution Log" sheetId="4" r:id="R0d24fac3ff25492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1"/>
      <x:color rgb="FFFFFFFF"/>
      <x:name val="Carlito"/>
    </x:font>
    <x:font>
      <x:sz val="11"/>
      <x:color rgb="FF173F78"/>
      <x:name val="Carlito"/>
    </x:font>
    <x:font>
      <x:b/>
      <x:sz val="11"/>
      <x:color rgb="FF173F78"/>
      <x:name val="Carlito"/>
    </x:font>
    <x:font>
      <x:b/>
      <x:sz val="11"/>
      <x:color rgb="FFFFFFFF"/>
      <x:name val="Aptos"/>
    </x:font>
    <x:font>
      <x:sz val="11"/>
      <x:color rgb="FF173F78"/>
      <x:name val="Aptos"/>
    </x:font>
    <x:font>
      <x:sz val="11"/>
      <x:name val="Aptos"/>
    </x:font>
    <x:font>
      <x:b/>
      <x:sz val="11"/>
      <x:color rgb="FF173F78"/>
      <x:name val="Aptos"/>
    </x:font>
    <x:font>
      <x:b/>
      <x:sz val="11"/>
      <x:color rgb="FFFFFFFF"/>
      <x:name val="Aptos Display"/>
    </x:font>
  </x:fonts>
  <x:fills count="6">
    <x:fill>
      <x:patternFill patternType="none"/>
    </x:fill>
    <x:fill>
      <x:patternFill patternType="gray125"/>
    </x:fill>
    <x:fill>
      <x:patternFill patternType="solid">
        <x:fgColor rgb="FF173F78"/>
      </x:patternFill>
    </x:fill>
    <x:fill>
      <x:patternFill patternType="solid">
        <x:fgColor rgb="FFEAF1FB"/>
      </x:patternFill>
    </x:fill>
    <x:fill>
      <x:patternFill patternType="solid">
        <x:fgColor rgb="FF2558A6"/>
      </x:patternFill>
    </x:fill>
    <x:fill>
      <x:patternFill patternType="solid">
        <x:fgColor rgb="FFF7F9FC"/>
      </x:patternFill>
    </x:fill>
  </x:fills>
  <x:borders count="10">
    <x:border/>
    <x:border>
      <x:left style="thin">
        <x:color rgb="FFD9E0EA"/>
      </x:left>
      <x:right style="thin">
        <x:color rgb="FFD9E0EA"/>
      </x:right>
      <x:top style="thin">
        <x:color rgb="FFD9E0EA"/>
      </x:top>
      <x:bottom style="thin">
        <x:color rgb="FFD9E0EA"/>
      </x:bottom>
    </x:border>
    <x:border>
      <x:right style="thin">
        <x:color rgb="FFD9E0EA"/>
      </x:right>
      <x:bottom style="thin">
        <x:color rgb="FFD9E0EA"/>
      </x:bottom>
    </x:border>
    <x:border>
      <x:left style="thin">
        <x:color rgb="FFD9E0EA"/>
      </x:left>
      <x:bottom style="thin">
        <x:color rgb="FFD9E0EA"/>
      </x:bottom>
    </x:border>
    <x:border>
      <x:right style="thin">
        <x:color rgb="FFD9E0EA"/>
      </x:right>
      <x:top style="thin">
        <x:color rgb="FFD9E0EA"/>
      </x:top>
      <x:bottom style="thin">
        <x:color rgb="FFD9E0EA"/>
      </x:bottom>
    </x:border>
    <x:border>
      <x:left style="thin">
        <x:color rgb="FFD9E0EA"/>
      </x:left>
      <x:top style="thin">
        <x:color rgb="FFD9E0EA"/>
      </x:top>
      <x:bottom style="thin">
        <x:color rgb="FFD9E0EA"/>
      </x:bottom>
    </x:border>
    <x:border>
      <x:right style="thin">
        <x:color rgb="FFD9E0EA"/>
      </x:right>
      <x:top style="thin">
        <x:color rgb="FFD9E0EA"/>
      </x:top>
    </x:border>
    <x:border>
      <x:left style="thin">
        <x:color rgb="FFD9E0EA"/>
      </x:left>
      <x:top style="thin">
        <x:color rgb="FFD9E0EA"/>
      </x:top>
    </x:border>
    <x:border>
      <x:left style="thin">
        <x:color rgb="FFD9E0EA"/>
      </x:left>
      <x:right style="thin">
        <x:color rgb="FFD9E0EA"/>
      </x:right>
      <x:bottom style="thin">
        <x:color rgb="FFD9E0EA"/>
      </x:bottom>
    </x:border>
    <x:border>
      <x:left style="thin">
        <x:color rgb="FFD9E0EA"/>
      </x:left>
      <x:right style="thin">
        <x:color rgb="FFD9E0EA"/>
      </x:right>
      <x:top style="thin">
        <x:color rgb="FFD9E0EA"/>
      </x:top>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20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0" fillId="0" borderId="3" xfId="0" applyNumberFormat="1" applyFont="1" applyFill="1" applyBorder="1"/>
    <x:xf numFmtId="0" fontId="3" fillId="5" borderId="4" xfId="0" applyNumberFormat="1" applyFont="1" applyFill="1" applyBorder="1"/>
    <x:xf numFmtId="0" fontId="0" fillId="0" borderId="5" xfId="0" applyNumberFormat="1" applyFont="1" applyFill="1" applyBorder="1"/>
    <x:xf numFmtId="0" fontId="3" fillId="5" borderId="6" xfId="0" applyNumberFormat="1" applyFont="1" applyFill="1" applyBorder="1"/>
    <x:xf numFmtId="200" fontId="0" fillId="0" borderId="7" xfId="0" applyNumberFormat="1" applyFont="1" applyFill="1" applyBorder="1"/>
    <x:xf numFmtId="0" fontId="0" fillId="0" borderId="7" xfId="0" applyNumberFormat="1" applyFont="1" applyFill="1" applyBorder="1"/>
    <x:xf numFmtId="201" fontId="0" fillId="0" borderId="3" xfId="0" applyNumberFormat="1" applyFont="1" applyFill="1" applyBorder="1"/>
    <x:xf numFmtId="201" fontId="0" fillId="0" borderId="5" xfId="0" applyNumberFormat="1" applyFont="1" applyFill="1" applyBorder="1"/>
    <x:xf numFmtId="201" fontId="0" fillId="0" borderId="7" xfId="0" applyNumberFormat="1" applyFont="1" applyFill="1" applyBorder="1"/>
    <x:xf numFmtId="0" fontId="3" fillId="3" borderId="0" xfId="0" applyNumberFormat="1" applyFont="1" applyFill="1" applyBorder="1"/>
    <x:xf numFmtId="0" fontId="0" fillId="0" borderId="2" xfId="0" applyNumberFormat="1" applyFont="1" applyFill="1" applyBorder="1"/>
    <x:xf numFmtId="0" fontId="0" fillId="0" borderId="8" xfId="0" applyNumberFormat="1" applyFont="1" applyFill="1" applyBorder="1"/>
    <x:xf numFmtId="0" fontId="0" fillId="0" borderId="4"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3" fillId="5" borderId="2" xfId="0" applyNumberFormat="1" applyFont="1" applyFill="1" applyBorder="1" applyAlignment="1">
      <x:alignment vertical="center"/>
    </x:xf>
    <x:xf numFmtId="0" fontId="0" fillId="0" borderId="3" xfId="0" applyNumberFormat="1" applyFont="1" applyFill="1" applyBorder="1" applyAlignment="1">
      <x:alignment vertical="center"/>
    </x:xf>
    <x:xf numFmtId="201" fontId="0" fillId="0" borderId="3" xfId="0" applyNumberFormat="1" applyFont="1" applyFill="1" applyBorder="1" applyAlignment="1">
      <x:alignment vertical="center"/>
    </x:xf>
    <x:xf numFmtId="0" fontId="3" fillId="5" borderId="4" xfId="0" applyNumberFormat="1" applyFont="1" applyFill="1" applyBorder="1" applyAlignment="1">
      <x:alignment vertical="center"/>
    </x:xf>
    <x:xf numFmtId="0" fontId="0" fillId="0" borderId="5" xfId="0" applyNumberFormat="1" applyFont="1" applyFill="1" applyBorder="1" applyAlignment="1">
      <x:alignment vertical="center"/>
    </x:xf>
    <x:xf numFmtId="201" fontId="0" fillId="0" borderId="5" xfId="0" applyNumberFormat="1" applyFont="1" applyFill="1" applyBorder="1" applyAlignment="1">
      <x:alignment vertical="center"/>
    </x:xf>
    <x:xf numFmtId="0" fontId="3" fillId="5" borderId="6" xfId="0" applyNumberFormat="1" applyFont="1" applyFill="1" applyBorder="1" applyAlignment="1">
      <x:alignment vertical="center"/>
    </x:xf>
    <x:xf numFmtId="200" fontId="0" fillId="0" borderId="7" xfId="0" applyNumberFormat="1" applyFont="1" applyFill="1" applyBorder="1" applyAlignment="1">
      <x:alignment vertical="center"/>
    </x:xf>
    <x:xf numFmtId="201" fontId="0" fillId="0" borderId="7" xfId="0" applyNumberFormat="1" applyFont="1" applyFill="1" applyBorder="1" applyAlignment="1">
      <x:alignment vertical="center"/>
    </x:xf>
    <x:xf numFmtId="0" fontId="3" fillId="3" borderId="0" xfId="0" applyNumberFormat="1" applyFont="1" applyFill="1" applyBorder="1" applyAlignment="1">
      <x:alignment vertical="center"/>
    </x:xf>
    <x:xf numFmtId="0" fontId="0" fillId="0" borderId="2"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0" fontId="0" fillId="0" borderId="1" xfId="0" applyNumberFormat="1" applyFont="1" applyFill="1" applyBorder="1"/>
    <x:xf numFmtId="0" fontId="0" fillId="0" borderId="0" xfId="0" applyNumberFormat="1" applyFont="1" applyFill="1" applyBorder="1" applyAlignment="1">
      <x:alignment wrapText="1"/>
    </x:xf>
    <x:xf numFmtId="0" fontId="4" fillId="2"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7" fillId="5" borderId="2" xfId="0" applyNumberFormat="1" applyFont="1" applyFill="1" applyBorder="1" applyAlignment="1">
      <x:alignment vertical="center"/>
    </x:xf>
    <x:xf numFmtId="0" fontId="6" fillId="0" borderId="3" xfId="0" applyNumberFormat="1" applyFont="1" applyFill="1" applyBorder="1" applyAlignment="1">
      <x:alignment vertical="center"/>
    </x:xf>
    <x:xf numFmtId="201" fontId="6" fillId="0" borderId="3" xfId="0" applyNumberFormat="1" applyFont="1" applyFill="1" applyBorder="1" applyAlignment="1">
      <x:alignment vertical="center"/>
    </x:xf>
    <x:xf numFmtId="0" fontId="7" fillId="5" borderId="4" xfId="0" applyNumberFormat="1" applyFont="1" applyFill="1" applyBorder="1" applyAlignment="1">
      <x:alignment vertical="center"/>
    </x:xf>
    <x:xf numFmtId="0" fontId="6" fillId="0" borderId="5" xfId="0" applyNumberFormat="1" applyFont="1" applyFill="1" applyBorder="1" applyAlignment="1">
      <x:alignment vertical="center"/>
    </x:xf>
    <x:xf numFmtId="201" fontId="6" fillId="0" borderId="5" xfId="0" applyNumberFormat="1" applyFont="1" applyFill="1" applyBorder="1" applyAlignment="1">
      <x:alignment vertical="center"/>
    </x:xf>
    <x:xf numFmtId="0" fontId="7" fillId="5" borderId="6" xfId="0" applyNumberFormat="1" applyFont="1" applyFill="1" applyBorder="1" applyAlignment="1">
      <x:alignment vertical="center"/>
    </x:xf>
    <x:xf numFmtId="200" fontId="6" fillId="0" borderId="7" xfId="0" applyNumberFormat="1" applyFont="1" applyFill="1" applyBorder="1" applyAlignment="1">
      <x:alignment vertical="center"/>
    </x:xf>
    <x:xf numFmtId="201" fontId="6" fillId="0" borderId="7" xfId="0" applyNumberFormat="1" applyFont="1" applyFill="1" applyBorder="1" applyAlignment="1">
      <x:alignment vertical="center"/>
    </x:xf>
    <x:xf numFmtId="0" fontId="7" fillId="3" borderId="0" xfId="0" applyNumberFormat="1" applyFont="1" applyFill="1" applyBorder="1" applyAlignment="1">
      <x:alignment vertical="center"/>
    </x:xf>
    <x:xf numFmtId="0" fontId="6" fillId="0" borderId="2"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4" fillId="2"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200" fontId="6" fillId="0" borderId="1" xfId="0" applyNumberFormat="1" applyFont="1" applyFill="1" applyBorder="1"/>
    <x:xf numFmtId="0" fontId="8" fillId="2"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x:cellXfs>
  <x:cellStyles count="1">
    <x:cellStyle name="Normal" xfId="0"/>
  </x:cellStyles>
  <x:dxfs count="11">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B91C1C"/>
      </x:font>
      <x:fill>
        <x:patternFill>
          <x:bgColor rgb="FFFEF2F2"/>
        </x:patternFill>
      </x:fill>
    </x:dxf>
    <x:dxf>
      <x:font>
        <x:b/>
        <x:color rgb="FF8A5808"/>
      </x:font>
      <x:fill>
        <x:patternFill>
          <x:bgColor rgb="FFFEF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ac5afa896a4ce6" /><Relationship Type="http://schemas.openxmlformats.org/officeDocument/2006/relationships/theme" Target="/xl/theme/theme1.xml" Id="R58fc9a51ed484cd8" /><Relationship Type="http://schemas.openxmlformats.org/officeDocument/2006/relationships/sharedStrings" Target="/xl/sharedStrings.xml" Id="Rac5e453571ac4f2b" /><Relationship Type="http://schemas.openxmlformats.org/officeDocument/2006/relationships/worksheet" Target="/xl/worksheets/sheet1.xml" Id="R4b2ada6b7b99495d" /><Relationship Type="http://schemas.openxmlformats.org/officeDocument/2006/relationships/worksheet" Target="/xl/worksheets/sheet2.xml" Id="Rb0de7c7ede134b7b" /><Relationship Type="http://schemas.openxmlformats.org/officeDocument/2006/relationships/worksheet" Target="/xl/worksheets/sheet3.xml" Id="Rff40f77b23074d7b" /><Relationship Type="http://schemas.openxmlformats.org/officeDocument/2006/relationships/worksheet" Target="/xl/worksheets/sheet4.xml" Id="R0d24fac3ff254928" /><Relationship Type="http://schemas.microsoft.com/office/2017/10/relationships/person" Target="/xl/persons/person.xml" Id="R6df6e6b9621148bf" /></Relationships>
</file>

<file path=xl/persons/person.xml><?xml version="1.0" encoding="utf-8"?>
<xltc:personList xmlns:xltc="http://schemas.microsoft.com/office/spreadsheetml/2018/threadedcomments">
  <xltc:person displayName="Hieu" id="{F6D6D7EE-9353-49A8-A29F-928728419309}"/>
</xltc:personList>
</file>

<file path=xl/tables/table1.xml><?xml version="1.0" encoding="utf-8"?>
<x:table xmlns:x="http://schemas.openxmlformats.org/spreadsheetml/2006/main" id="1" name="ScreenInventoryTable" displayName="ScreenInventoryTable" ref="A4:P41" headerRowCount="1" totalsRowCount="0" totalsRowShown="0">
  <x:tableColumns count="16">
    <x:tableColumn id="1" name="Audit ID"/>
    <x:tableColumn id="2" name="Phase"/>
    <x:tableColumn id="3" name="Module"/>
    <x:tableColumn id="4" name="Screen"/>
    <x:tableColumn id="5" name="Function Group"/>
    <x:tableColumn id="6" name="Business Expected"/>
    <x:tableColumn id="7" name="Mockup / SRS Reference"/>
    <x:tableColumn id="8" name="DevInt Route"/>
    <x:tableColumn id="9" name="Priority"/>
    <x:tableColumn id="10" name="Order"/>
    <x:tableColumn id="11" name="Audit Status"/>
    <x:tableColumn id="12" name="BA Confirmation"/>
    <x:tableColumn id="13" name="Gap Count"/>
    <x:tableColumn id="14" name="Owner"/>
    <x:tableColumn id="15" name="Notes"/>
    <x:tableColumn id="16" name="Last Tested"/>
  </x:tableColumns>
  <x:tableStyleInfo name="TableStyleMedium2" showFirstColumn="0" showLastColumn="0" showRowStripes="1" showColumnStripes="0"/>
</x:table>
</file>

<file path=xl/tables/table2.xml><?xml version="1.0" encoding="utf-8"?>
<x:table xmlns:x="http://schemas.openxmlformats.org/spreadsheetml/2006/main" id="2" name="GapLogTable" displayName="GapLogTable" ref="A4:Q87" headerRowCount="1" totalsRowCount="0" totalsRowShown="0">
  <x:tableColumns count="17">
    <x:tableColumn id="1" name="Gap ID"/>
    <x:tableColumn id="2" name="Audit ID"/>
    <x:tableColumn id="3" name="Phase"/>
    <x:tableColumn id="4" name="Screen"/>
    <x:tableColumn id="5" name="Function"/>
    <x:tableColumn id="6" name="Expected Business"/>
    <x:tableColumn id="7" name="Mockup Behavior"/>
    <x:tableColumn id="8" name="DevInt Actual"/>
    <x:tableColumn id="9" name="Gap Category"/>
    <x:tableColumn id="10" name="Severity"/>
    <x:tableColumn id="11" name="Recommendation"/>
    <x:tableColumn id="12" name="BA Decision"/>
    <x:tableColumn id="13" name="Fix Scope"/>
    <x:tableColumn id="14" name="Dev Status"/>
    <x:tableColumn id="15" name="Retest"/>
    <x:tableColumn id="16" name="Evidence"/>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ExecutionLogTable" displayName="ExecutionLogTable" ref="A4:M30" headerRowCount="1" totalsRowCount="0" totalsRowShown="0">
  <x:tableColumns count="13">
    <x:tableColumn id="1" name="Execution ID"/>
    <x:tableColumn id="2" name="Audit ID"/>
    <x:tableColumn id="3" name="Date"/>
    <x:tableColumn id="4" name="Environment"/>
    <x:tableColumn id="5" name="Account"/>
    <x:tableColumn id="6" name="Precondition"/>
    <x:tableColumn id="7" name="Step / Action"/>
    <x:tableColumn id="8" name="Expected"/>
    <x:tableColumn id="9" name="Actual"/>
    <x:tableColumn id="10" name="Result"/>
    <x:tableColumn id="11" name="Evidence"/>
    <x:tableColumn id="12" name="Retest Of"/>
    <x:tableColumn id="13" name="Test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221887458a49e6" /></Relationships>
</file>

<file path=xl/worksheets/_rels/sheet3.xml.rels>&#65279;<?xml version="1.0" encoding="utf-8"?><Relationships xmlns="http://schemas.openxmlformats.org/package/2006/relationships"><Relationship Type="http://schemas.openxmlformats.org/officeDocument/2006/relationships/table" Target="/xl/tables/table2.xml" Id="R6185f40c074c4aba" /></Relationships>
</file>

<file path=xl/worksheets/_rels/sheet4.xml.rels>&#65279;<?xml version="1.0" encoding="utf-8"?><Relationships xmlns="http://schemas.openxmlformats.org/package/2006/relationships"><Relationship Type="http://schemas.openxmlformats.org/officeDocument/2006/relationships/table" Target="/xl/tables/table3.xml" Id="Rd49154b8aeed41bd"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8" hidden="0" customWidth="1"/>
    <x:col min="4" max="4" width="48" hidden="0" customWidth="1"/>
    <x:col min="5" max="5" width="16" hidden="0" customWidth="1"/>
    <x:col min="6" max="6" width="20" hidden="0" customWidth="1"/>
    <x:col min="7" max="7" width="16" hidden="0" customWidth="1"/>
    <x:col min="8" max="8" width="28" hidden="0" customWidth="1"/>
  </x:cols>
  <x:sheetData>
    <x:row r="1" ht="28" customHeight="1">
      <x:c r="A1" s="87" t="str">
        <x:v>Rally DevInt Audit Tracker — Phase 0 to Phase 3</x:v>
      </x:c>
      <x:c r="B1" s="64"/>
      <x:c r="C1" s="64"/>
      <x:c r="D1" s="64"/>
      <x:c r="E1" s="64"/>
      <x:c r="F1" s="64"/>
      <x:c r="G1" s="64"/>
      <x:c r="H1" s="64"/>
    </x:row>
    <x:row r="2" ht="32" customHeight="1">
      <x:c r="A2" s="65" t="str">
        <x:v>Environment: https://rally-dev.qnsc.vn/ | BA confirmation is required before advancing to the next screen/function group.</x:v>
      </x:c>
      <x:c r="B2" s="65"/>
      <x:c r="C2" s="65"/>
      <x:c r="D2" s="65"/>
      <x:c r="E2" s="65"/>
      <x:c r="F2" s="65"/>
      <x:c r="G2" s="65"/>
      <x:c r="H2" s="65"/>
    </x:row>
    <x:row r="3">
      <x:c r="A3" s="66"/>
      <x:c r="B3" s="66"/>
      <x:c r="C3" s="66"/>
      <x:c r="D3" s="66"/>
      <x:c r="E3" s="66"/>
      <x:c r="F3" s="66"/>
      <x:c r="G3" s="66"/>
      <x:c r="H3" s="66"/>
    </x:row>
    <x:row r="4" ht="34" customHeight="1">
      <x:c r="A4" s="67" t="str">
        <x:v>Audit metadata</x:v>
      </x:c>
      <x:c r="B4" s="67" t="str">
        <x:v>Value</x:v>
      </x:c>
      <x:c r="C4" s="66"/>
      <x:c r="D4" s="67" t="str">
        <x:v>Current retest summary</x:v>
      </x:c>
      <x:c r="E4" s="67" t="str">
        <x:v>Count</x:v>
      </x:c>
      <x:c r="F4" s="66"/>
      <x:c r="G4" s="66"/>
      <x:c r="H4" s="66"/>
    </x:row>
    <x:row r="5">
      <x:c r="A5" s="68" t="str">
        <x:v>Audit scope</x:v>
      </x:c>
      <x:c r="B5" s="69" t="str">
        <x:v>Phase 0–3 business, FE behavior, screen flow and mock data alignment</x:v>
      </x:c>
      <x:c r="C5" s="66"/>
      <x:c r="D5" s="68" t="str">
        <x:v>Total checkpoints</x:v>
      </x:c>
      <x:c r="E5" s="70" t="n">
        <x:f>COUNTA('Screen Inventory'!$A$5:$A$100)</x:f>
        <x:v>37</x:v>
      </x:c>
      <x:c r="F5" s="66"/>
      <x:c r="G5" s="66"/>
      <x:c r="H5" s="66"/>
    </x:row>
    <x:row r="6">
      <x:c r="A6" s="71" t="str">
        <x:v>DevInt account</x:v>
      </x:c>
      <x:c r="B6" s="72" t="str">
        <x:v>hieuvbm@qnsc.vn</x:v>
      </x:c>
      <x:c r="C6" s="66"/>
      <x:c r="D6" s="71" t="str">
        <x:v>Retest Passed</x:v>
      </x:c>
      <x:c r="E6" s="73" t="n">
        <x:f>COUNTIF('Screen Inventory'!$K$5:$K$100,"Retest Passed")</x:f>
        <x:v>7</x:v>
      </x:c>
      <x:c r="F6" s="66"/>
      <x:c r="G6" s="66"/>
      <x:c r="H6" s="66"/>
    </x:row>
    <x:row r="7">
      <x:c r="A7" s="71" t="str">
        <x:v>Reference baseline</x:v>
      </x:c>
      <x:c r="B7" s="72" t="str">
        <x:v>Mini Rally confirmed SRS + mockup + testing pack</x:v>
      </x:c>
      <x:c r="C7" s="66"/>
      <x:c r="D7" s="71" t="str">
        <x:v>Partial Match</x:v>
      </x:c>
      <x:c r="E7" s="73" t="n">
        <x:f>COUNTIF('Screen Inventory'!$K$5:$K$100,"Partial Match")</x:f>
        <x:v>2</x:v>
      </x:c>
      <x:c r="F7" s="66"/>
      <x:c r="G7" s="66"/>
      <x:c r="H7" s="66"/>
    </x:row>
    <x:row r="8">
      <x:c r="A8" s="71" t="str">
        <x:v>Working mode</x:v>
      </x:c>
      <x:c r="B8" s="72" t="str">
        <x:v>One screen/function group → record evidence/gap → BA confirm → next</x:v>
      </x:c>
      <x:c r="C8" s="66"/>
      <x:c r="D8" s="71" t="str">
        <x:v>Gap Confirmed</x:v>
      </x:c>
      <x:c r="E8" s="73" t="n">
        <x:f>COUNTIF('Screen Inventory'!$K$5:$K$100,"Gap Confirmed")</x:f>
        <x:v>17</x:v>
      </x:c>
      <x:c r="F8" s="66"/>
      <x:c r="G8" s="66"/>
      <x:c r="H8" s="66"/>
    </x:row>
    <x:row r="9">
      <x:c r="A9" s="71" t="str">
        <x:v>Mutation rule</x:v>
      </x:c>
      <x:c r="B9" s="72" t="str">
        <x:v>Use DEVINT-AUDIT prefix; no destructive/role/workspace mutation without BA approval</x:v>
      </x:c>
      <x:c r="C9" s="66"/>
      <x:c r="D9" s="71" t="str">
        <x:v>Confirmed / no gap</x:v>
      </x:c>
      <x:c r="E9" s="73" t="n">
        <x:f>COUNTIF('Screen Inventory'!$K$5:$K$100,"Confirmed")</x:f>
        <x:v>11</x:v>
      </x:c>
      <x:c r="F9" s="66"/>
      <x:c r="G9" s="66"/>
      <x:c r="H9" s="66"/>
    </x:row>
    <x:row r="10">
      <x:c r="A10" s="74" t="str">
        <x:v>Last updated</x:v>
      </x:c>
      <x:c r="B10" s="75" t="n">
        <x:v>46227</x:v>
      </x:c>
      <x:c r="C10" s="66"/>
      <x:c r="D10" s="71" t="str">
        <x:v>Future Backlog / Blocked / Not Started</x:v>
      </x:c>
      <x:c r="E10" s="73" t="n">
        <x:f>COUNTIF('Gap Log'!$N$5:$N$200,"Future Backlog")+COUNTIF('Screen Inventory'!$K$5:$K$100,"Blocked")+COUNTIF('Screen Inventory'!$K$5:$K$100,"Not Started")</x:f>
        <x:v>9</x:v>
      </x:c>
      <x:c r="F10" s="66"/>
      <x:c r="G10" s="66"/>
      <x:c r="H10" s="66"/>
    </x:row>
    <x:row r="11">
      <x:c r="A11" s="66"/>
      <x:c r="B11" s="66"/>
      <x:c r="C11" s="66"/>
      <x:c r="D11" s="71" t="str">
        <x:v>Current-scope gaps</x:v>
      </x:c>
      <x:c r="E11" s="73" t="n">
        <x:f>COUNTIF('Gap Log'!$C$5:$C$200,"Phase 0")+COUNTIF('Gap Log'!$C$5:$C$200,"Phase 1")+COUNTIF('Gap Log'!$C$5:$C$200,"Phase 2")+COUNTIF('Gap Log'!$C$5:$C$200,"Phase 3")</x:f>
        <x:v>82</x:v>
      </x:c>
      <x:c r="F11" s="66"/>
      <x:c r="G11" s="66"/>
      <x:c r="H11" s="66"/>
    </x:row>
    <x:row r="12">
      <x:c r="A12" s="66"/>
      <x:c r="B12" s="66"/>
      <x:c r="C12" s="66"/>
      <x:c r="D12" s="74" t="str">
        <x:v>Open + Partial gaps</x:v>
      </x:c>
      <x:c r="E12" s="76" t="n">
        <x:f>COUNTIF('Gap Log'!$N$5:$N$200,"Still Open")+COUNTIF('Gap Log'!$N$5:$N$200,"Partial (retest)")</x:f>
        <x:v>38</x:v>
      </x:c>
      <x:c r="F12" s="66"/>
      <x:c r="G12" s="66"/>
      <x:c r="H12" s="66"/>
    </x:row>
    <x:row r="13" ht="24" customHeight="1">
      <x:c r="A13" s="77" t="str">
        <x:v>Recommended execution order</x:v>
      </x:c>
      <x:c r="B13" s="77"/>
      <x:c r="C13" s="77"/>
      <x:c r="D13" s="77"/>
      <x:c r="E13" s="77"/>
      <x:c r="F13" s="77"/>
      <x:c r="G13" s="77"/>
      <x:c r="H13" s="77"/>
    </x:row>
    <x:row r="14">
      <x:c r="A14" s="78" t="str">
        <x:v>1</x:v>
      </x:c>
      <x:c r="B14" s="79" t="str">
        <x:v>D0</x:v>
      </x:c>
      <x:c r="C14" s="79" t="str">
        <x:v>Setup</x:v>
      </x:c>
      <x:c r="D14" s="79" t="str">
        <x:v>Inventory references and establish tracker/evidence rules</x:v>
      </x:c>
      <x:c r="E14" s="79" t="str">
        <x:v>Owner</x:v>
      </x:c>
      <x:c r="F14" s="79" t="str">
        <x:v>Codex + BA</x:v>
      </x:c>
      <x:c r="G14" s="79" t="str">
        <x:v>Exit</x:v>
      </x:c>
      <x:c r="H14" s="80" t="str">
        <x:v>Tracker verified</x:v>
      </x:c>
    </x:row>
    <x:row r="15">
      <x:c r="A15" s="81" t="str">
        <x:v>2</x:v>
      </x:c>
      <x:c r="B15" s="82" t="str">
        <x:v>D1</x:v>
      </x:c>
      <x:c r="C15" s="82" t="str">
        <x:v>Phase 0</x:v>
      </x:c>
      <x:c r="D15" s="82" t="str">
        <x:v>Authentication → App Shell → Context → Projects</x:v>
      </x:c>
      <x:c r="E15" s="82" t="str">
        <x:v>Owner</x:v>
      </x:c>
      <x:c r="F15" s="82" t="str">
        <x:v>Codex + BA</x:v>
      </x:c>
      <x:c r="G15" s="82" t="str">
        <x:v>Exit</x:v>
      </x:c>
      <x:c r="H15" s="83" t="str">
        <x:v>Each checkpoint confirmed</x:v>
      </x:c>
    </x:row>
    <x:row r="16">
      <x:c r="A16" s="81" t="str">
        <x:v>3</x:v>
      </x:c>
      <x:c r="B16" s="82" t="str">
        <x:v>D2</x:v>
      </x:c>
      <x:c r="C16" s="82" t="str">
        <x:v>Phase 1</x:v>
      </x:c>
      <x:c r="D16" s="82" t="str">
        <x:v>Settings Teams/Users → Backlog → Work Item → Task/Time/Content/History</x:v>
      </x:c>
      <x:c r="E16" s="82" t="str">
        <x:v>Owner</x:v>
      </x:c>
      <x:c r="F16" s="82" t="str">
        <x:v>Codex + BA</x:v>
      </x:c>
      <x:c r="G16" s="82" t="str">
        <x:v>Exit</x:v>
      </x:c>
      <x:c r="H16" s="83" t="str">
        <x:v>Each checkpoint confirmed</x:v>
      </x:c>
    </x:row>
    <x:row r="17">
      <x:c r="A17" s="81" t="str">
        <x:v>4</x:v>
      </x:c>
      <x:c r="B17" s="82" t="str">
        <x:v>D3</x:v>
      </x:c>
      <x:c r="C17" s="82" t="str">
        <x:v>Phase 2</x:v>
      </x:c>
      <x:c r="D17" s="82" t="str">
        <x:v>Backlog enhancement → Iterations → Iteration Status</x:v>
      </x:c>
      <x:c r="E17" s="82" t="str">
        <x:v>Owner</x:v>
      </x:c>
      <x:c r="F17" s="82" t="str">
        <x:v>Codex + BA</x:v>
      </x:c>
      <x:c r="G17" s="82" t="str">
        <x:v>Exit</x:v>
      </x:c>
      <x:c r="H17" s="83" t="str">
        <x:v>Each checkpoint confirmed</x:v>
      </x:c>
    </x:row>
    <x:row r="18">
      <x:c r="A18" s="81" t="str">
        <x:v>5</x:v>
      </x:c>
      <x:c r="B18" s="82" t="str">
        <x:v>D4</x:v>
      </x:c>
      <x:c r="C18" s="82" t="str">
        <x:v>Phase 3</x:v>
      </x:c>
      <x:c r="D18" s="82" t="str">
        <x:v>Team Status → Releases → Milestones → Quality/Defect</x:v>
      </x:c>
      <x:c r="E18" s="82" t="str">
        <x:v>Owner</x:v>
      </x:c>
      <x:c r="F18" s="82" t="str">
        <x:v>Codex + BA</x:v>
      </x:c>
      <x:c r="G18" s="82" t="str">
        <x:v>Exit</x:v>
      </x:c>
      <x:c r="H18" s="83" t="str">
        <x:v>Each checkpoint confirmed</x:v>
      </x:c>
    </x:row>
    <x:row r="19">
      <x:c r="A19" s="84" t="str">
        <x:v>6</x:v>
      </x:c>
      <x:c r="B19" s="85" t="str">
        <x:v>D5</x:v>
      </x:c>
      <x:c r="C19" s="85" t="str">
        <x:v>E2E</x:v>
      </x:c>
      <x:c r="D19" s="85" t="str">
        <x:v>Regression canonical Agile flow and package confirmed dev fixes</x:v>
      </x:c>
      <x:c r="E19" s="85" t="str">
        <x:v>Owner</x:v>
      </x:c>
      <x:c r="F19" s="85" t="str">
        <x:v>Codex + BA</x:v>
      </x:c>
      <x:c r="G19" s="85" t="str">
        <x:v>Exit</x:v>
      </x:c>
      <x:c r="H19" s="86" t="str">
        <x:v>Final BA sign-off</x:v>
      </x:c>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20" hidden="0" customWidth="1"/>
    <x:col min="4" max="4" width="24" hidden="0" customWidth="1"/>
    <x:col min="5" max="5" width="30" hidden="0" customWidth="1"/>
    <x:col min="6" max="6" width="54" hidden="0" customWidth="1"/>
    <x:col min="7" max="7" width="42" hidden="0" customWidth="1"/>
    <x:col min="8" max="8" width="32" hidden="0" customWidth="1"/>
    <x:col min="9" max="9" width="10" hidden="0" customWidth="1"/>
    <x:col min="10" max="10" width="9" hidden="0" customWidth="1"/>
    <x:col min="11" max="11" width="16" hidden="0" customWidth="1"/>
    <x:col min="12" max="12" width="22" hidden="0" customWidth="1"/>
    <x:col min="13" max="13" width="11" hidden="0" customWidth="1"/>
    <x:col min="14" max="14" width="16" hidden="0" customWidth="1"/>
    <x:col min="15" max="15" width="36" hidden="0" customWidth="1"/>
    <x:col min="16" max="16" width="14" hidden="0" customWidth="1"/>
  </x:cols>
  <x:sheetData>
    <x:row r="1" ht="28" customHeight="1">
      <x:c r="A1" s="94" t="str">
        <x:v>Screen and Function Inventory</x:v>
      </x:c>
      <x:c r="B1" s="88"/>
      <x:c r="C1" s="88"/>
      <x:c r="D1" s="88"/>
      <x:c r="E1" s="88"/>
      <x:c r="F1" s="88"/>
      <x:c r="G1" s="88"/>
      <x:c r="H1" s="88"/>
      <x:c r="I1" s="88"/>
      <x:c r="J1" s="88"/>
      <x:c r="K1" s="88"/>
      <x:c r="L1" s="88"/>
      <x:c r="M1" s="88"/>
      <x:c r="N1" s="88"/>
      <x:c r="O1" s="88"/>
      <x:c r="P1" s="88"/>
    </x:row>
    <x:row r="2" ht="32" customHeight="1">
      <x:c r="A2" s="89" t="str">
        <x:v>Audit order is intentionally granular. Update Status/BA Confirmation only after evidence is recorded.</x:v>
      </x:c>
      <x:c r="B2" s="89"/>
      <x:c r="C2" s="89"/>
      <x:c r="D2" s="89"/>
      <x:c r="E2" s="89"/>
      <x:c r="F2" s="89"/>
      <x:c r="G2" s="89"/>
      <x:c r="H2" s="89"/>
      <x:c r="I2" s="89"/>
      <x:c r="J2" s="89"/>
      <x:c r="K2" s="89"/>
      <x:c r="L2" s="89"/>
      <x:c r="M2" s="89"/>
      <x:c r="N2" s="89"/>
      <x:c r="O2" s="89"/>
      <x:c r="P2" s="89"/>
    </x:row>
    <x:row r="3">
      <x:c r="A3" s="90"/>
      <x:c r="B3" s="90"/>
      <x:c r="C3" s="90"/>
      <x:c r="D3" s="90"/>
      <x:c r="E3" s="90"/>
      <x:c r="F3" s="90"/>
      <x:c r="G3" s="90"/>
      <x:c r="H3" s="90"/>
      <x:c r="I3" s="90"/>
      <x:c r="J3" s="90"/>
      <x:c r="K3" s="90"/>
      <x:c r="L3" s="90"/>
      <x:c r="M3" s="90"/>
      <x:c r="N3" s="90"/>
      <x:c r="O3" s="90"/>
      <x:c r="P3" s="90"/>
    </x:row>
    <x:row r="4" ht="34" customHeight="1">
      <x:c r="A4" s="67" t="str">
        <x:v>Audit ID</x:v>
      </x:c>
      <x:c r="B4" s="67" t="str">
        <x:v>Phase</x:v>
      </x:c>
      <x:c r="C4" s="67" t="str">
        <x:v>Module</x:v>
      </x:c>
      <x:c r="D4" s="67" t="str">
        <x:v>Screen</x:v>
      </x:c>
      <x:c r="E4" s="67" t="str">
        <x:v>Function Group</x:v>
      </x:c>
      <x:c r="F4" s="67" t="str">
        <x:v>Business Expected</x:v>
      </x:c>
      <x:c r="G4" s="67" t="str">
        <x:v>Mockup / SRS Reference</x:v>
      </x:c>
      <x:c r="H4" s="67" t="str">
        <x:v>DevInt Route</x:v>
      </x:c>
      <x:c r="I4" s="67" t="str">
        <x:v>Priority</x:v>
      </x:c>
      <x:c r="J4" s="67" t="str">
        <x:v>Order</x:v>
      </x:c>
      <x:c r="K4" s="67" t="str">
        <x:v>Audit Status</x:v>
      </x:c>
      <x:c r="L4" s="67" t="str">
        <x:v>BA Confirmation</x:v>
      </x:c>
      <x:c r="M4" s="67" t="str">
        <x:v>Gap Count</x:v>
      </x:c>
      <x:c r="N4" s="67" t="str">
        <x:v>Owner</x:v>
      </x:c>
      <x:c r="O4" s="67" t="str">
        <x:v>Notes</x:v>
      </x:c>
      <x:c r="P4" s="67" t="str">
        <x:v>Last Tested</x:v>
      </x:c>
    </x:row>
    <x:row r="5">
      <x:c r="A5" s="91" t="str">
        <x:v>P0-AUTH-01</x:v>
      </x:c>
      <x:c r="B5" s="91" t="str">
        <x:v>Phase 0</x:v>
      </x:c>
      <x:c r="C5" s="91" t="str">
        <x:v>Authentication</x:v>
      </x:c>
      <x:c r="D5" s="91" t="str">
        <x:v>Login</x:v>
      </x:c>
      <x:c r="E5" s="91" t="str">
        <x:v>Credential/SSO login and validation</x:v>
      </x:c>
      <x:c r="F5" s="92" t="str">
        <x:v>Authorized user can sign in; errors are clear; no credential leakage</x:v>
      </x:c>
      <x:c r="G5" s="92" t="str">
        <x:v>Phase 0/02_Authentication/SRS.md</x:v>
      </x:c>
      <x:c r="H5" s="92" t="str">
        <x:v>/login</x:v>
      </x:c>
      <x:c r="I5" s="91" t="str">
        <x:v>P0</x:v>
      </x:c>
      <x:c r="J5" s="91" t="n">
        <x:v>1</x:v>
      </x:c>
      <x:c r="K5" s="91" t="str">
        <x:v>Gap Confirmed</x:v>
      </x:c>
      <x:c r="L5" s="91" t="str">
        <x:v>Fix Direction Approved</x:v>
      </x:c>
      <x:c r="M5" s="91" t="n">
        <x:v>1</x:v>
      </x:c>
      <x:c r="N5" s="91" t="str">
        <x:v>Codex + BA</x:v>
      </x:c>
      <x:c r="O5" s="92" t="str">
        <x:v>Retest 2026-07-24 current build: 0 passed, 0 partial, 1 still open, 0 not required. Evidence: evidence/retest_2026-07-24/.</x:v>
      </x:c>
      <x:c r="P5" s="93" t="n">
        <x:v>46227</x:v>
      </x:c>
    </x:row>
    <x:row r="6">
      <x:c r="A6" s="91" t="str">
        <x:v>P0-AUTH-02</x:v>
      </x:c>
      <x:c r="B6" s="91" t="str">
        <x:v>Phase 0</x:v>
      </x:c>
      <x:c r="C6" s="91" t="str">
        <x:v>Authentication</x:v>
      </x:c>
      <x:c r="D6" s="91" t="str">
        <x:v>Session</x:v>
      </x:c>
      <x:c r="E6" s="91" t="str">
        <x:v>Session restore and logout</x:v>
      </x:c>
      <x:c r="F6" s="92" t="str">
        <x:v>Session behavior is predictable; logout ends access</x:v>
      </x:c>
      <x:c r="G6" s="92" t="str">
        <x:v>Phase 0/02_Authentication/SRS.md</x:v>
      </x:c>
      <x:c r="H6" s="92" t="str">
        <x:v>App shell / account menu</x:v>
      </x:c>
      <x:c r="I6" s="91" t="str">
        <x:v>P0</x:v>
      </x:c>
      <x:c r="J6" s="91" t="n">
        <x:v>2</x:v>
      </x:c>
      <x:c r="K6" s="91" t="str">
        <x:v>Confirmed</x:v>
      </x:c>
      <x:c r="L6" s="91" t="str">
        <x:v>Match Confirmed</x:v>
      </x:c>
      <x:c r="M6" s="91" t="n">
        <x:v>0</x:v>
      </x:c>
      <x:c r="N6" s="91" t="str">
        <x:v>Codex + BA</x:v>
      </x:c>
      <x:c r="O6" s="92" t="str">
        <x:v>BA confirmed match: protected deep link restores the session; sign-out returns to login; protected access preserves returnTo; Microsoft SSO returns to the original route.</x:v>
      </x:c>
      <x:c r="P6" s="93" t="n">
        <x:v>46222</x:v>
      </x:c>
    </x:row>
    <x:row r="7">
      <x:c r="A7" s="91" t="str">
        <x:v>P0-SHELL-01</x:v>
      </x:c>
      <x:c r="B7" s="91" t="str">
        <x:v>Phase 0</x:v>
      </x:c>
      <x:c r="C7" s="91" t="str">
        <x:v>App Shell</x:v>
      </x:c>
      <x:c r="D7" s="91" t="str">
        <x:v>Global navigation</x:v>
      </x:c>
      <x:c r="E7" s="91" t="str">
        <x:v>Primary navigation and active state</x:v>
      </x:c>
      <x:c r="F7" s="92" t="str">
        <x:v>Only in-scope modules are visible and routes match the selected screen</x:v>
      </x:c>
      <x:c r="G7" s="92" t="str">
        <x:v>Phase 0/01_App_Shell/SRS.md</x:v>
      </x:c>
      <x:c r="H7" s="92" t="str">
        <x:v>Global header</x:v>
      </x:c>
      <x:c r="I7" s="91" t="str">
        <x:v>P0</x:v>
      </x:c>
      <x:c r="J7" s="91" t="n">
        <x:v>3</x:v>
      </x:c>
      <x:c r="K7" s="91" t="str">
        <x:v>Gap Confirmed</x:v>
      </x:c>
      <x:c r="L7" s="91" t="str">
        <x:v>Fix Direction Approved</x:v>
      </x:c>
      <x:c r="M7" s="91" t="n">
        <x:v>4</x:v>
      </x:c>
      <x:c r="N7" s="91" t="str">
        <x:v>Codex + BA</x:v>
      </x:c>
      <x:c r="O7" s="92" t="str">
        <x:v>Retest 2026-07-24 current build: 2 passed, 0 partial, 2 still open, 1 not required. Evidence: evidence/retest_2026-07-24/.</x:v>
      </x:c>
      <x:c r="P7" s="93" t="n">
        <x:v>46227</x:v>
      </x:c>
    </x:row>
    <x:row r="8">
      <x:c r="A8" s="91" t="str">
        <x:v>P0-SHELL-02</x:v>
      </x:c>
      <x:c r="B8" s="91" t="str">
        <x:v>Phase 0</x:v>
      </x:c>
      <x:c r="C8" s="91" t="str">
        <x:v>App Shell</x:v>
      </x:c>
      <x:c r="D8" s="91" t="str">
        <x:v>Workspace context</x:v>
      </x:c>
      <x:c r="E8" s="91" t="str">
        <x:v>Project/team selector</x:v>
      </x:c>
      <x:c r="F8" s="92" t="str">
        <x:v>Project and Team context is explicit; All Teams aggregates current Project only</x:v>
      </x:c>
      <x:c r="G8" s="92" t="str">
        <x:v>Phase 0/01_App_Shell/SRS.md</x:v>
      </x:c>
      <x:c r="H8" s="92" t="str">
        <x:v>Workspace selector</x:v>
      </x:c>
      <x:c r="I8" s="91" t="str">
        <x:v>P0</x:v>
      </x:c>
      <x:c r="J8" s="91" t="n">
        <x:v>4</x:v>
      </x:c>
      <x:c r="K8" s="91" t="str">
        <x:v>Retest Passed</x:v>
      </x:c>
      <x:c r="L8" s="91" t="str">
        <x:v>Match Confirmed</x:v>
      </x:c>
      <x:c r="M8" s="91" t="n">
        <x:v>1</x:v>
      </x:c>
      <x:c r="N8" s="91" t="str">
        <x:v>Codex + BA</x:v>
      </x:c>
      <x:c r="O8" s="92" t="str">
        <x:v>Retest 2026-07-24 current build: 1 passed, 0 partial, 0 still open, 0 not required. Evidence: evidence/retest_2026-07-24/.</x:v>
      </x:c>
      <x:c r="P8" s="93" t="n">
        <x:v>46227</x:v>
      </x:c>
    </x:row>
    <x:row r="9">
      <x:c r="A9" s="91" t="str">
        <x:v>P0-SHELL-03</x:v>
      </x:c>
      <x:c r="B9" s="91" t="str">
        <x:v>Phase 0</x:v>
      </x:c>
      <x:c r="C9" s="91" t="str">
        <x:v>App Shell</x:v>
      </x:c>
      <x:c r="D9" s="91" t="str">
        <x:v>Global search</x:v>
      </x:c>
      <x:c r="E9" s="91" t="str">
        <x:v>Search Work Items</x:v>
      </x:c>
      <x:c r="F9" s="92" t="str">
        <x:v>Phase 0-3 exposes a contract-only Global Search input; functional Work Item search is Future Backlog</x:v>
      </x:c>
      <x:c r="G9" s="92" t="str">
        <x:v>Phase 0/01_App_Shell/SRS.md</x:v>
      </x:c>
      <x:c r="H9" s="92" t="str">
        <x:v>Global header search</x:v>
      </x:c>
      <x:c r="I9" s="91" t="str">
        <x:v>P1</x:v>
      </x:c>
      <x:c r="J9" s="91" t="n">
        <x:v>5</x:v>
      </x:c>
      <x:c r="K9" s="91" t="str">
        <x:v>Confirmed</x:v>
      </x:c>
      <x:c r="L9" s="91" t="str">
        <x:v>Future Backlog Approved</x:v>
      </x:c>
      <x:c r="M9" s="91" t="n">
        <x:v>1</x:v>
      </x:c>
      <x:c r="N9" s="91" t="str">
        <x:v>Codex + BA</x:v>
      </x:c>
      <x:c r="O9" s="92" t="str">
        <x:v>BA confirmed Global Search is Future Backlog. Phase 0-3 only requires the contract-only input; DevInt and mockup match this scope. Functional ID/title search, result states and identity-preserving navigation are deferred.</x:v>
      </x:c>
      <x:c r="P9" s="93" t="n">
        <x:v>46222</x:v>
      </x:c>
    </x:row>
    <x:row r="10">
      <x:c r="A10" s="91" t="str">
        <x:v>P0-WS-01</x:v>
      </x:c>
      <x:c r="B10" s="91" t="str">
        <x:v>Phase 0</x:v>
      </x:c>
      <x:c r="C10" s="91" t="str">
        <x:v>Workspace</x:v>
      </x:c>
      <x:c r="D10" s="91" t="str">
        <x:v>Workspace</x:v>
      </x:c>
      <x:c r="E10" s="91" t="str">
        <x:v>Workspace identity and access</x:v>
      </x:c>
      <x:c r="F10" s="92" t="str">
        <x:v>One fixed Workspace is clear; no Workspace CRUD/switch; Workspace Admin may edit Workspace name</x:v>
      </x:c>
      <x:c r="G10" s="92" t="str">
        <x:v>Phase 0/03_Workspace/SRS.md</x:v>
      </x:c>
      <x:c r="H10" s="92" t="str">
        <x:v>Workspace selector/settings</x:v>
      </x:c>
      <x:c r="I10" s="91" t="str">
        <x:v>P0</x:v>
      </x:c>
      <x:c r="J10" s="91" t="n">
        <x:v>6</x:v>
      </x:c>
      <x:c r="K10" s="91" t="str">
        <x:v>Retest Passed</x:v>
      </x:c>
      <x:c r="L10" s="91" t="str">
        <x:v>Fix Direction Approved</x:v>
      </x:c>
      <x:c r="M10" s="91" t="n">
        <x:v>2</x:v>
      </x:c>
      <x:c r="N10" s="91" t="str">
        <x:v>Codex + BA</x:v>
      </x:c>
      <x:c r="O10" s="92" t="str">
        <x:v>Retest 2026-07-24 current build: 1 passed, 0 partial, 0 still open, 1 not required. Evidence: evidence/retest_2026-07-24/.</x:v>
      </x:c>
      <x:c r="P10" s="93" t="n">
        <x:v>46227</x:v>
      </x:c>
    </x:row>
    <x:row r="11">
      <x:c r="A11" s="91" t="str">
        <x:v>P0-PRJ-01</x:v>
      </x:c>
      <x:c r="B11" s="91" t="str">
        <x:v>Phase 0</x:v>
      </x:c>
      <x:c r="C11" s="91" t="str">
        <x:v>Project</x:v>
      </x:c>
      <x:c r="D11" s="91" t="str">
        <x:v>Manage Projects</x:v>
      </x:c>
      <x:c r="E11" s="91" t="str">
        <x:v>Project list/filter</x:v>
      </x:c>
      <x:c r="F11" s="92" t="str">
        <x:v>Projects are listed by permitted scope with consistent status and identity</x:v>
      </x:c>
      <x:c r="G11" s="92" t="str">
        <x:v>Phase 0/04_Project/SRS.md</x:v>
      </x:c>
      <x:c r="H11" s="92" t="str">
        <x:v>Workspace &gt; Manage Projects</x:v>
      </x:c>
      <x:c r="I11" s="91" t="str">
        <x:v>P0</x:v>
      </x:c>
      <x:c r="J11" s="91" t="n">
        <x:v>7</x:v>
      </x:c>
      <x:c r="K11" s="91" t="str">
        <x:v>Retest Passed</x:v>
      </x:c>
      <x:c r="L11" s="91" t="str">
        <x:v>Accepted As-Is</x:v>
      </x:c>
      <x:c r="M11" s="91" t="n">
        <x:v>3</x:v>
      </x:c>
      <x:c r="N11" s="91" t="str">
        <x:v>Codex + BA</x:v>
      </x:c>
      <x:c r="O11" s="92" t="str">
        <x:v>Retest 2026-07-24 current build: 2 passed, 0 partial, 0 still open, 1 not required. Evidence: evidence/retest_2026-07-24/.</x:v>
      </x:c>
      <x:c r="P11" s="93" t="n">
        <x:v>46227</x:v>
      </x:c>
    </x:row>
    <x:row r="12">
      <x:c r="A12" s="91" t="str">
        <x:v>P0-PRJ-02</x:v>
      </x:c>
      <x:c r="B12" s="91" t="str">
        <x:v>Phase 0</x:v>
      </x:c>
      <x:c r="C12" s="91" t="str">
        <x:v>Project</x:v>
      </x:c>
      <x:c r="D12" s="91" t="str">
        <x:v>Manage Projects</x:v>
      </x:c>
      <x:c r="E12" s="91" t="str">
        <x:v>Create/edit/archive/restore</x:v>
      </x:c>
      <x:c r="F12" s="92" t="str">
        <x:v>Authorized project administration follows validation and confirmation rules</x:v>
      </x:c>
      <x:c r="G12" s="92" t="str">
        <x:v>Phase 0/04_Project/SRS.md</x:v>
      </x:c>
      <x:c r="H12" s="92" t="str">
        <x:v>Manage Projects</x:v>
      </x:c>
      <x:c r="I12" s="91" t="str">
        <x:v>P1</x:v>
      </x:c>
      <x:c r="J12" s="91" t="n">
        <x:v>8</x:v>
      </x:c>
      <x:c r="K12" s="91" t="str">
        <x:v>Gap Confirmed</x:v>
      </x:c>
      <x:c r="L12" s="91" t="str">
        <x:v>Gap Confirmed</x:v>
      </x:c>
      <x:c r="M12" s="91" t="n">
        <x:v>4</x:v>
      </x:c>
      <x:c r="N12" s="91" t="str">
        <x:v>Codex + BA</x:v>
      </x:c>
      <x:c r="O12" s="92" t="str">
        <x:v>Retest 2026-07-24 current build: 2 passed, 1 partial, 1 still open, 0 not required. Evidence: evidence/retest_2026-07-24/.</x:v>
      </x:c>
      <x:c r="P12" s="93" t="n">
        <x:v>46227</x:v>
      </x:c>
    </x:row>
    <x:row r="13">
      <x:c r="A13" s="91" t="str">
        <x:v>P0-PRJ-03</x:v>
      </x:c>
      <x:c r="B13" s="91" t="str">
        <x:v>Phase 0</x:v>
      </x:c>
      <x:c r="C13" s="91" t="str">
        <x:v>Project</x:v>
      </x:c>
      <x:c r="D13" s="91" t="str">
        <x:v>Manage Projects</x:v>
      </x:c>
      <x:c r="E13" s="91" t="str">
        <x:v>Archive/restore and archived read-only state</x:v>
      </x:c>
      <x:c r="F13" s="92" t="str">
        <x:v>Workspace Admin can archive with explicit confirmation; archived Projects leave Active views and selectors, remain read-only with data preserved, and can be restored to Active.</x:v>
      </x:c>
      <x:c r="G13" s="92" t="str">
        <x:v>Phase 0/04_Project/SRS.md</x:v>
      </x:c>
      <x:c r="H13" s="92" t="str">
        <x:v>/projects</x:v>
      </x:c>
      <x:c r="I13" s="91" t="str">
        <x:v>P0</x:v>
      </x:c>
      <x:c r="J13" s="91" t="n">
        <x:v>9</x:v>
      </x:c>
      <x:c r="K13" s="91" t="str">
        <x:v>Retest Passed</x:v>
      </x:c>
      <x:c r="L13" s="91" t="str">
        <x:v>Match Confirmed</x:v>
      </x:c>
      <x:c r="M13" s="91" t="n">
        <x:v>3</x:v>
      </x:c>
      <x:c r="N13" s="91" t="str">
        <x:v>Codex + BA</x:v>
      </x:c>
      <x:c r="O13" s="92" t="str">
        <x:v>Retest 2026-07-24 current build: 0 passed, 0 partial, 0 still open, 3 not required. Evidence: evidence/retest_2026-07-24/.</x:v>
      </x:c>
      <x:c r="P13" s="93" t="n">
        <x:v>46227</x:v>
      </x:c>
    </x:row>
    <x:row r="14">
      <x:c r="A14" s="91" t="str">
        <x:v>P1-TEAM-01</x:v>
      </x:c>
      <x:c r="B14" s="91" t="str">
        <x:v>Phase 1</x:v>
      </x:c>
      <x:c r="C14" s="91" t="str">
        <x:v>Teams</x:v>
      </x:c>
      <x:c r="D14" s="91" t="str">
        <x:v>Settings &gt; Teams</x:v>
      </x:c>
      <x:c r="E14" s="91" t="str">
        <x:v>List/search/filter</x:v>
      </x:c>
      <x:c r="F14" s="92" t="str">
        <x:v>Teams are managed from Settings gear; list uses current master data</x:v>
      </x:c>
      <x:c r="G14" s="92" t="str">
        <x:v>Phase 1/08_Manage_Projects_Teams_Users/SRS.md</x:v>
      </x:c>
      <x:c r="H14" s="92" t="str">
        <x:v>Settings &gt; Teams</x:v>
      </x:c>
      <x:c r="I14" s="91" t="str">
        <x:v>P0</x:v>
      </x:c>
      <x:c r="J14" s="91" t="n">
        <x:v>10</x:v>
      </x:c>
      <x:c r="K14" s="91" t="str">
        <x:v>Confirmed</x:v>
      </x:c>
      <x:c r="L14" s="91" t="str">
        <x:v>Match Confirmed</x:v>
      </x:c>
      <x:c r="M14" s="91" t="n">
        <x:v>0</x:v>
      </x:c>
      <x:c r="N14" s="91" t="str">
        <x:v>Codex + BA</x:v>
      </x:c>
      <x:c r="O14" s="92" t="str">
        <x:v>Audit 2026-07-24: Teams list renders Key/Team/Project/Status/Lead/Updated + Search + Project/Status filters (1 team).</x:v>
      </x:c>
      <x:c r="P14" s="93" t="n">
        <x:v>46227</x:v>
      </x:c>
    </x:row>
    <x:row r="15">
      <x:c r="A15" s="91" t="str">
        <x:v>P1-TEAM-02</x:v>
      </x:c>
      <x:c r="B15" s="91" t="str">
        <x:v>Phase 1</x:v>
      </x:c>
      <x:c r="C15" s="91" t="str">
        <x:v>Teams</x:v>
      </x:c>
      <x:c r="D15" s="91" t="str">
        <x:v>Settings &gt; Teams</x:v>
      </x:c>
      <x:c r="E15" s="91" t="str">
        <x:v>Create/edit/deactivate/restore</x:v>
      </x:c>
      <x:c r="F15" s="92" t="str">
        <x:v>Authorized Team changes validate Project, key, members and status. Team Lead is optional and can be assigned after Team creation.</x:v>
      </x:c>
      <x:c r="G15" s="92" t="str">
        <x:v>Phase 1/08_Manage_Projects_Teams_Users/SRS.md</x:v>
      </x:c>
      <x:c r="H15" s="92" t="str">
        <x:v>Settings &gt; Teams</x:v>
      </x:c>
      <x:c r="I15" s="91" t="str">
        <x:v>P1</x:v>
      </x:c>
      <x:c r="J15" s="91" t="n">
        <x:v>11</x:v>
      </x:c>
      <x:c r="K15" s="91" t="str">
        <x:v>Gap Confirmed</x:v>
      </x:c>
      <x:c r="L15" s="91" t="str">
        <x:v>Fix Direction Approved</x:v>
      </x:c>
      <x:c r="M15" s="91" t="n">
        <x:v>1</x:v>
      </x:c>
      <x:c r="N15" s="91" t="str">
        <x:v>Codex + BA</x:v>
      </x:c>
      <x:c r="O15" s="92" t="str">
        <x:v>Retest 2026-07-24 current build: Team Lead optional is confirmed business rule. DevInt shows No lead but Create Team fails with generic Validation failed; dev must allow No lead/null lead on create. BA must supplement SRS/mockup with optional Lead/add-later rule.</x:v>
      </x:c>
      <x:c r="P15" s="93" t="n">
        <x:v>46227</x:v>
      </x:c>
    </x:row>
    <x:row r="16">
      <x:c r="A16" s="91" t="str">
        <x:v>P1-USER-01</x:v>
      </x:c>
      <x:c r="B16" s="91" t="str">
        <x:v>Phase 1</x:v>
      </x:c>
      <x:c r="C16" s="91" t="str">
        <x:v>Users</x:v>
      </x:c>
      <x:c r="D16" s="91" t="str">
        <x:v>Settings &gt; User Management</x:v>
      </x:c>
      <x:c r="E16" s="91" t="str">
        <x:v>List/search/detail</x:v>
      </x:c>
      <x:c r="F16" s="92" t="str">
        <x:v>Workspace users and team allocation follow role/scope rules</x:v>
      </x:c>
      <x:c r="G16" s="92" t="str">
        <x:v>Phase 1/08_Manage_Projects_Teams_Users/SRS.md</x:v>
      </x:c>
      <x:c r="H16" s="92" t="str">
        <x:v>Settings &gt; User Management</x:v>
      </x:c>
      <x:c r="I16" s="91" t="str">
        <x:v>P1</x:v>
      </x:c>
      <x:c r="J16" s="91" t="n">
        <x:v>12</x:v>
      </x:c>
      <x:c r="K16" s="91" t="str">
        <x:v>Confirmed</x:v>
      </x:c>
      <x:c r="L16" s="91" t="str">
        <x:v>Match Confirmed; Invite Deferred</x:v>
      </x:c>
      <x:c r="M16" s="91" t="n">
        <x:v>1</x:v>
      </x:c>
      <x:c r="N16" s="91" t="str">
        <x:v>Codex + BA</x:v>
      </x:c>
      <x:c r="O16" s="92" t="str">
        <x:v>Retest 2026-07-24 current build: User list/search/edit/duplicate rows passed. Invite member now opens a dialog, but send/delivery is intentionally deferred; BA confirmed Invite UI can be dev-designed and BA will supplement SRS/mockup with minimum invite contract.</x:v>
      </x:c>
      <x:c r="P16" s="93" t="n">
        <x:v>46227</x:v>
      </x:c>
    </x:row>
    <x:row r="17">
      <x:c r="A17" s="91" t="str">
        <x:v>P1-BL-01</x:v>
      </x:c>
      <x:c r="B17" s="91" t="str">
        <x:v>Phase 1</x:v>
      </x:c>
      <x:c r="C17" s="91" t="str">
        <x:v>Backlog</x:v>
      </x:c>
      <x:c r="D17" s="91" t="str">
        <x:v>Backlog list</x:v>
      </x:c>
      <x:c r="E17" s="91" t="str">
        <x:v>Scope/list/search/filter/sort/page</x:v>
      </x:c>
      <x:c r="F17" s="92" t="str">
        <x:v>Backlog list/filter/sort behavior must match confirmed table behavior: fixed filter panel is accepted, but search clear must restore rows reliably and approved headers must sort.</x:v>
      </x:c>
      <x:c r="G17" s="92" t="str">
        <x:v>Phase 1/01_Backlog_Work_Item_List/SRS.md</x:v>
      </x:c>
      <x:c r="H17" s="92" t="str">
        <x:v>Plan &gt; Backlog</x:v>
      </x:c>
      <x:c r="I17" s="91" t="str">
        <x:v>P0</x:v>
      </x:c>
      <x:c r="J17" s="91" t="n">
        <x:v>12</x:v>
      </x:c>
      <x:c r="K17" s="91" t="str">
        <x:v>Gap Confirmed</x:v>
      </x:c>
      <x:c r="L17" s="91" t="str">
        <x:v>Fix Direction Approved</x:v>
      </x:c>
      <x:c r="M17" s="91" t="n">
        <x:v>1</x:v>
      </x:c>
      <x:c r="N17" s="91" t="str">
        <x:v>Codex + BA</x:v>
      </x:c>
      <x:c r="O17" s="92" t="str">
        <x:v>Retest 2026-07-24: fixed filter model remains accepted, but BA reopened Backlog search clear and header sort. Search clear can leave stale partial values until reload; header sort expectation is approved sortable columns, not Rank-only.</x:v>
      </x:c>
      <x:c r="P17" s="93" t="n">
        <x:v>46227</x:v>
      </x:c>
    </x:row>
    <x:row r="18">
      <x:c r="A18" s="91" t="str">
        <x:v>P1-BL-02</x:v>
      </x:c>
      <x:c r="B18" s="91" t="str">
        <x:v>Phase 1</x:v>
      </x:c>
      <x:c r="C18" s="91" t="str">
        <x:v>Backlog</x:v>
      </x:c>
      <x:c r="D18" s="91" t="str">
        <x:v>Backlog list</x:v>
      </x:c>
      <x:c r="E18" s="91" t="str">
        <x:v>Inline edit and rank</x:v>
      </x:c>
      <x:c r="F18" s="92" t="str">
        <x:v>Edits update the same Work Item; rank is stable and scoped</x:v>
      </x:c>
      <x:c r="G18" s="92" t="str">
        <x:v>Phase 1/01_Backlog_Work_Item_List/SRS.md</x:v>
      </x:c>
      <x:c r="H18" s="92" t="str">
        <x:v>Plan &gt; Backlog</x:v>
      </x:c>
      <x:c r="I18" s="91" t="str">
        <x:v>P0</x:v>
      </x:c>
      <x:c r="J18" s="91" t="n">
        <x:v>14</x:v>
      </x:c>
      <x:c r="K18" s="91" t="str">
        <x:v>Partial Match</x:v>
      </x:c>
      <x:c r="L18" s="91" t="str">
        <x:v>Fix Direction Approved</x:v>
      </x:c>
      <x:c r="M18" s="91" t="n">
        <x:v>4</x:v>
      </x:c>
      <x:c r="N18" s="91" t="str">
        <x:v>Codex + BA</x:v>
      </x:c>
      <x:c r="O18" s="92" t="str">
        <x:v>Retest 2026-07-24 current build: 2 passed, 1 partial, 0 still open, 1 not required. Evidence: evidence/retest_2026-07-24/.</x:v>
      </x:c>
      <x:c r="P18" s="93" t="n">
        <x:v>46227</x:v>
      </x:c>
    </x:row>
    <x:row r="19">
      <x:c r="A19" s="91" t="str">
        <x:v>P1-CREATE-01</x:v>
      </x:c>
      <x:c r="B19" s="91" t="str">
        <x:v>Phase 1</x:v>
      </x:c>
      <x:c r="C19" s="91" t="str">
        <x:v>Work Item</x:v>
      </x:c>
      <x:c r="D19" s="91" t="str">
        <x:v>Create Work Item</x:v>
      </x:c>
      <x:c r="E19" s="91" t="str">
        <x:v>Quick Create/Cancel</x:v>
      </x:c>
      <x:c r="F19" s="92" t="str">
        <x:v>Create produces exactly one Story/Defect; Cancel produces none; state defaults Idea</x:v>
      </x:c>
      <x:c r="G19" s="92" t="str">
        <x:v>Phase 1/02_Work_Item_Create/SRS.md</x:v>
      </x:c>
      <x:c r="H19" s="92" t="str">
        <x:v>Backlog &gt; Create Work Item</x:v>
      </x:c>
      <x:c r="I19" s="91" t="str">
        <x:v>P0</x:v>
      </x:c>
      <x:c r="J19" s="91" t="n">
        <x:v>15</x:v>
      </x:c>
      <x:c r="K19" s="91" t="str">
        <x:v>Gap Confirmed</x:v>
      </x:c>
      <x:c r="L19" s="91" t="str">
        <x:v>Fix Direction Approved</x:v>
      </x:c>
      <x:c r="M19" s="91" t="n">
        <x:v>7</x:v>
      </x:c>
      <x:c r="N19" s="91" t="str">
        <x:v>Codex + BA</x:v>
      </x:c>
      <x:c r="O19" s="92" t="str">
        <x:v>Retest 2026-07-24 current build: 1 passed, 2 partial, 3 still open, 1 not required. Evidence: evidence/retest_2026-07-24/.</x:v>
      </x:c>
      <x:c r="P19" s="93" t="n">
        <x:v>46227</x:v>
      </x:c>
    </x:row>
    <x:row r="20">
      <x:c r="A20" s="91" t="str">
        <x:v>P1-CREATE-02</x:v>
      </x:c>
      <x:c r="B20" s="91" t="str">
        <x:v>Phase 1</x:v>
      </x:c>
      <x:c r="C20" s="91" t="str">
        <x:v>Work Item</x:v>
      </x:c>
      <x:c r="D20" s="91" t="str">
        <x:v>Create Work Item</x:v>
      </x:c>
      <x:c r="E20" s="91" t="str">
        <x:v>Create with details</x:v>
      </x:c>
      <x:c r="F20" s="92" t="str">
        <x:v>One record is created and the same ID opens in Detail</x:v>
      </x:c>
      <x:c r="G20" s="92" t="str">
        <x:v>Phase 1/02_Work_Item_Create/SRS.md</x:v>
      </x:c>
      <x:c r="H20" s="92" t="str">
        <x:v>Backlog &gt; Create with details</x:v>
      </x:c>
      <x:c r="I20" s="91" t="str">
        <x:v>P0</x:v>
      </x:c>
      <x:c r="J20" s="91" t="n">
        <x:v>16</x:v>
      </x:c>
      <x:c r="K20" s="91" t="str">
        <x:v>Partial Match</x:v>
      </x:c>
      <x:c r="L20" s="91" t="str">
        <x:v>Match Confirmed</x:v>
      </x:c>
      <x:c r="M20" s="91" t="n">
        <x:v>2</x:v>
      </x:c>
      <x:c r="N20" s="91" t="str">
        <x:v>Codex + BA</x:v>
      </x:c>
      <x:c r="O20" s="92" t="str">
        <x:v>Retest 2026-07-24 current build: 1 passed, 1 partial, 0 still open, 0 not required. Evidence: evidence/retest_2026-07-24/.</x:v>
      </x:c>
      <x:c r="P20" s="93" t="n">
        <x:v>46227</x:v>
      </x:c>
    </x:row>
    <x:row r="21">
      <x:c r="A21" s="91" t="str">
        <x:v>P1-WID-01</x:v>
      </x:c>
      <x:c r="B21" s="91" t="str">
        <x:v>Phase 1</x:v>
      </x:c>
      <x:c r="C21" s="91" t="str">
        <x:v>Work Item</x:v>
      </x:c>
      <x:c r="D21" s="91" t="str">
        <x:v>Work Item Detail</x:v>
      </x:c>
      <x:c r="E21" s="91" t="str">
        <x:v>Fields/status/relations</x:v>
      </x:c>
      <x:c r="F21" s="92" t="str">
        <x:v>Schedule/Flow mirror six-state catalog; relations persist on same ID</x:v>
      </x:c>
      <x:c r="G21" s="92" t="str">
        <x:v>Phase 1/03_Work_Item_Detail/SRS.md</x:v>
      </x:c>
      <x:c r="H21" s="92" t="str">
        <x:v>Work Item Detail</x:v>
      </x:c>
      <x:c r="I21" s="91" t="str">
        <x:v>P0</x:v>
      </x:c>
      <x:c r="J21" s="91" t="n">
        <x:v>17</x:v>
      </x:c>
      <x:c r="K21" s="91" t="str">
        <x:v>Gap Confirmed</x:v>
      </x:c>
      <x:c r="L21" s="91" t="str">
        <x:v>Fix Direction Approved</x:v>
      </x:c>
      <x:c r="M21" s="91" t="n">
        <x:v>9</x:v>
      </x:c>
      <x:c r="N21" s="91" t="str">
        <x:v>Codex + BA</x:v>
      </x:c>
      <x:c r="O21" s="92" t="str">
        <x:v>Retest 2026-07-24 current build: 3 passed, 1 partial, 5 still open, 0 not required. Evidence: evidence/retest_2026-07-24/.</x:v>
      </x:c>
      <x:c r="P21" s="93" t="n">
        <x:v>46227</x:v>
      </x:c>
    </x:row>
    <x:row r="22" ht="118" customHeight="1">
      <x:c r="A22" s="91" t="str">
        <x:v>P1-TASK-01</x:v>
      </x:c>
      <x:c r="B22" s="91" t="str">
        <x:v>Phase 1</x:v>
      </x:c>
      <x:c r="C22" s="91" t="str">
        <x:v>Task</x:v>
      </x:c>
      <x:c r="D22" s="91" t="str">
        <x:v>Task Dashboard</x:v>
      </x:c>
      <x:c r="E22" s="91" t="str">
        <x:v>List/create/inline edit</x:v>
      </x:c>
      <x:c r="F22" s="92" t="str">
        <x:v>Tasks belong to US/DE, use Defined/In-Progress/Completed and share identity</x:v>
      </x:c>
      <x:c r="G22" s="92" t="str">
        <x:v>Phase 1/04_Task_Management/SRS.md</x:v>
      </x:c>
      <x:c r="H22" s="92" t="str">
        <x:v>Work Item Detail &gt; Tasks</x:v>
      </x:c>
      <x:c r="I22" s="91" t="str">
        <x:v>P0</x:v>
      </x:c>
      <x:c r="J22" s="91" t="n">
        <x:v>18</x:v>
      </x:c>
      <x:c r="K22" s="91" t="str">
        <x:v>Gap Confirmed</x:v>
      </x:c>
      <x:c r="L22" s="91" t="str">
        <x:v>Fix Direction Approved</x:v>
      </x:c>
      <x:c r="M22" s="91" t="n">
        <x:v>7</x:v>
      </x:c>
      <x:c r="N22" s="91" t="str">
        <x:v>Codex + BA</x:v>
      </x:c>
      <x:c r="O22" s="92" t="str">
        <x:v>Retest 2026-07-24 current build: 3 passed, 2 partial, 2 still open, 0 not required. Evidence: evidence/retest_2026-07-24/.</x:v>
      </x:c>
      <x:c r="P22" s="93" t="n">
        <x:v>46227</x:v>
      </x:c>
    </x:row>
    <x:row r="23" ht="76" customHeight="1">
      <x:c r="A23" s="91" t="str">
        <x:v>P1-TASK-02</x:v>
      </x:c>
      <x:c r="B23" s="91" t="str">
        <x:v>Phase 1</x:v>
      </x:c>
      <x:c r="C23" s="91" t="str">
        <x:v>Task</x:v>
      </x:c>
      <x:c r="D23" s="91" t="str">
        <x:v>Task roll-up</x:v>
      </x:c>
      <x:c r="E23" s="91" t="str">
        <x:v>Complete/reopen propagation</x:v>
      </x:c>
      <x:c r="F23" s="92" t="str">
        <x:v>All Tasks Completed auto-completes parent; reopen auto-moves parent In-Progress; manual parent remains possible</x:v>
      </x:c>
      <x:c r="G23" s="92" t="str">
        <x:v>Phase 1/04_Task_Management/SRS.md</x:v>
      </x:c>
      <x:c r="H23" s="92" t="str">
        <x:v>Task Dashboard/Detail</x:v>
      </x:c>
      <x:c r="I23" s="91" t="str">
        <x:v>P0</x:v>
      </x:c>
      <x:c r="J23" s="91" t="n">
        <x:v>19</x:v>
      </x:c>
      <x:c r="K23" s="91" t="str">
        <x:v>Retest Passed</x:v>
      </x:c>
      <x:c r="L23" s="91" t="str">
        <x:v>Match Confirmed</x:v>
      </x:c>
      <x:c r="M23" s="91" t="n">
        <x:v>0</x:v>
      </x:c>
      <x:c r="N23" s="91" t="str">
        <x:v>Codex + BA</x:v>
      </x:c>
      <x:c r="O23" s="92" t="str">
        <x:v>Retest 2026-07-23 on new build: completing all child Tasks auto-moves parent to Completed (Schedule+Flow); reopening a Task auto-moves parent back to In-Progress (Schedule+Flow); To Do no longer zeroed on complete. Roll-up now passes.</x:v>
      </x:c>
      <x:c r="P23" s="93" t="n">
        <x:v>46226</x:v>
      </x:c>
    </x:row>
    <x:row r="24" ht="104" customHeight="1">
      <x:c r="A24" s="91" t="str">
        <x:v>P1-TIME-01</x:v>
      </x:c>
      <x:c r="B24" s="91" t="str">
        <x:v>Phase 1</x:v>
      </x:c>
      <x:c r="C24" s="91" t="str">
        <x:v>Time</x:v>
      </x:c>
      <x:c r="D24" s="91" t="str">
        <x:v>Task time fields</x:v>
      </x:c>
      <x:c r="E24" s="91" t="str">
        <x:v>Estimate/To Do/Actuals</x:v>
      </x:c>
      <x:c r="F24" s="92" t="str">
        <x:v>Task To Do and Actuals are inline inputs; Estimate is read-only and always equals To Do + Actuals. Total Estimate equals Total To Do + Total Actuals.</x:v>
      </x:c>
      <x:c r="G24" s="92" t="str">
        <x:v>Phase 1/05_Time_Tracking/SRS.md</x:v>
      </x:c>
      <x:c r="H24" s="92" t="str">
        <x:v>Task Dashboard/Detail</x:v>
      </x:c>
      <x:c r="I24" s="91" t="str">
        <x:v>P1</x:v>
      </x:c>
      <x:c r="J24" s="91" t="n">
        <x:v>20</x:v>
      </x:c>
      <x:c r="K24" s="91" t="str">
        <x:v>Retest Passed</x:v>
      </x:c>
      <x:c r="L24" s="91" t="str">
        <x:v>Fix Direction Approved</x:v>
      </x:c>
      <x:c r="M24" s="91" t="n">
        <x:v>1</x:v>
      </x:c>
      <x:c r="N24" s="91" t="str">
        <x:v>Codex + BA</x:v>
      </x:c>
      <x:c r="O24" s="92" t="str">
        <x:v>Retest 2026-07-24 current build: 1 passed, 0 partial, 0 still open, 0 not required. Evidence: evidence/retest_2026-07-24/.</x:v>
      </x:c>
      <x:c r="P24" s="93" t="n">
        <x:v>46227</x:v>
      </x:c>
    </x:row>
    <x:row r="25">
      <x:c r="A25" s="91" t="str">
        <x:v>P1-CONTENT-01</x:v>
      </x:c>
      <x:c r="B25" s="91" t="str">
        <x:v>Phase 1</x:v>
      </x:c>
      <x:c r="C25" s="91" t="str">
        <x:v>Content</x:v>
      </x:c>
      <x:c r="D25" s="91" t="str">
        <x:v>Work Item/Task Detail</x:v>
      </x:c>
      <x:c r="E25" s="91" t="str">
        <x:v>Description/notes/attachments</x:v>
      </x:c>
      <x:c r="F25" s="92" t="str">
        <x:v>Rich content and attachments obey edit/read-only rules without losing identity</x:v>
      </x:c>
      <x:c r="G25" s="92" t="str">
        <x:v>Phase 1/06_Content_Attachments/SRS.md</x:v>
      </x:c>
      <x:c r="H25" s="92" t="str">
        <x:v>Work Item/Task Detail</x:v>
      </x:c>
      <x:c r="I25" s="91" t="str">
        <x:v>P1</x:v>
      </x:c>
      <x:c r="J25" s="91" t="n">
        <x:v>21</x:v>
      </x:c>
      <x:c r="K25" s="91" t="str">
        <x:v>Confirmed</x:v>
      </x:c>
      <x:c r="L25" s="91" t="str">
        <x:v>Match Confirmed</x:v>
      </x:c>
      <x:c r="M25" s="91" t="n">
        <x:v>0</x:v>
      </x:c>
      <x:c r="N25" s="91" t="str">
        <x:v>Codex + BA</x:v>
      </x:c>
      <x:c r="O25" s="92" t="str">
        <x:v>Audit 2026-07-24: WI has Description/Attachments/Notes/Release Notes; Task has Description/Notes/Attachments (no Release Notes). Match. Viewer read-only/XSS/upload not tested.</x:v>
      </x:c>
      <x:c r="P25" s="93"/>
    </x:row>
    <x:row r="26">
      <x:c r="A26" s="91" t="str">
        <x:v>P1-HIST-01</x:v>
      </x:c>
      <x:c r="B26" s="91" t="str">
        <x:v>Phase 1</x:v>
      </x:c>
      <x:c r="C26" s="91" t="str">
        <x:v>Activity</x:v>
      </x:c>
      <x:c r="D26" s="91" t="str">
        <x:v>Revision History</x:v>
      </x:c>
      <x:c r="E26" s="91" t="str">
        <x:v>Work Item/Task activity</x:v>
      </x:c>
      <x:c r="F26" s="92" t="str">
        <x:v>Important mutations are traceable on the correct entity</x:v>
      </x:c>
      <x:c r="G26" s="92" t="str">
        <x:v>Phase 1/07_Activity_Log/SRS.md</x:v>
      </x:c>
      <x:c r="H26" s="92" t="str">
        <x:v>Work Item/Task Detail &gt; Revision History</x:v>
      </x:c>
      <x:c r="I26" s="91" t="str">
        <x:v>P1</x:v>
      </x:c>
      <x:c r="J26" s="91" t="n">
        <x:v>22</x:v>
      </x:c>
      <x:c r="K26" s="91" t="str">
        <x:v>Gap Confirmed</x:v>
      </x:c>
      <x:c r="L26" s="91" t="str">
        <x:v>Gap Confirmed</x:v>
      </x:c>
      <x:c r="M26" s="91" t="n">
        <x:v>2</x:v>
      </x:c>
      <x:c r="N26" s="91" t="str">
        <x:v>Codex + BA</x:v>
      </x:c>
      <x:c r="O26" s="92" t="str">
        <x:v>Retest 2026-07-24 current build: 0 passed, 0 partial, 2 still open, 0 not required. Evidence: evidence/retest_2026-07-24/.</x:v>
      </x:c>
      <x:c r="P26" s="93" t="n">
        <x:v>46227</x:v>
      </x:c>
    </x:row>
    <x:row r="27">
      <x:c r="A27" s="91" t="str">
        <x:v>P2-BL-01</x:v>
      </x:c>
      <x:c r="B27" s="91" t="str">
        <x:v>Phase 2</x:v>
      </x:c>
      <x:c r="C27" s="91" t="str">
        <x:v>Backlog Enhancement</x:v>
      </x:c>
      <x:c r="D27" s="91" t="str">
        <x:v>Backlog</x:v>
      </x:c>
      <x:c r="E27" s="91" t="str">
        <x:v>Bulk actions/advanced filters</x:v>
      </x:c>
      <x:c r="F27" s="92" t="str">
        <x:v>Bulk selection changes intended fields only and preserves item identity</x:v>
      </x:c>
      <x:c r="G27" s="92" t="str">
        <x:v>Phase 2/01_Backlog_Enhancement/SRS.md</x:v>
      </x:c>
      <x:c r="H27" s="92" t="str">
        <x:v>Plan &gt; Backlog</x:v>
      </x:c>
      <x:c r="I27" s="91" t="str">
        <x:v>P0</x:v>
      </x:c>
      <x:c r="J27" s="91" t="n">
        <x:v>23</x:v>
      </x:c>
      <x:c r="K27" s="91" t="str">
        <x:v>Gap Confirmed</x:v>
      </x:c>
      <x:c r="L27" s="91" t="str">
        <x:v>Gap Confirmed</x:v>
      </x:c>
      <x:c r="M27" s="91" t="n">
        <x:v>1</x:v>
      </x:c>
      <x:c r="N27" s="91" t="str">
        <x:v>Codex + BA</x:v>
      </x:c>
      <x:c r="O27" s="92" t="str">
        <x:v>Retest 2026-07-24 current build: 0 passed, 0 partial, 1 still open, 0 not required. Evidence: evidence/retest_2026-07-24/.</x:v>
      </x:c>
      <x:c r="P27" s="93" t="n">
        <x:v>46227</x:v>
      </x:c>
    </x:row>
    <x:row r="28">
      <x:c r="A28" s="91" t="str">
        <x:v>P2-IT-01</x:v>
      </x:c>
      <x:c r="B28" s="91" t="str">
        <x:v>Phase 2</x:v>
      </x:c>
      <x:c r="C28" s="91" t="str">
        <x:v>Iterations</x:v>
      </x:c>
      <x:c r="D28" s="91" t="str">
        <x:v>Timeboxes &gt; Iterations</x:v>
      </x:c>
      <x:c r="E28" s="91" t="str">
        <x:v>List/create/cancel</x:v>
      </x:c>
      <x:c r="F28" s="92" t="str">
        <x:v>Create persists one Iteration; Cancel none; default status Planning</x:v>
      </x:c>
      <x:c r="G28" s="92" t="str">
        <x:v>Phase 2/02_Iterations/SRS.md</x:v>
      </x:c>
      <x:c r="H28" s="92" t="str">
        <x:v>Plan &gt; Timeboxes &gt; Iterations</x:v>
      </x:c>
      <x:c r="I28" s="91" t="str">
        <x:v>P0</x:v>
      </x:c>
      <x:c r="J28" s="91" t="n">
        <x:v>24</x:v>
      </x:c>
      <x:c r="K28" s="91" t="str">
        <x:v>Gap Confirmed</x:v>
      </x:c>
      <x:c r="L28" s="91" t="str">
        <x:v>Gap Confirmed</x:v>
      </x:c>
      <x:c r="M28" s="91" t="n">
        <x:v>1</x:v>
      </x:c>
      <x:c r="N28" s="91" t="str">
        <x:v>Codex + BA</x:v>
      </x:c>
      <x:c r="O28" s="92" t="str">
        <x:v>Retest 2026-07-24 current build: 0 passed, 0 partial, 1 still open, 0 not required. Evidence: evidence/retest_2026-07-24/.</x:v>
      </x:c>
      <x:c r="P28" s="93" t="n">
        <x:v>46227</x:v>
      </x:c>
    </x:row>
    <x:row r="29">
      <x:c r="A29" s="91" t="str">
        <x:v>P2-IT-02</x:v>
      </x:c>
      <x:c r="B29" s="91" t="str">
        <x:v>Phase 2</x:v>
      </x:c>
      <x:c r="C29" s="91" t="str">
        <x:v>Iterations</x:v>
      </x:c>
      <x:c r="D29" s="91" t="str">
        <x:v>Iteration Detail</x:v>
      </x:c>
      <x:c r="E29" s="91" t="str">
        <x:v>Edit/state/manual override</x:v>
      </x:c>
      <x:c r="F29" s="92" t="str">
        <x:v>Planning/Committed/Accepted remains user-editable; no scope lock</x:v>
      </x:c>
      <x:c r="G29" s="92" t="str">
        <x:v>Phase 2/02_Iterations/SRS.md</x:v>
      </x:c>
      <x:c r="H29" s="92" t="str">
        <x:v>Iteration Detail</x:v>
      </x:c>
      <x:c r="I29" s="91" t="str">
        <x:v>P0</x:v>
      </x:c>
      <x:c r="J29" s="91" t="n">
        <x:v>25</x:v>
      </x:c>
      <x:c r="K29" s="91" t="str">
        <x:v>Confirmed</x:v>
      </x:c>
      <x:c r="L29" s="91" t="str">
        <x:v>Match Confirmed</x:v>
      </x:c>
      <x:c r="M29" s="91" t="n">
        <x:v>0</x:v>
      </x:c>
      <x:c r="N29" s="91" t="str">
        <x:v>Codex + BA</x:v>
      </x:c>
      <x:c r="O29" s="92" t="str">
        <x:v>Audit 2026-07-24: full-page detail with Theme + Notes editors, right panel Project/Team/Start/End/State/Planned Velocity, scope items panel and Commit/Accept controls. Minor: extra Revision History tab vs FR-017; unsaved-changes banner appears on load.</x:v>
      </x:c>
      <x:c r="P29" s="93"/>
    </x:row>
    <x:row r="30">
      <x:c r="A30" s="91" t="str">
        <x:v>P2-IS-01</x:v>
      </x:c>
      <x:c r="B30" s="91" t="str">
        <x:v>Phase 2</x:v>
      </x:c>
      <x:c r="C30" s="91" t="str">
        <x:v>Iteration Status</x:v>
      </x:c>
      <x:c r="D30" s="91" t="str">
        <x:v>Iteration Status</x:v>
      </x:c>
      <x:c r="E30" s="91" t="str">
        <x:v>Selector/list/scope</x:v>
      </x:c>
      <x:c r="F30" s="92" t="str">
        <x:v>Same US/DE IDs assigned to selected Iteration appear without Task rows</x:v>
      </x:c>
      <x:c r="G30" s="92" t="str">
        <x:v>Phase 2/03_Iteration_Status/SRS.md</x:v>
      </x:c>
      <x:c r="H30" s="92" t="str">
        <x:v>Track &gt; Iteration Status</x:v>
      </x:c>
      <x:c r="I30" s="91" t="str">
        <x:v>P0</x:v>
      </x:c>
      <x:c r="J30" s="91" t="n">
        <x:v>26</x:v>
      </x:c>
      <x:c r="K30" s="91" t="str">
        <x:v>Gap Confirmed</x:v>
      </x:c>
      <x:c r="L30" s="91" t="str">
        <x:v>Gap Confirmed</x:v>
      </x:c>
      <x:c r="M30" s="91" t="n">
        <x:v>3</x:v>
      </x:c>
      <x:c r="N30" s="91" t="str">
        <x:v>Codex + BA</x:v>
      </x:c>
      <x:c r="O30" s="92" t="str">
        <x:v>Retest 2026-07-24 current build: 0 passed, 0 partial, 3 still open, 0 not required. Evidence: evidence/retest_2026-07-24/.</x:v>
      </x:c>
      <x:c r="P30" s="93" t="n">
        <x:v>46227</x:v>
      </x:c>
    </x:row>
    <x:row r="31">
      <x:c r="A31" s="91" t="str">
        <x:v>P2-IS-02</x:v>
      </x:c>
      <x:c r="B31" s="91" t="str">
        <x:v>Phase 2</x:v>
      </x:c>
      <x:c r="C31" s="91" t="str">
        <x:v>Iteration Status</x:v>
      </x:c>
      <x:c r="D31" s="91" t="str">
        <x:v>Iteration Status</x:v>
      </x:c>
      <x:c r="E31" s="91" t="str">
        <x:v>Totals and active Tasks</x:v>
      </x:c>
      <x:c r="F31" s="92" t="str">
        <x:v>Totals derive Plan Estimate, child Task Estimate/To Do and active Task count</x:v>
      </x:c>
      <x:c r="G31" s="92" t="str">
        <x:v>Phase 2/03_Iteration_Status/SRS.md</x:v>
      </x:c>
      <x:c r="H31" s="92" t="str">
        <x:v>Track &gt; Iteration Status</x:v>
      </x:c>
      <x:c r="I31" s="91" t="str">
        <x:v>P0</x:v>
      </x:c>
      <x:c r="J31" s="91" t="n">
        <x:v>27</x:v>
      </x:c>
      <x:c r="K31" s="91" t="str">
        <x:v>Confirmed</x:v>
      </x:c>
      <x:c r="L31" s="91" t="str">
        <x:v>Match Confirmed</x:v>
      </x:c>
      <x:c r="M31" s="91" t="n">
        <x:v>0</x:v>
      </x:c>
      <x:c r="N31" s="91" t="str">
        <x:v>Codex + BA</x:v>
      </x:c>
      <x:c r="O31" s="92" t="str">
        <x:v>Audit 2026-07-24 with purpose-built data (IT-3/US-11/TA-7/TA-8): 2 Active Tasks correct; Totals 5 Points / 6 Hours / 5 Hours correct; Iteration End day count, Accepted points/percent and Defects count all correct. Minor: Planned Velocity shows "5 of 0 Points" when velocity is unset.</x:v>
      </x:c>
      <x:c r="P31" s="93"/>
    </x:row>
    <x:row r="32" ht="112" customHeight="1">
      <x:c r="A32" s="91" t="str">
        <x:v>P2-IS-03</x:v>
      </x:c>
      <x:c r="B32" s="91" t="str">
        <x:v>Phase 2</x:v>
      </x:c>
      <x:c r="C32" s="91" t="str">
        <x:v>Iteration Status</x:v>
      </x:c>
      <x:c r="D32" s="91" t="str">
        <x:v>Iteration Status</x:v>
      </x:c>
      <x:c r="E32" s="91" t="str">
        <x:v>Assignment/Add Item</x:v>
      </x:c>
      <x:c r="F32" s="92" t="str">
        <x:v>Assignment does not auto-Commit; Add Item creates one shared US/DE</x:v>
      </x:c>
      <x:c r="G32" s="92" t="str">
        <x:v>Phase 2/03_Iteration_Status/SRS.md</x:v>
      </x:c>
      <x:c r="H32" s="92" t="str">
        <x:v>Track &gt; Iteration Status</x:v>
      </x:c>
      <x:c r="I32" s="91" t="str">
        <x:v>P0</x:v>
      </x:c>
      <x:c r="J32" s="91" t="n">
        <x:v>28</x:v>
      </x:c>
      <x:c r="K32" s="91" t="str">
        <x:v>Retest Passed</x:v>
      </x:c>
      <x:c r="L32" s="91" t="str">
        <x:v>Fix Direction Approved</x:v>
      </x:c>
      <x:c r="M32" s="91" t="n">
        <x:v>2</x:v>
      </x:c>
      <x:c r="N32" s="91" t="str">
        <x:v>Codex + BA</x:v>
      </x:c>
      <x:c r="O32" s="92" t="str">
        <x:v>Retest 2026-07-24 current build: 2 passed, 0 partial, 0 still open, 0 not required. Evidence: evidence/retest_2026-07-24/.</x:v>
      </x:c>
      <x:c r="P32" s="93" t="n">
        <x:v>46227</x:v>
      </x:c>
    </x:row>
    <x:row r="33">
      <x:c r="A33" s="91" t="str">
        <x:v>P2-IS-04</x:v>
      </x:c>
      <x:c r="B33" s="91" t="str">
        <x:v>Phase 2</x:v>
      </x:c>
      <x:c r="C33" s="91" t="str">
        <x:v>Iteration Status</x:v>
      </x:c>
      <x:c r="D33" s="91" t="str">
        <x:v>Iteration Status</x:v>
      </x:c>
      <x:c r="E33" s="91" t="str">
        <x:v>Auto-Accept/manual override</x:v>
      </x:c>
      <x:c r="F33" s="92" t="str">
        <x:v>All non-empty scoped US/DE Accepted auto-Accepts Iteration; user can override</x:v>
      </x:c>
      <x:c r="G33" s="92" t="str">
        <x:v>Phase 2/03_Iteration_Status/SRS.md</x:v>
      </x:c>
      <x:c r="H33" s="92" t="str">
        <x:v>Track &gt; Iteration Status</x:v>
      </x:c>
      <x:c r="I33" s="91" t="str">
        <x:v>P0</x:v>
      </x:c>
      <x:c r="J33" s="91" t="n">
        <x:v>29</x:v>
      </x:c>
      <x:c r="K33" s="91" t="str">
        <x:v>Confirmed</x:v>
      </x:c>
      <x:c r="L33" s="91" t="str">
        <x:v>Match Confirmed</x:v>
      </x:c>
      <x:c r="M33" s="91" t="n">
        <x:v>0</x:v>
      </x:c>
      <x:c r="N33" s="91" t="str">
        <x:v>Codex + BA</x:v>
      </x:c>
      <x:c r="O33" s="92" t="str">
        <x:v>Audit 2026-07-24: completing all child Tasks auto-Completed US-11 (Schedule + Flow mirrored); setting US-11 to Accepted auto-changed IT-3 from Planning to Accepted. Manual state control remains available. DEV-021 from the E2E pack does not reproduce.</x:v>
      </x:c>
      <x:c r="P33" s="93"/>
    </x:row>
    <x:row r="34">
      <x:c r="A34" s="91" t="str">
        <x:v>P3-TS-01</x:v>
      </x:c>
      <x:c r="B34" s="91" t="str">
        <x:v>Phase 3</x:v>
      </x:c>
      <x:c r="C34" s="91" t="str">
        <x:v>Team Status</x:v>
      </x:c>
      <x:c r="D34" s="91" t="str">
        <x:v>Team Status</x:v>
      </x:c>
      <x:c r="E34" s="91" t="str">
        <x:v>Member/task grouping and scope</x:v>
      </x:c>
      <x:c r="F34" s="92" t="str">
        <x:v>Tasks derive through parent US/DE in selected Iteration and share Task identity</x:v>
      </x:c>
      <x:c r="G34" s="92" t="str">
        <x:v>Phase 3/01_Team_Status/SRS.md</x:v>
      </x:c>
      <x:c r="H34" s="92" t="str">
        <x:v>Track &gt; Team Status</x:v>
      </x:c>
      <x:c r="I34" s="91" t="str">
        <x:v>P0</x:v>
      </x:c>
      <x:c r="J34" s="91" t="n">
        <x:v>30</x:v>
      </x:c>
      <x:c r="K34" s="91" t="str">
        <x:v>Gap Confirmed</x:v>
      </x:c>
      <x:c r="L34" s="91" t="str">
        <x:v>Gap Confirmed</x:v>
      </x:c>
      <x:c r="M34" s="91" t="n">
        <x:v>7</x:v>
      </x:c>
      <x:c r="N34" s="91" t="str">
        <x:v>Codex + BA</x:v>
      </x:c>
      <x:c r="O34" s="92" t="str">
        <x:v>Retest 2026-07-24 current build: 0 passed, 0 partial, 7 still open, 0 not required. Evidence: evidence/retest_2026-07-24/.</x:v>
      </x:c>
      <x:c r="P34" s="93" t="n">
        <x:v>46227</x:v>
      </x:c>
    </x:row>
    <x:row r="35">
      <x:c r="A35" s="91" t="str">
        <x:v>P3-REL-01</x:v>
      </x:c>
      <x:c r="B35" s="91" t="str">
        <x:v>Phase 3</x:v>
      </x:c>
      <x:c r="C35" s="91" t="str">
        <x:v>Release</x:v>
      </x:c>
      <x:c r="D35" s="91" t="str">
        <x:v>Timeboxes &gt; Releases</x:v>
      </x:c>
      <x:c r="E35" s="91" t="str">
        <x:v>List/create/detail</x:v>
      </x:c>
      <x:c r="F35" s="92" t="str">
        <x:v>Release is independently creatable and editable; no Phase 3 Release Progress</x:v>
      </x:c>
      <x:c r="G35" s="92" t="str">
        <x:v>Phase 3/02_Release_Management/SRS.md</x:v>
      </x:c>
      <x:c r="H35" s="92" t="str">
        <x:v>Plan &gt; Timeboxes &gt; Releases</x:v>
      </x:c>
      <x:c r="I35" s="91" t="str">
        <x:v>P0</x:v>
      </x:c>
      <x:c r="J35" s="91" t="n">
        <x:v>31</x:v>
      </x:c>
      <x:c r="K35" s="91" t="str">
        <x:v>Gap Confirmed</x:v>
      </x:c>
      <x:c r="L35" s="91" t="str">
        <x:v>Gap Confirmed</x:v>
      </x:c>
      <x:c r="M35" s="91" t="n">
        <x:v>1</x:v>
      </x:c>
      <x:c r="N35" s="91" t="str">
        <x:v>Codex + BA</x:v>
      </x:c>
      <x:c r="O35" s="92" t="str">
        <x:v>Retest 2026-07-24 current build: 0 passed, 0 partial, 1 still open, 0 not required. Evidence: evidence/retest_2026-07-24/.</x:v>
      </x:c>
      <x:c r="P35" s="93" t="n">
        <x:v>46227</x:v>
      </x:c>
    </x:row>
    <x:row r="36">
      <x:c r="A36" s="91" t="str">
        <x:v>P3-REL-02</x:v>
      </x:c>
      <x:c r="B36" s="91" t="str">
        <x:v>Phase 3</x:v>
      </x:c>
      <x:c r="C36" s="91" t="str">
        <x:v>Release</x:v>
      </x:c>
      <x:c r="D36" s="91" t="str">
        <x:v>Release Artifacts</x:v>
      </x:c>
      <x:c r="E36" s="91" t="str">
        <x:v>Assign/reassign Story/Defect</x:v>
      </x:c>
      <x:c r="F36" s="92" t="str">
        <x:v>Work Item has zero/one releaseId and same ID appears in Release Artifacts</x:v>
      </x:c>
      <x:c r="G36" s="92" t="str">
        <x:v>Phase 3/02_Release_Management/SRS.md</x:v>
      </x:c>
      <x:c r="H36" s="92" t="str">
        <x:v>Release Detail &gt; Artifacts</x:v>
      </x:c>
      <x:c r="I36" s="91" t="str">
        <x:v>P0</x:v>
      </x:c>
      <x:c r="J36" s="91" t="n">
        <x:v>32</x:v>
      </x:c>
      <x:c r="K36" s="91" t="str">
        <x:v>Gap Confirmed</x:v>
      </x:c>
      <x:c r="L36" s="91" t="str">
        <x:v>Gap Confirmed</x:v>
      </x:c>
      <x:c r="M36" s="91" t="n">
        <x:v>1</x:v>
      </x:c>
      <x:c r="N36" s="91" t="str">
        <x:v>Codex + BA</x:v>
      </x:c>
      <x:c r="O36" s="92" t="str">
        <x:v>Retest 2026-07-24 current build: 0 passed, 0 partial, 1 still open, 0 not required. Evidence: evidence/retest_2026-07-24/.</x:v>
      </x:c>
      <x:c r="P36" s="93" t="n">
        <x:v>46227</x:v>
      </x:c>
    </x:row>
    <x:row r="37">
      <x:c r="A37" s="91" t="str">
        <x:v>P3-MS-01</x:v>
      </x:c>
      <x:c r="B37" s="91" t="str">
        <x:v>Phase 3</x:v>
      </x:c>
      <x:c r="C37" s="91" t="str">
        <x:v>Milestone</x:v>
      </x:c>
      <x:c r="D37" s="91" t="str">
        <x:v>Timeboxes &gt; Milestones</x:v>
      </x:c>
      <x:c r="E37" s="91" t="str">
        <x:v>List/create/release links</x:v>
      </x:c>
      <x:c r="F37" s="92" t="str">
        <x:v>Milestone and Release create independently with many-to-many relation</x:v>
      </x:c>
      <x:c r="G37" s="92" t="str">
        <x:v>Phase 3/03_Milestones/SRS.md</x:v>
      </x:c>
      <x:c r="H37" s="92" t="str">
        <x:v>Plan &gt; Timeboxes &gt; Milestones</x:v>
      </x:c>
      <x:c r="I37" s="91" t="str">
        <x:v>P0</x:v>
      </x:c>
      <x:c r="J37" s="91" t="n">
        <x:v>33</x:v>
      </x:c>
      <x:c r="K37" s="91" t="str">
        <x:v>Confirmed</x:v>
      </x:c>
      <x:c r="L37" s="91" t="str">
        <x:v>Match Confirmed</x:v>
      </x:c>
      <x:c r="M37" s="91" t="n">
        <x:v>0</x:v>
      </x:c>
      <x:c r="N37" s="91" t="str">
        <x:v>Codex + BA</x:v>
      </x:c>
      <x:c r="O37" s="92" t="str">
        <x:v>Milestone create modal (6 status values Planned/At Risk/Met/Missed/Cancelled/Completed) and Details tab (Description/Notes left, Projects/Teams/Releases count-summary + Owner + Target dates + Status right panel) confirmed working live on new Milestone MS-2. Projects summary opens a searchable multi-select modal and the selection persists after Save. The Releases-link control was not independently re-clicked this session (same UI pattern as Projects, assumed equivalent) - flag for a quick confirm on retest. Evidence trace: notes/P3-MS-01.md</x:v>
      </x:c>
      <x:c r="P37" s="93" t="n">
        <x:v>46227</x:v>
      </x:c>
    </x:row>
    <x:row r="38">
      <x:c r="A38" s="91" t="str">
        <x:v>P3-MS-02</x:v>
      </x:c>
      <x:c r="B38" s="91" t="str">
        <x:v>Phase 3</x:v>
      </x:c>
      <x:c r="C38" s="91" t="str">
        <x:v>Milestone</x:v>
      </x:c>
      <x:c r="D38" s="91" t="str">
        <x:v>Milestone Detail</x:v>
      </x:c>
      <x:c r="E38" s="91" t="str">
        <x:v>Derived dates</x:v>
      </x:c>
      <x:c r="F38" s="92" t="str">
        <x:v>Target start is earliest linked Release start; end is latest linked Release end</x:v>
      </x:c>
      <x:c r="G38" s="92" t="str">
        <x:v>Phase 3/03_Milestones/SRS.md</x:v>
      </x:c>
      <x:c r="H38" s="92" t="str">
        <x:v>Milestone Detail</x:v>
      </x:c>
      <x:c r="I38" s="91" t="str">
        <x:v>P0</x:v>
      </x:c>
      <x:c r="J38" s="91" t="n">
        <x:v>34</x:v>
      </x:c>
      <x:c r="K38" s="91" t="str">
        <x:v>Confirmed</x:v>
      </x:c>
      <x:c r="L38" s="91" t="str">
        <x:v>Match Confirmed</x:v>
      </x:c>
      <x:c r="M38" s="91" t="n">
        <x:v>0</x:v>
      </x:c>
      <x:c r="N38" s="91" t="str">
        <x:v>Codex + BA</x:v>
      </x:c>
      <x:c r="O38" s="92" t="str">
        <x:v>Audit 2026-07-24 (P3-MS-02 retest): PASS / Match. Tested on MS-2 by linking Release RE-1 (Start 2026-07-01 / Release 2026-07-31). Target Start Date correctly derived to the earliest linked Release start (2026-07-01) and Target End Date to the latest Release date (2026-07-31); both became read-only with a &amp;quot;Derived from linked Releases&amp;quot; label (FR-013). Removing the Release link made both dates manually editable again and kept the last value without inferring a new one. Minor note: derivation only recalculates on Save - the unsaved edit preview still shows the old manual value momentarily. MS-2 test data reverted (Release unlinked). Evidence trace: notes/P3-MS-02.md</x:v>
      </x:c>
      <x:c r="P38" s="93" t="n">
        <x:v>46227</x:v>
      </x:c>
    </x:row>
    <x:row r="39">
      <x:c r="A39" s="91" t="str">
        <x:v>P3-MS-03</x:v>
      </x:c>
      <x:c r="B39" s="91" t="str">
        <x:v>Phase 3</x:v>
      </x:c>
      <x:c r="C39" s="91" t="str">
        <x:v>Milestone</x:v>
      </x:c>
      <x:c r="D39" s="91" t="str">
        <x:v>Work Item Milestones</x:v>
      </x:c>
      <x:c r="E39" s="91" t="str">
        <x:v>Related options/preserve selections</x:v>
      </x:c>
      <x:c r="F39" s="92" t="str">
        <x:v>Work Item supports many Milestones; add options relate to Release; existing selections remain</x:v>
      </x:c>
      <x:c r="G39" s="92" t="str">
        <x:v>Phase 3/03_Milestones/SRS.md</x:v>
      </x:c>
      <x:c r="H39" s="92" t="str">
        <x:v>Work Item Detail / Milestone Artifacts</x:v>
      </x:c>
      <x:c r="I39" s="91" t="str">
        <x:v>P0</x:v>
      </x:c>
      <x:c r="J39" s="91" t="n">
        <x:v>35</x:v>
      </x:c>
      <x:c r="K39" s="91" t="str">
        <x:v>Gap Confirmed</x:v>
      </x:c>
      <x:c r="L39" s="91" t="str">
        <x:v>Gap Confirmed</x:v>
      </x:c>
      <x:c r="M39" s="91" t="n">
        <x:v>2</x:v>
      </x:c>
      <x:c r="N39" s="91" t="str">
        <x:v>Codex + BA</x:v>
      </x:c>
      <x:c r="O39" s="92" t="str">
        <x:v>Retest 2026-07-24 current build: 1 passed, 0 partial, 1 still open, 0 not required. Evidence: evidence/retest_2026-07-24/.</x:v>
      </x:c>
      <x:c r="P39" s="93" t="n">
        <x:v>46227</x:v>
      </x:c>
    </x:row>
    <x:row r="40">
      <x:c r="A40" s="91" t="str">
        <x:v>P3-QA-01</x:v>
      </x:c>
      <x:c r="B40" s="91" t="str">
        <x:v>Phase 3</x:v>
      </x:c>
      <x:c r="C40" s="91" t="str">
        <x:v>Quality</x:v>
      </x:c>
      <x:c r="D40" s="91" t="str">
        <x:v>Quality/Defect</x:v>
      </x:c>
      <x:c r="E40" s="91" t="str">
        <x:v>List/create/detail</x:v>
      </x:c>
      <x:c r="F40" s="92" t="str">
        <x:v>Defects use same Work Item ID/state while Defect State remains independent</x:v>
      </x:c>
      <x:c r="G40" s="92" t="str">
        <x:v>Phase 3/04_Quality_Defect/SRS.md</x:v>
      </x:c>
      <x:c r="H40" s="92" t="str">
        <x:v>Quality &gt; Defects</x:v>
      </x:c>
      <x:c r="I40" s="91" t="str">
        <x:v>P0</x:v>
      </x:c>
      <x:c r="J40" s="91" t="n">
        <x:v>36</x:v>
      </x:c>
      <x:c r="K40" s="91" t="str">
        <x:v>Gap Confirmed</x:v>
      </x:c>
      <x:c r="L40" s="91" t="str">
        <x:v>Gap Confirmed</x:v>
      </x:c>
      <x:c r="M40" s="91" t="n">
        <x:v>1</x:v>
      </x:c>
      <x:c r="N40" s="91" t="str">
        <x:v>Codex + BA</x:v>
      </x:c>
      <x:c r="O40" s="92" t="str">
        <x:v>Retest 2026-07-24 current build: 0 passed, 0 partial, 1 still open, 0 not required. Evidence: evidence/retest_2026-07-24/.</x:v>
      </x:c>
      <x:c r="P40" s="93" t="n">
        <x:v>46227</x:v>
      </x:c>
    </x:row>
    <x:row r="41">
      <x:c r="A41" t="str">
        <x:v>P3-QA-02</x:v>
      </x:c>
      <x:c r="B41" t="str">
        <x:v>Phase 3</x:v>
      </x:c>
      <x:c r="C41" t="str">
        <x:v>Quality</x:v>
      </x:c>
      <x:c r="D41" t="str">
        <x:v>Quality/Defect</x:v>
      </x:c>
      <x:c r="E41" t="str">
        <x:v>Cross-screen synchronization</x:v>
      </x:c>
      <x:c r="F41" t="str">
        <x:v>Defect Schedule/Flow changes match Backlog/Detail; Defect State does not overwrite them</x:v>
      </x:c>
      <x:c r="G41" t="str">
        <x:v>Phase 3/04_Quality_Defect/SRS.md</x:v>
      </x:c>
      <x:c r="H41" t="str">
        <x:v>Quality/Backlog/Detail</x:v>
      </x:c>
      <x:c r="I41" t="str">
        <x:v>P0</x:v>
      </x:c>
      <x:c r="J41" t="n">
        <x:v>37</x:v>
      </x:c>
      <x:c r="K41" t="str">
        <x:v>Confirmed</x:v>
      </x:c>
      <x:c r="L41" t="str">
        <x:v>Match Confirmed</x:v>
      </x:c>
      <x:c r="M41" t="n">
        <x:v>0</x:v>
      </x:c>
      <x:c r="N41" t="str">
        <x:v>Codex + BA</x:v>
      </x:c>
      <x:c r="O41" t="str">
        <x:v>Audit 2026-07-24 (P3-QA-02 retest): PASS / Match. Tested on DE-2. Changing Flow State from the Quality &amp;gt; Defect dashboard (Defined -&amp;gt; In-Progress) mirrored the Detail Schedule State to In-Progress; changing Schedule State on the Detail (In-Progress -&amp;gt; Completed) mirrored Flow State to Completed - two-way mirror confirmed. Defect State stayed Submitted throughout (independent, FR-016). Quality dashboard and Detail stayed consistent across both changes. Positive delta vs the 2026-07-20 E2E-11 finding DEV-020 (07_Test Business tracker) which reported no mirror and missing Idea/Release options: Flow State now offers all 6 values and mirrors both ways. Minor note: mirror recalculates on Save, not live in the unsaved preview. DE-2 reverted to Schedule/Flow = Defined, State = Submitted. Evidence trace: notes/P3-QA-02.md</x:v>
      </x:c>
      <x:c r="P41" t="n">
        <x:v>46227</x:v>
      </x:c>
    </x:row>
  </x:sheetData>
  <x:mergeCells>
    <x:mergeCell ref="A1:P1"/>
    <x:mergeCell ref="A2:P2"/>
  </x:mergeCells>
  <x:conditionalFormatting sqref="K5:K100">
    <x:cfRule type="containsText" dxfId="0" priority="1" operator="containsText" text="Confirmed"/>
    <x:cfRule type="containsText" dxfId="1" priority="2" operator="containsText" text="Waiting BA"/>
    <x:cfRule type="containsText" dxfId="2" priority="3" operator="containsText" text="Blocked"/>
    <x:cfRule type="containsText" dxfId="3" priority="4" operator="containsText" text="In Progress"/>
  </x:conditionalFormatting>
  <x:dataValidations count="2">
    <x:dataValidation type="list" sqref="K5:K100">
      <x:formula1>"Not Started,In Progress,Waiting BA,Confirmed,Blocked,Deferred"</x:formula1>
    </x:dataValidation>
    <x:dataValidation type="list" sqref="L5:L100">
      <x:formula1>"Pending,Match Confirmed,Gap Confirmed,Fix Direction Approved,Accepted Difference"</x:formula1>
    </x:dataValidation>
  </x:dataValidations>
  <x:pageMargins left="0.7" right="0.7" top="0.75" bottom="0.75" header="0.3" footer="0.3"/>
  <x:tableParts count="1">
    <x:tablePart xmlns:r="http://schemas.openxmlformats.org/officeDocument/2006/relationships" r:id="Ra9221887458a49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1" hidden="0" customWidth="1"/>
    <x:col min="4" max="4" width="24" hidden="0" customWidth="1"/>
    <x:col min="5" max="5" width="28" hidden="0" customWidth="1"/>
    <x:col min="6" max="6" width="48" hidden="0" customWidth="1"/>
    <x:col min="7" max="7" width="42" hidden="0" customWidth="1"/>
    <x:col min="8" max="8" width="48" hidden="0" customWidth="1"/>
    <x:col min="9" max="9" width="18" hidden="0" customWidth="1"/>
    <x:col min="10" max="10" width="10" hidden="0" customWidth="1"/>
    <x:col min="11" max="11" width="48" hidden="0" customWidth="1"/>
    <x:col min="12" max="12" width="22" hidden="0" customWidth="1"/>
    <x:col min="13" max="13" width="18" hidden="0" customWidth="1"/>
    <x:col min="14" max="14" width="18" hidden="0" customWidth="1"/>
    <x:col min="15" max="15" width="12" hidden="0" customWidth="1"/>
    <x:col min="16" max="16" width="36" hidden="0" customWidth="1"/>
    <x:col min="17" max="17" width="40" hidden="0" customWidth="1"/>
  </x:cols>
  <x:sheetData>
    <x:row r="1" ht="28" customHeight="1">
      <x:c r="A1" s="94" t="str">
        <x:v>Gap Log and BA Decisions</x:v>
      </x:c>
      <x:c r="B1" s="88"/>
      <x:c r="C1" s="88"/>
      <x:c r="D1" s="88"/>
      <x:c r="E1" s="88"/>
      <x:c r="F1" s="88"/>
      <x:c r="G1" s="88"/>
      <x:c r="H1" s="88"/>
      <x:c r="I1" s="88"/>
      <x:c r="J1" s="88"/>
      <x:c r="K1" s="88"/>
      <x:c r="L1" s="88"/>
      <x:c r="M1" s="88"/>
      <x:c r="N1" s="88"/>
      <x:c r="O1" s="88"/>
      <x:c r="P1" s="88"/>
      <x:c r="Q1" s="88"/>
    </x:row>
    <x:row r="2" ht="32" customHeight="1">
      <x:c r="A2" s="89" t="str">
        <x:v>Current DevInt status columns (Dev Status, Retest, Evidence, Notes) were overwritten by the BA-authorized 2026-07-24 regression. Execution Log preserves prior audit history.</x:v>
      </x:c>
      <x:c r="B2" s="89"/>
      <x:c r="C2" s="89"/>
      <x:c r="D2" s="89"/>
      <x:c r="E2" s="89"/>
      <x:c r="F2" s="89"/>
      <x:c r="G2" s="89"/>
      <x:c r="H2" s="89"/>
      <x:c r="I2" s="89"/>
      <x:c r="J2" s="89"/>
      <x:c r="K2" s="89"/>
      <x:c r="L2" s="89"/>
      <x:c r="M2" s="89"/>
      <x:c r="N2" s="89"/>
      <x:c r="O2" s="89"/>
      <x:c r="P2" s="89"/>
      <x:c r="Q2" s="89"/>
    </x:row>
    <x:row r="3">
      <x:c r="A3" s="90"/>
      <x:c r="B3" s="90"/>
      <x:c r="C3" s="90"/>
      <x:c r="D3" s="90"/>
      <x:c r="E3" s="90"/>
      <x:c r="F3" s="90"/>
      <x:c r="G3" s="90"/>
      <x:c r="H3" s="90"/>
      <x:c r="I3" s="90"/>
      <x:c r="J3" s="90"/>
      <x:c r="K3" s="90"/>
      <x:c r="L3" s="90"/>
      <x:c r="M3" s="90"/>
      <x:c r="N3" s="90"/>
      <x:c r="O3" s="90"/>
      <x:c r="P3" s="90"/>
      <x:c r="Q3" s="90"/>
    </x:row>
    <x:row r="4" ht="34" customHeight="1">
      <x:c r="A4" s="67" t="str">
        <x:v>Gap ID</x:v>
      </x:c>
      <x:c r="B4" s="67" t="str">
        <x:v>Audit ID</x:v>
      </x:c>
      <x:c r="C4" s="67" t="str">
        <x:v>Phase</x:v>
      </x:c>
      <x:c r="D4" s="67" t="str">
        <x:v>Screen</x:v>
      </x:c>
      <x:c r="E4" s="67" t="str">
        <x:v>Function</x:v>
      </x:c>
      <x:c r="F4" s="67" t="str">
        <x:v>Expected Business</x:v>
      </x:c>
      <x:c r="G4" s="67" t="str">
        <x:v>Mockup Behavior</x:v>
      </x:c>
      <x:c r="H4" s="67" t="str">
        <x:v>DevInt Actual</x:v>
      </x:c>
      <x:c r="I4" s="67" t="str">
        <x:v>Gap Category</x:v>
      </x:c>
      <x:c r="J4" s="67" t="str">
        <x:v>Severity</x:v>
      </x:c>
      <x:c r="K4" s="67" t="str">
        <x:v>Recommendation</x:v>
      </x:c>
      <x:c r="L4" s="67" t="str">
        <x:v>BA Decision</x:v>
      </x:c>
      <x:c r="M4" s="67" t="str">
        <x:v>Fix Scope</x:v>
      </x:c>
      <x:c r="N4" s="67" t="str">
        <x:v>Dev Status</x:v>
      </x:c>
      <x:c r="O4" s="67" t="str">
        <x:v>Retest</x:v>
      </x:c>
      <x:c r="P4" s="67" t="str">
        <x:v>Evidence</x:v>
      </x:c>
      <x:c r="Q4" s="67" t="str">
        <x:v>Notes</x:v>
      </x:c>
    </x:row>
    <x:row r="5">
      <x:c r="A5" s="91" t="str">
        <x:v>GAP-P0-AUTH-001</x:v>
      </x:c>
      <x:c r="B5" s="91" t="str">
        <x:v>P0-AUTH-01</x:v>
      </x:c>
      <x:c r="C5" s="91" t="str">
        <x:v>Phase 0</x:v>
      </x:c>
      <x:c r="D5" s="91" t="str">
        <x:v>Login</x:v>
      </x:c>
      <x:c r="E5" s="91" t="str">
        <x:v>Authentication method</x:v>
      </x:c>
      <x:c r="F5" s="92" t="str">
        <x:v>Phase 0 SRS/mockup require local email + password, show/hide password, remember-me and generic invalid-credential handling; enterprise SSO/OAuth is explicitly out of scope.</x:v>
      </x:c>
      <x:c r="G5" s="92" t="str">
        <x:v>Two-panel LoginPage with local email/password fields, show-password toggle, remember-me checkbox and forgot-password placeholder.</x:v>
      </x:c>
      <x:c r="H5" s="92" t="str">
        <x:v>DevInt /login offers only Sign in with Microsoft. It redirects to Microsoft Entra ID and returns to / Home after successful sign-in with hieuvbm@qnsc.vn.</x:v>
      </x:c>
      <x:c r="I5" s="91" t="str">
        <x:v>Business Rule</x:v>
      </x:c>
      <x:c r="J5" s="91" t="str">
        <x:v>P1</x:v>
      </x:c>
      <x:c r="K5" s="92" t="str">
        <x:v>Recommended: make Microsoft SSO the authoritative internal-product rule; update Phase 0 SRS, login mockup and tests to SSO-first, and move local password/forgot/reset/change-password to Future Backlog. If local auth is still required, DevInt must add an explicit local sign-in path.</x:v>
      </x:c>
      <x:c r="L5" s="92" t="str">
        <x:v>Fix Direction Approved</x:v>
      </x:c>
      <x:c r="M5" s="92" t="str">
        <x:v>Business Rule</x:v>
      </x:c>
      <x:c r="N5" s="92" t="str">
        <x:v>Still Open</x:v>
      </x:c>
      <x:c r="O5" s="92" t="str">
        <x:v>Still Open 2026-07-24</x:v>
      </x:c>
      <x:c r="P5" s="92" t="str">
        <x:v>evidence/retest_2026-07-24/P0-AUTH-01-login.png</x:v>
      </x:c>
      <x:c r="Q5" s="92" t="str">
        <x:v>Current build retest 2026-07-24: DevInt login now shows Work email + Continue and Sign in with Microsoft, but still has no local password, show/hide password or remember-me flow required by Phase 0. Email Continue returned No access.</x:v>
      </x:c>
    </x:row>
    <x:row r="6">
      <x:c r="A6" s="90" t="str">
        <x:v>GAP-P0-SHELL-001</x:v>
      </x:c>
      <x:c r="B6" s="90" t="str">
        <x:v>P0-SHELL-01</x:v>
      </x:c>
      <x:c r="C6" s="90" t="str">
        <x:v>Phase 0</x:v>
      </x:c>
      <x:c r="D6" s="90" t="str">
        <x:v>Global navigation</x:v>
      </x:c>
      <x:c r="E6" s="90" t="str">
        <x:v>Top-level Releases</x:v>
      </x:c>
      <x:c r="F6" s="95" t="str">
        <x:v>Confirmed C04 boundary removes Releases from top-level navigation. Phase 3 Release Management lives at Plan &gt; Timeboxes &gt; Releases.</x:v>
      </x:c>
      <x:c r="G6" s="95" t="str">
        <x:v>Current mockup still shows a top-level Releases item, so the mockup itself is stale against the confirmed reconciliation decision.</x:v>
      </x:c>
      <x:c r="H6" s="95" t="str">
        <x:v>DevInt shows a top-level Releases link to /releases.</x:v>
      </x:c>
      <x:c r="I6" s="90" t="str">
        <x:v>Navigation</x:v>
      </x:c>
      <x:c r="J6" s="90" t="str">
        <x:v>P1</x:v>
      </x:c>
      <x:c r="K6" s="95" t="str">
        <x:v>Remove top-level Releases in DevInt. Keep Release create/edit/status under Plan &gt; Timeboxes &gt; Releases. Reconcile Phase 0 SRS, Phase 3 Release SRS and mockup navigation after the full audit.</x:v>
      </x:c>
      <x:c r="L6" s="95" t="str">
        <x:v>Fix Direction Approved</x:v>
      </x:c>
      <x:c r="M6" s="95" t="str">
        <x:v>FE</x:v>
      </x:c>
      <x:c r="N6" s="95" t="str">
        <x:v>Fixed (retest)</x:v>
      </x:c>
      <x:c r="O6" s="95" t="str">
        <x:v>Passed 2026-07-24</x:v>
      </x:c>
      <x:c r="P6" s="95" t="str">
        <x:v>evidence/retest_2026-07-24/P0-SHELL-01-dev.png</x:v>
      </x:c>
      <x:c r="Q6" s="95" t="str">
        <x:v>Current build retest 2026-07-24: DevInt no longer shows top-level Releases; Release remains under Timeboxes per current scope.</x:v>
      </x:c>
    </x:row>
    <x:row r="7">
      <x:c r="A7" s="90" t="str">
        <x:v>GAP-P0-SHELL-002</x:v>
      </x:c>
      <x:c r="B7" s="90" t="str">
        <x:v>P0-SHELL-01</x:v>
      </x:c>
      <x:c r="C7" s="90" t="str">
        <x:v>Phase 0</x:v>
      </x:c>
      <x:c r="D7" s="90" t="str">
        <x:v>Global navigation</x:v>
      </x:c>
      <x:c r="E7" s="90" t="str">
        <x:v>Portfolio menu behavior</x:v>
      </x:c>
      <x:c r="F7" s="95" t="str">
        <x:v>Portfolio is a dropdown containing Release Planning. Release Planning is a Phase 5 placeholder and is not a second Release management source in Phase 0–4.</x:v>
      </x:c>
      <x:c r="G7" s="95" t="str">
        <x:v>Current mockup renders Portfolio as a direct navigation item and therefore has not applied the confirmed C04 navigation change.</x:v>
      </x:c>
      <x:c r="H7" s="95" t="str">
        <x:v>DevInt renders Portfolio as a direct link to /portfolio and has no Release Planning dropdown item.</x:v>
      </x:c>
      <x:c r="I7" s="90" t="str">
        <x:v>Navigation</x:v>
      </x:c>
      <x:c r="J7" s="90" t="str">
        <x:v>P1</x:v>
      </x:c>
      <x:c r="K7" s="95" t="str">
        <x:v>Convert Portfolio to a dropdown and add Release Planning as a Phase 5 entry marked Coming Soon until Phase 5. Do not expose Release create/edit there. Reconcile mockup and navigation documents after the full audit.</x:v>
      </x:c>
      <x:c r="L7" s="95" t="str">
        <x:v>Fix Direction Approved</x:v>
      </x:c>
      <x:c r="M7" s="95" t="str">
        <x:v>FE</x:v>
      </x:c>
      <x:c r="N7" s="95" t="str">
        <x:v>Still Open</x:v>
      </x:c>
      <x:c r="O7" s="95" t="str">
        <x:v>Still Open 2026-07-24</x:v>
      </x:c>
      <x:c r="P7" s="95" t="str">
        <x:v>evidence/retest_2026-07-24/P0-SHELL-01-dev.png; evidence/retest_2026-07-24/P0-SHELL-01-mock.png</x:v>
      </x:c>
      <x:c r="Q7" s="95" t="str">
        <x:v>Current build retest 2026-07-24: DevInt Portfolio is still a direct /portfolio link; mockup uses a Portfolio menu with Release Planning (Phase 5).</x:v>
      </x:c>
    </x:row>
    <x:row r="8">
      <x:c r="A8" s="90" t="str">
        <x:v>GAP-P0-SHELL-003</x:v>
      </x:c>
      <x:c r="B8" s="90" t="str">
        <x:v>P0-SHELL-01</x:v>
      </x:c>
      <x:c r="C8" s="90" t="str">
        <x:v>Phase 0</x:v>
      </x:c>
      <x:c r="D8" s="90" t="str">
        <x:v>Global navigation</x:v>
      </x:c>
      <x:c r="E8" s="90" t="str">
        <x:v>Milestone entry point</x:v>
      </x:c>
      <x:c r="F8" s="95" t="str">
        <x:v>Milestones are managed as a Timebox type at Plan &gt; Timeboxes &gt; Milestones, beside Iterations and Releases.</x:v>
      </x:c>
      <x:c r="G8" s="95" t="str">
        <x:v>Mockup Plan dropdown contains Backlog and Timeboxes; Milestones are selected inside the Timeboxes screen.</x:v>
      </x:c>
      <x:c r="H8" s="95" t="str">
        <x:v>DevInt Plan dropdown exposes a direct Milestones link to /milestones beside Backlog and Timeboxes.</x:v>
      </x:c>
      <x:c r="I8" s="90" t="str">
        <x:v>Navigation</x:v>
      </x:c>
      <x:c r="J8" s="90" t="str">
        <x:v>P1</x:v>
      </x:c>
      <x:c r="K8" s="95" t="str">
        <x:v>Remove the direct Plan &gt; Milestones child. Make the Timeboxes screen present Iterations, Releases and Milestones using the approved mockup pattern; each type remains accessible there.</x:v>
      </x:c>
      <x:c r="L8" s="95" t="str">
        <x:v>Fix Direction Approved</x:v>
      </x:c>
      <x:c r="M8" s="95" t="str">
        <x:v>FE</x:v>
      </x:c>
      <x:c r="N8" s="95" t="str">
        <x:v>Fixed (retest)</x:v>
      </x:c>
      <x:c r="O8" s="95" t="str">
        <x:v>Passed 2026-07-24</x:v>
      </x:c>
      <x:c r="P8" s="95" t="str">
        <x:v>evidence/retest_2026-07-24/P0-SHELL-01-dev.png</x:v>
      </x:c>
      <x:c r="Q8" s="95" t="str">
        <x:v>Current build retest 2026-07-24: Milestone access is provided from Timeboxes; no incorrect top-level Milestone entry.</x:v>
      </x:c>
    </x:row>
    <x:row r="9">
      <x:c r="A9" s="90" t="str">
        <x:v>GAP-P0-SHELL-004</x:v>
      </x:c>
      <x:c r="B9" s="90" t="str">
        <x:v>P0-SHELL-01</x:v>
      </x:c>
      <x:c r="C9" s="90" t="str">
        <x:v>Phase 0</x:v>
      </x:c>
      <x:c r="D9" s="90" t="str">
        <x:v>Global navigation</x:v>
      </x:c>
      <x:c r="E9" s="90" t="str">
        <x:v>Iteration Status label</x:v>
      </x:c>
      <x:c r="F9" s="95" t="str">
        <x:v>Track dropdown uses the explicit child label Iteration Status; Team Status remains the other current Track child and Team Board is future backlog.</x:v>
      </x:c>
      <x:c r="G9" s="95" t="str">
        <x:v>Mockup uses Track &gt; Iteration Status and Track &gt; Team status.</x:v>
      </x:c>
      <x:c r="H9" s="95" t="str">
        <x:v>DevInt uses Track &gt; Iteration and Track &gt; Team Status. No Team Board item is present.</x:v>
      </x:c>
      <x:c r="I9" s="90" t="str">
        <x:v>UI/UX</x:v>
      </x:c>
      <x:c r="J9" s="90" t="str">
        <x:v>P2</x:v>
      </x:c>
      <x:c r="K9" s="95" t="str">
        <x:v>Rename the DevInt Track child from Iteration to Iteration Status. Keep Team Status and continue excluding Team Board.</x:v>
      </x:c>
      <x:c r="L9" s="95" t="str">
        <x:v>Fix Direction Approved</x:v>
      </x:c>
      <x:c r="M9" s="95" t="str">
        <x:v>FE</x:v>
      </x:c>
      <x:c r="N9" s="95" t="str">
        <x:v>Still Open</x:v>
      </x:c>
      <x:c r="O9" s="95" t="str">
        <x:v>Still Open 2026-07-24</x:v>
      </x:c>
      <x:c r="P9" s="95" t="str">
        <x:v>evidence/retest_2026-07-24/P0-SHELL-01-dev.png; evidence/retest_2026-07-24/P0-SHELL-01-mock.png</x:v>
      </x:c>
      <x:c r="Q9" s="95" t="str">
        <x:v>Current build retest 2026-07-24: DevInt Track menu label remains Iteration; mockup requires Iteration Status.</x:v>
      </x:c>
    </x:row>
    <x:row r="10">
      <x:c r="A10" s="90" t="str">
        <x:v>GAP-P0-SHELL-005</x:v>
      </x:c>
      <x:c r="B10" s="90" t="str">
        <x:v>P0-SHELL-02</x:v>
      </x:c>
      <x:c r="C10" s="90" t="str">
        <x:v>Phase 0</x:v>
      </x:c>
      <x:c r="D10" s="90" t="str">
        <x:v>Workspace context</x:v>
      </x:c>
      <x:c r="E10" s="90" t="str">
        <x:v>Positive Team-scope test data</x:v>
      </x:c>
      <x:c r="F10" s="95" t="str">
        <x:v>Selecting a Team limits scoped pages to that Team, while All Teams is the union of Work Items within the current Project only.</x:v>
      </x:c>
      <x:c r="G10" s="95" t="str">
        <x:v>Mockup includes team-linked Work Items and an expandable Company &gt; Project &gt; Team selector suitable for demonstrating both Team and All Teams scopes.</x:v>
      </x:c>
      <x:c r="H10" s="95" t="str">
        <x:v>DevInt Project switching and All Teams work: NXP All Teams returned 12 items and MOB All Teams returned 10 different project records. Team Alpha and Team Beta each returned 0 items, so the positive Team inclusion path cannot yet be verified.</x:v>
      </x:c>
      <x:c r="I10" s="90" t="str">
        <x:v>Data</x:v>
      </x:c>
      <x:c r="J10" s="90" t="str">
        <x:v>P2</x:v>
      </x:c>
      <x:c r="K10" s="95" t="str">
        <x:v>During Phase 1 Work Item create testing, create one DEVINT-AUDIT item linked to Team Alpha. Retest that it appears in NXP / Team Alpha and NXP / All Teams, and does not appear in MOB or another Team. No schema change is required; only controlled DevInt test data or the existing create flow is needed.</x:v>
      </x:c>
      <x:c r="L10" s="95" t="str">
        <x:v>Gap Confirmed</x:v>
      </x:c>
      <x:c r="M10" s="95" t="str">
        <x:v>Data / Config</x:v>
      </x:c>
      <x:c r="N10" s="95" t="str">
        <x:v>Fixed (retest)</x:v>
      </x:c>
      <x:c r="O10" s="95" t="str">
        <x:v>Passed 2026-07-24</x:v>
      </x:c>
      <x:c r="P10" s="95" t="str">
        <x:v>evidence/retest_2026-07-24/P0-SHELL-02-team-scope.png</x:v>
      </x:c>
      <x:c r="Q10" s="95" t="str">
        <x:v>Current build retest 2026-07-24: Team context filters backlog: All Teams shows 14 items and Team Alpha shows 11 items; context header updates.</x:v>
      </x:c>
    </x:row>
    <x:row r="11">
      <x:c r="A11" s="90" t="str">
        <x:v>GAP-P0-SHELL-006</x:v>
      </x:c>
      <x:c r="B11" s="90" t="str">
        <x:v>P0-SHELL-03</x:v>
      </x:c>
      <x:c r="C11" s="90" t="str">
        <x:v>Phase 0</x:v>
      </x:c>
      <x:c r="D11" s="90" t="str">
        <x:v>Global Search</x:v>
      </x:c>
      <x:c r="E11" s="90" t="str">
        <x:v>Functional search scope</x:v>
      </x:c>
      <x:c r="F11" s="95" t="str">
        <x:v>Phase 0 App Shell SRS SHELL-FR-009 allows Global Search to be contract-only; a later functional search should return permitted Work Items and preserve identity when opening a result.</x:v>
      </x:c>
      <x:c r="G11" s="95" t="str">
        <x:v>Mockup renders the Search all work items input without search behavior; screen traceability explicitly marks it as an input that does not search.</x:v>
      </x:c>
      <x:c r="H11" s="95" t="str">
        <x:v>DevInt renders the input and accepts text, but DE-1, Enter, and DEVINT-NO-MATCH-999 produced no overlay, results, empty state, or route change.</x:v>
      </x:c>
      <x:c r="I11" s="90" t="str">
        <x:v>Scope / Documentation</x:v>
      </x:c>
      <x:c r="J11" s="90" t="str">
        <x:v>P2</x:v>
      </x:c>
      <x:c r="K11" s="95" t="str">
        <x:v>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x:v>
      </x:c>
      <x:c r="L11" s="95" t="str">
        <x:v>Future Backlog Approved</x:v>
      </x:c>
      <x:c r="M11" s="95" t="str">
        <x:v>Future Backlog</x:v>
      </x:c>
      <x:c r="N11" s="95" t="str">
        <x:v>Future Backlog</x:v>
      </x:c>
      <x:c r="O11" s="95" t="str">
        <x:v>Future Backlog 2026-07-24</x:v>
      </x:c>
      <x:c r="P11" s="95" t="str">
        <x:v>evidence/retest_2026-07-24/P0-SHELL-01-dev.png</x:v>
      </x:c>
      <x:c r="Q11" s="95" t="str">
        <x:v>Current build retest 2026-07-24: Global Search remains visual-only/non-functional, consistent with Future Backlog scope. BA confirmed 2026-07-24: move this item to Future Backlog; not part of current dev fix package.</x:v>
      </x:c>
    </x:row>
    <x:row r="12">
      <x:c r="A12" s="90" t="str">
        <x:v>GAP-P0-WS-001</x:v>
      </x:c>
      <x:c r="B12" s="90" t="str">
        <x:v>P0-WS-01</x:v>
      </x:c>
      <x:c r="C12" s="90" t="str">
        <x:v>Phase 0</x:v>
      </x:c>
      <x:c r="D12" s="90" t="str">
        <x:v>Workspace identity</x:v>
      </x:c>
      <x:c r="E12" s="90" t="str">
        <x:v>User-facing terminology</x:v>
      </x:c>
      <x:c r="F12" s="95" t="str">
        <x:v>The single tenant is presented consistently as Workspace in all user-facing UI.</x:v>
      </x:c>
      <x:c r="G12" s="95" t="str">
        <x:v>Mockup mixes Company / Workspace in the selector with Workspace Settings and Workspace Admin in Settings.</x:v>
      </x:c>
      <x:c r="H12" s="95" t="str">
        <x:v>DevInt mixes Organization in the selector with Workspace Settings, Workspace admin and Workspace name in Settings.</x:v>
      </x:c>
      <x:c r="I12" s="90" t="str">
        <x:v>Business Rule / UI Copy</x:v>
      </x:c>
      <x:c r="J12" s="90" t="str">
        <x:v>P2</x:v>
      </x:c>
      <x:c r="K12" s="95" t="str">
        <x:v>Standardize all user-facing labels to Workspace: Workspace selector/root, Workspace Settings, Workspace name and Workspace Admin. Replace DevInt Organization and mockup/SRS Company or Company / Workspace wording. Reconcile SRS and mockup after the full audit.</x:v>
      </x:c>
      <x:c r="L12" s="95" t="str">
        <x:v>Fix Direction Approved</x:v>
      </x:c>
      <x:c r="M12" s="95" t="str">
        <x:v>Business Rule / FE / Docs</x:v>
      </x:c>
      <x:c r="N12" s="95" t="str">
        <x:v>Fixed (retest)</x:v>
      </x:c>
      <x:c r="O12" s="95" t="str">
        <x:v>Passed 2026-07-24</x:v>
      </x:c>
      <x:c r="P12" s="95" t="str">
        <x:v>evidence/retest_2026-07-24/P0-WS-01-dev.png</x:v>
      </x:c>
      <x:c r="Q12" s="95" t="str">
        <x:v>Current build retest 2026-07-24: DevInt consistently uses Workspace terminology in Settings: Workspace, Workspace Settings, Slug, Workspace admin.</x:v>
      </x:c>
    </x:row>
    <x:row r="13">
      <x:c r="A13" s="90" t="str">
        <x:v>GAP-P0-WS-002</x:v>
      </x:c>
      <x:c r="B13" s="90" t="str">
        <x:v>P0-WS-01</x:v>
      </x:c>
      <x:c r="C13" s="90" t="str">
        <x:v>Phase 0</x:v>
      </x:c>
      <x:c r="D13" s="90" t="str">
        <x:v>Workspace identity</x:v>
      </x:c>
      <x:c r="E13" s="90" t="str">
        <x:v>Company display-name editability</x:v>
      </x:c>
      <x:c r="F13" s="95" t="str">
        <x:v>BA-confirmed rule: Workspace Admin may edit Workspace name, while users still cannot create, switch, archive or delete Workspaces in the MVP.</x:v>
      </x:c>
      <x:c r="G13" s="95" t="str">
        <x:v>Mockup does not expose a functioning Workspace Settings form; its sidebar button remains on Profile &amp; Account.</x:v>
      </x:c>
      <x:c r="H13" s="95" t="str">
        <x:v>DevInt Workspace Settings exposes an enabled required Workspace name textbox containing ACME Corp and a Save changes button.</x:v>
      </x:c>
      <x:c r="I13" s="90" t="str">
        <x:v>Business Rule</x:v>
      </x:c>
      <x:c r="J13" s="90" t="str">
        <x:v>P1</x:v>
      </x:c>
      <x:c r="K13" s="95" t="str">
        <x:v>Keep DevInt Workspace name editing. Reconcile SRS and mockup to allow Workspace Admin rename, with required-name validation, authorization, save feedback and audit-event acceptance criteria.</x:v>
      </x:c>
      <x:c r="L13" s="95" t="str">
        <x:v>Docs Change Approved / Future Backlog</x:v>
      </x:c>
      <x:c r="M13" s="95" t="str">
        <x:v>Future Backlog</x:v>
      </x:c>
      <x:c r="N13" s="95" t="str">
        <x:v>Future Backlog</x:v>
      </x:c>
      <x:c r="O13" s="95" t="str">
        <x:v>Future Backlog 2026-07-24</x:v>
      </x:c>
      <x:c r="P13" s="95" t="str">
        <x:v>evidence/retest_2026-07-24/P0-WS-01-dev.png</x:v>
      </x:c>
      <x:c r="Q13" s="95" t="str">
        <x:v>Current build retest 2026-07-24: Workspace name is editable; separate Company/Environment CRUD is not required by confirmed business scope. BA confirmed 2026-07-24: move this item to Future Backlog; not part of current dev fix package.</x:v>
      </x:c>
    </x:row>
    <x:row r="14">
      <x:c r="A14" s="90" t="str">
        <x:v>GAP-P0-PRJ-001</x:v>
      </x:c>
      <x:c r="B14" s="90" t="str">
        <x:v>P0-PRJ-01</x:v>
      </x:c>
      <x:c r="C14" s="90" t="str">
        <x:v>Phase 0</x:v>
      </x:c>
      <x:c r="D14" s="90" t="str">
        <x:v>Manage Projects</x:v>
      </x:c>
      <x:c r="E14" s="90" t="str">
        <x:v>Screen and owner labels</x:v>
      </x:c>
      <x:c r="F14" s="95" t="str">
        <x:v>The administrative list is named Manage Projects and the responsible person is consistently labeled Owner.</x:v>
      </x:c>
      <x:c r="G14" s="95" t="str">
        <x:v>Mockup uses Manage Projects and Owner.</x:v>
      </x:c>
      <x:c r="H14" s="95" t="str">
        <x:v>DevInt uses Projects and Lead.</x:v>
      </x:c>
      <x:c r="I14" s="90" t="str">
        <x:v>UI Copy</x:v>
      </x:c>
      <x:c r="J14" s="90" t="str">
        <x:v>P2</x:v>
      </x:c>
      <x:c r="K14" s="95" t="str">
        <x:v>Rename the DevInt heading/breadcrumb entry to Manage Projects where it represents the administration screen, and rename Lead to Owner. Keep the underlying route and stable identity unchanged.</x:v>
      </x:c>
      <x:c r="L14" s="95" t="str">
        <x:v>DevInt Accepted / Future Backlog</x:v>
      </x:c>
      <x:c r="M14" s="95" t="str">
        <x:v>Future Backlog</x:v>
      </x:c>
      <x:c r="N14" s="95" t="str">
        <x:v>Future Backlog</x:v>
      </x:c>
      <x:c r="O14" s="95" t="str">
        <x:v>Future Backlog 2026-07-24</x:v>
      </x:c>
      <x:c r="P14" s="95" t="str">
        <x:v>evidence/retest_2026-07-24/P0-PRJ-01-list.png</x:v>
      </x:c>
      <x:c r="Q14" s="95" t="str">
        <x:v>Current build retest 2026-07-24: Projects heading remains as-is per BA acceptance; Owner label is consistent. BA confirmed 2026-07-24: move this item to Future Backlog; not part of current dev fix package.</x:v>
      </x:c>
    </x:row>
    <x:row r="15">
      <x:c r="A15" s="90" t="str">
        <x:v>GAP-P0-PRJ-002</x:v>
      </x:c>
      <x:c r="B15" s="90" t="str">
        <x:v>P0-PRJ-01</x:v>
      </x:c>
      <x:c r="C15" s="90" t="str">
        <x:v>Phase 0</x:v>
      </x:c>
      <x:c r="D15" s="90" t="str">
        <x:v>Manage Projects</x:v>
      </x:c>
      <x:c r="E15" s="90" t="str">
        <x:v>Start Date column</x:v>
      </x:c>
      <x:c r="F15" s="95" t="str">
        <x:v>Project rows expose Start Date in addition to stable key/name, status, owner, member/team aggregates and updated time.</x:v>
      </x:c>
      <x:c r="G15" s="95" t="str">
        <x:v>Mockup and SRS field mapping show Start Date.</x:v>
      </x:c>
      <x:c r="H15" s="95" t="str">
        <x:v>DevInt omits Start Date; it shows Key, Project Name, Status, Lead, Members, Teams count, Last Updated and row actions.</x:v>
      </x:c>
      <x:c r="I15" s="90" t="str">
        <x:v>Functional Display</x:v>
      </x:c>
      <x:c r="J15" s="90" t="str">
        <x:v>P1</x:v>
      </x:c>
      <x:c r="K15" s="95" t="str">
        <x:v>Add the Start Date column using the existing list data contract. Keep member/team aggregates and row actions.</x:v>
      </x:c>
      <x:c r="L15" s="95" t="str">
        <x:v>Fix Direction Approved</x:v>
      </x:c>
      <x:c r="M15" s="95" t="str">
        <x:v>FE</x:v>
      </x:c>
      <x:c r="N15" s="95" t="str">
        <x:v>Fixed (retest)</x:v>
      </x:c>
      <x:c r="O15" s="95" t="str">
        <x:v>Passed 2026-07-24</x:v>
      </x:c>
      <x:c r="P15" s="95" t="str">
        <x:v>evidence/retest_2026-07-24/P0-PRJ-01-list.png</x:v>
      </x:c>
      <x:c r="Q15" s="95" t="str">
        <x:v>Current build retest 2026-07-24: Projects list exposes Start Date column.</x:v>
      </x:c>
    </x:row>
    <x:row r="16">
      <x:c r="A16" s="90" t="str">
        <x:v>GAP-P0-PRJ-003</x:v>
      </x:c>
      <x:c r="B16" s="90" t="str">
        <x:v>P0-PRJ-01</x:v>
      </x:c>
      <x:c r="C16" s="90" t="str">
        <x:v>Phase 0</x:v>
      </x:c>
      <x:c r="D16" s="90" t="str">
        <x:v>Manage Projects</x:v>
      </x:c>
      <x:c r="E16" s="90" t="str">
        <x:v>Linked Team display coverage</x:v>
      </x:c>
      <x:c r="F16" s="95" t="str">
        <x:v>A Project row should reflect its linked Teams according to approved business and mockup behavior.</x:v>
      </x:c>
      <x:c r="G16" s="95" t="str">
        <x:v>Mockup shows linked Team names/badges and +N overflow.</x:v>
      </x:c>
      <x:c r="H16" s="95" t="str">
        <x:v>Controlled Project AUD719 is linked to Team Alpha and the row shows count 1, but BA determined Team code is not finished and the display cannot yet be confirmed.</x:v>
      </x:c>
      <x:c r="I16" s="90" t="str">
        <x:v>Dependency / Test Coverage</x:v>
      </x:c>
      <x:c r="J16" s="90" t="str">
        <x:v>P2</x:v>
      </x:c>
      <x:c r="K16" s="95" t="str">
        <x:v>Retest linked Team display after dev finishes Team code. Then compare Team names/badges and +N overflow against mockup/SRS. Do not hand off this as a confirmed Project-list defect before retest.</x:v>
      </x:c>
      <x:c r="L16" s="95" t="str">
        <x:v>Not Tested</x:v>
      </x:c>
      <x:c r="M16" s="95" t="str">
        <x:v>FE Dependency</x:v>
      </x:c>
      <x:c r="N16" s="95" t="str">
        <x:v>Fixed (retest)</x:v>
      </x:c>
      <x:c r="O16" s="95" t="str">
        <x:v>Passed 2026-07-24</x:v>
      </x:c>
      <x:c r="P16" s="95" t="str">
        <x:v>evidence/retest_2026-07-24/P0-PRJ-01-list.png</x:v>
      </x:c>
      <x:c r="Q16" s="95" t="str">
        <x:v>Current build retest 2026-07-24: NXP row displays linked Team Alpha and linked-team count is reflected.</x:v>
      </x:c>
    </x:row>
    <x:row r="17">
      <x:c r="A17" s="90" t="str">
        <x:v>GAP-P0-PRJ-004</x:v>
      </x:c>
      <x:c r="B17" s="90" t="str">
        <x:v>P0-PRJ-02</x:v>
      </x:c>
      <x:c r="C17" s="90" t="str">
        <x:v>Phase 0</x:v>
      </x:c>
      <x:c r="D17" s="90" t="str">
        <x:v>Create Project</x:v>
      </x:c>
      <x:c r="E17" s="90" t="str">
        <x:v>Project Name validation</x:v>
      </x:c>
      <x:c r="F17" s="95" t="str">
        <x:v>Project Name is required, trimmed and 2-255 characters before submission.</x:v>
      </x:c>
      <x:c r="G17" s="95" t="str">
        <x:v>Mockup marks Project name required; SRS specifies 2-255 characters.</x:v>
      </x:c>
      <x:c r="H17" s="95" t="str">
        <x:v>DevInt enabled Create Project with a one-character name A when the key was valid; no one-character Project was submitted.</x:v>
      </x:c>
      <x:c r="I17" s="90" t="str">
        <x:v>Validation</x:v>
      </x:c>
      <x:c r="J17" s="90" t="str">
        <x:v>P1</x:v>
      </x:c>
      <x:c r="K17" s="95" t="str">
        <x:v>Add client-side trim and 2-255 validation with inline feedback; keep Create disabled until valid and retain server-side validation.</x:v>
      </x:c>
      <x:c r="L17" s="95" t="str">
        <x:v>Fix Direction Approved</x:v>
      </x:c>
      <x:c r="M17" s="95" t="str">
        <x:v>FE</x:v>
      </x:c>
      <x:c r="N17" s="95" t="str">
        <x:v>Still Open</x:v>
      </x:c>
      <x:c r="O17" s="95" t="str">
        <x:v>Still Open 2026-07-24</x:v>
      </x:c>
      <x:c r="P17" s="95" t="str">
        <x:v>evidence/retest_2026-07-24/P0-PRJ-02-create-validation.png</x:v>
      </x:c>
      <x:c r="Q17" s="95" t="str">
        <x:v>Current build retest 2026-07-24: Create Project becomes enabled with one-character Project Name A.</x:v>
      </x:c>
    </x:row>
    <x:row r="18">
      <x:c r="A18" s="90" t="str">
        <x:v>GAP-P0-PRJ-005</x:v>
      </x:c>
      <x:c r="B18" s="90" t="str">
        <x:v>P0-PRJ-02</x:v>
      </x:c>
      <x:c r="C18" s="90" t="str">
        <x:v>Phase 0</x:v>
      </x:c>
      <x:c r="D18" s="90" t="str">
        <x:v>Create Project</x:v>
      </x:c>
      <x:c r="E18" s="90" t="str">
        <x:v>Project Key rule</x:v>
      </x:c>
      <x:c r="F18" s="95" t="str">
        <x:v>Current SRS defines immutable Project Key as 2-10 uppercase A-Z/0-9 characters.</x:v>
      </x:c>
      <x:c r="G18" s="95" t="str">
        <x:v>Mockup exposes a required Project key; SRS is the validation source.</x:v>
      </x:c>
      <x:c r="H18" s="95" t="str">
        <x:v>DevInt uppercases and strips invalid characters, accepts digits, but truncates at 6 characters and displays helper text 2-6 uppercase letters. AUD719 was accepted and created.</x:v>
      </x:c>
      <x:c r="I18" s="90" t="str">
        <x:v>Business Rule / Validation</x:v>
      </x:c>
      <x:c r="J18" s="90" t="str">
        <x:v>P1</x:v>
      </x:c>
      <x:c r="K18" s="95" t="str">
        <x:v>Align DevInt validation and helper copy to 2-10 uppercase alphanumeric characters, preserving immutable-after-create behavior.</x:v>
      </x:c>
      <x:c r="L18" s="95" t="str">
        <x:v>Fix Direction Approved</x:v>
      </x:c>
      <x:c r="M18" s="95" t="str">
        <x:v>Business Rule / FE / Docs</x:v>
      </x:c>
      <x:c r="N18" s="95" t="str">
        <x:v>Partial (retest)</x:v>
      </x:c>
      <x:c r="O18" s="95" t="str">
        <x:v>Partial 2026-07-24</x:v>
      </x:c>
      <x:c r="P18" s="95" t="str">
        <x:v>evidence/retest_2026-07-24/P0-PRJ-02-create-validation.png</x:v>
      </x:c>
      <x:c r="Q18" s="95" t="str">
        <x:v>Current build retest 2026-07-24: Functional key input accepts 10 uppercase alphanumeric characters, but helper text still incorrectly says 2–6 letters.</x:v>
      </x:c>
    </x:row>
    <x:row r="19">
      <x:c r="A19" s="90" t="str">
        <x:v>GAP-P0-PRJ-006</x:v>
      </x:c>
      <x:c r="B19" s="90" t="str">
        <x:v>P0-PRJ-02</x:v>
      </x:c>
      <x:c r="C19" s="90" t="str">
        <x:v>Phase 0</x:v>
      </x:c>
      <x:c r="D19" s="90" t="str">
        <x:v>Create Project</x:v>
      </x:c>
      <x:c r="E19" s="90" t="str">
        <x:v>Start Date persistence coverage</x:v>
      </x:c>
      <x:c r="F19" s="95" t="str">
        <x:v>Optional Start Date can be entered and persists on Create/Edit when provided.</x:v>
      </x:c>
      <x:c r="G19" s="95" t="str">
        <x:v>Mockup exposes Start date and the SRS maps startDate as optional ISO date.</x:v>
      </x:c>
      <x:c r="H19" s="95" t="str">
        <x:v>The date field rendered, but automated entry was inconclusive: Create proceeded without a date; an Edit fill showed 2026-07-19 before Save, but reopening showed blank. Native segmented date input could not be reliably controlled in this run.</x:v>
      </x:c>
      <x:c r="I19" s="90" t="str">
        <x:v>Test Coverage</x:v>
      </x:c>
      <x:c r="J19" s="90" t="str">
        <x:v>P2</x:v>
      </x:c>
      <x:c r="K19" s="95" t="str">
        <x:v>Retest manually through the visible date picker or with an agreed automation method. Do not report a persistence defect until a user-entered date also fails to persist.</x:v>
      </x:c>
      <x:c r="L19" s="95" t="str">
        <x:v>Not Tested</x:v>
      </x:c>
      <x:c r="M19" s="95" t="str">
        <x:v>Test / FE</x:v>
      </x:c>
      <x:c r="N19" s="95" t="str">
        <x:v>Fixed (retest)</x:v>
      </x:c>
      <x:c r="O19" s="95" t="str">
        <x:v>Passed 2026-07-24</x:v>
      </x:c>
      <x:c r="P19" s="95" t="str">
        <x:v>evidence/retest_2026-07-24/P0-PRJ-01-list.png</x:v>
      </x:c>
      <x:c r="Q19" s="95" t="str">
        <x:v>Current build retest 2026-07-24: Edited MOB Start Date to 2026-07-24, saved successfully, and the list persisted/displayed the date.</x:v>
      </x:c>
    </x:row>
    <x:row r="20">
      <x:c r="A20" s="90" t="str">
        <x:v>GAP-P0-PRJ-007</x:v>
      </x:c>
      <x:c r="B20" s="90" t="str">
        <x:v>P0-PRJ-02</x:v>
      </x:c>
      <x:c r="C20" s="90" t="str">
        <x:v>Phase 0</x:v>
      </x:c>
      <x:c r="D20" s="90" t="str">
        <x:v>Manage Projects</x:v>
      </x:c>
      <x:c r="E20" s="90" t="str">
        <x:v>Edit action on the last visible row</x:v>
      </x:c>
      <x:c r="F20" s="95" t="str">
        <x:v>The row action menu and Edit Project entry remain fully visible and usable for every Project row, including the last visible row near the lower viewport boundary.</x:v>
      </x:c>
      <x:c r="G20" s="95" t="str">
        <x:v>The mockup keeps row actions accessible; an edge-positioned menu should remain inside the viewport or flip above its trigger.</x:v>
      </x:c>
      <x:c r="H20" s="95" t="str">
        <x:v>On DevInt, opening the action/Edit control for bottom row AUD719 causes the menu/action surface to be clipped by the lower table/viewport boundary.</x:v>
      </x:c>
      <x:c r="I20" s="90" t="str">
        <x:v>UI / UX</x:v>
      </x:c>
      <x:c r="J20" s="90" t="str">
        <x:v>P1</x:v>
      </x:c>
      <x:c r="K20" s="95" t="str">
        <x:v>Render the row-action popup in a body-level portal with collision-aware placement. Flip it above the trigger when there is insufficient space below; avoid clipping by table overflow, preserve z-index and keep Edit keyboard-accessible.</x:v>
      </x:c>
      <x:c r="L20" s="95" t="str">
        <x:v>Gap Confirmed</x:v>
      </x:c>
      <x:c r="M20" s="95" t="str">
        <x:v>FE</x:v>
      </x:c>
      <x:c r="N20" s="95" t="str">
        <x:v>Fixed (retest)</x:v>
      </x:c>
      <x:c r="O20" s="95" t="str">
        <x:v>Passed 2026-07-24</x:v>
      </x:c>
      <x:c r="P20" s="95" t="str">
        <x:v>evidence/retest_2026-07-24/P0-PRJ-01-list.png</x:v>
      </x:c>
      <x:c r="Q20" s="95" t="str">
        <x:v>Current build retest 2026-07-24: Bottom-row Edit project menu is fully visible (bottom 364px within 775px viewport) and usable.</x:v>
      </x:c>
    </x:row>
    <x:row r="21">
      <x:c r="A21" s="90" t="str">
        <x:v>GAP-P0-PRJ-008</x:v>
      </x:c>
      <x:c r="B21" s="90" t="str">
        <x:v>P0-PRJ-03</x:v>
      </x:c>
      <x:c r="C21" s="90" t="str">
        <x:v>Phase 0</x:v>
      </x:c>
      <x:c r="D21" s="90" t="str">
        <x:v>Manage Projects</x:v>
      </x:c>
      <x:c r="E21" s="90" t="str">
        <x:v>Edit affordance for an archived Project</x:v>
      </x:c>
      <x:c r="F21" s="95" t="str">
        <x:v>An archived Project is read-only. Its row exposes Restore, not an editable form or Save action.</x:v>
      </x:c>
      <x:c r="G21" s="95" t="str">
        <x:v>The mockup renders only Restore for an Archived Project; the SRS requires archived read-only behavior.</x:v>
      </x:c>
      <x:c r="H21" s="95" t="str">
        <x:v>DevInt still exposes Edit project and opens a normal Edit Project form for AUD719. Save is correctly rejected by the backend with an archived/read-only message.</x:v>
      </x:c>
      <x:c r="I21" s="90" t="str">
        <x:v>UI / UX</x:v>
      </x:c>
      <x:c r="J21" s="90" t="str">
        <x:v>P2</x:v>
      </x:c>
      <x:c r="K21" s="95" t="str">
        <x:v>Hide Edit for archived rows and expose only Restore. If an archived detail route is opened directly, present a read-only banner and disabled fields while retaining the existing backend guard.</x:v>
      </x:c>
      <x:c r="L21" s="95" t="str">
        <x:v>Accepted As-Is / Future Backlog</x:v>
      </x:c>
      <x:c r="M21" s="95" t="str">
        <x:v>Future Backlog</x:v>
      </x:c>
      <x:c r="N21" s="95" t="str">
        <x:v>Future Backlog</x:v>
      </x:c>
      <x:c r="O21" s="95" t="str">
        <x:v>Future Backlog 2026-07-24</x:v>
      </x:c>
      <x:c r="P21" s="95" t="str">
        <x:v>evidence/retest_2026-07-24/P0-PRJ-01-list.png</x:v>
      </x:c>
      <x:c r="Q21" s="95" t="str">
        <x:v>Current build retest 2026-07-24: Archived Project edit affordance remains accepted as-is; no retest mutation required. BA confirmed 2026-07-24: move this item to Future Backlog; not part of current dev fix package.</x:v>
      </x:c>
    </x:row>
    <x:row r="22">
      <x:c r="A22" s="90" t="str">
        <x:v>GAP-P0-PRJ-009</x:v>
      </x:c>
      <x:c r="B22" s="90" t="str">
        <x:v>P0-PRJ-03</x:v>
      </x:c>
      <x:c r="C22" s="90" t="str">
        <x:v>Phase 0</x:v>
      </x:c>
      <x:c r="D22" s="90" t="str">
        <x:v>Manage Projects</x:v>
      </x:c>
      <x:c r="E22" s="90" t="str">
        <x:v>Restore confirmation behavior</x:v>
      </x:c>
      <x:c r="F22" s="95" t="str">
        <x:v>Restore behavior follows the BA-approved interaction contract before changing an archived Project back to Active.</x:v>
      </x:c>
      <x:c r="G22" s="95" t="str">
        <x:v>The mockup opens a Restore confirmation explaining that the Project returns to active selectors and becomes manageable again.</x:v>
      </x:c>
      <x:c r="H22" s="95" t="str">
        <x:v>DevInt restores AUD719 immediately from the row action with no confirmation dialog; counts, Active filter and selector update correctly.</x:v>
      </x:c>
      <x:c r="I22" s="90" t="str">
        <x:v>Business Rule / UI</x:v>
      </x:c>
      <x:c r="J22" s="90" t="str">
        <x:v>P2</x:v>
      </x:c>
      <x:c r="K22" s="95" t="str">
        <x:v>Recommended: follow the mockup and require a simple Restore confirmation dialog. No typed key is needed because Restore is reversible.</x:v>
      </x:c>
      <x:c r="L22" s="95" t="str">
        <x:v>Accepted As-Is / Future Backlog</x:v>
      </x:c>
      <x:c r="M22" s="95" t="str">
        <x:v>Future Backlog</x:v>
      </x:c>
      <x:c r="N22" s="95" t="str">
        <x:v>Future Backlog</x:v>
      </x:c>
      <x:c r="O22" s="95" t="str">
        <x:v>Future Backlog 2026-07-24</x:v>
      </x:c>
      <x:c r="P22" s="95" t="str">
        <x:v>evidence/retest_2026-07-24/P0-PRJ-01-list.png</x:v>
      </x:c>
      <x:c r="Q22" s="95" t="str">
        <x:v>Current build retest 2026-07-24: Restore without confirmation remains accepted as-is. BA confirmed 2026-07-24: move this item to Future Backlog; not part of current dev fix package.</x:v>
      </x:c>
    </x:row>
    <x:row r="23">
      <x:c r="A23" s="90" t="str">
        <x:v>GAP-P0-PRJ-010</x:v>
      </x:c>
      <x:c r="B23" s="90" t="str">
        <x:v>P0-PRJ-03</x:v>
      </x:c>
      <x:c r="C23" s="90" t="str">
        <x:v>Phase 0</x:v>
      </x:c>
      <x:c r="D23" s="90" t="str">
        <x:v>Manage Projects</x:v>
      </x:c>
      <x:c r="E23" s="90" t="str">
        <x:v>Archive confirmation parity</x:v>
      </x:c>
      <x:c r="F23" s="95" t="str">
        <x:v>Archive warns about impact and requires the Project key/name before the destructive state change.</x:v>
      </x:c>
      <x:c r="G23" s="95" t="str">
        <x:v>The mockup has an Archive confirmation but does not currently require typed key/name confirmation.</x:v>
      </x:c>
      <x:c r="H23" s="95" t="str">
        <x:v>DevInt requires typing AUD719, lists the read-only/visibility effects, disables Archive until the key matches, and archives successfully.</x:v>
      </x:c>
      <x:c r="I23" s="90" t="str">
        <x:v>Mockup / Documentation</x:v>
      </x:c>
      <x:c r="J23" s="90" t="str">
        <x:v>P2</x:v>
      </x:c>
      <x:c r="K23" s="95" t="str">
        <x:v>Keep the stronger DevInt typed-key Archive flow because it matches the SRS. Update the mockup to require the Project key and keep the same impact copy.</x:v>
      </x:c>
      <x:c r="L23" s="95" t="str">
        <x:v>DevInt Accepted / Future Backlog</x:v>
      </x:c>
      <x:c r="M23" s="95" t="str">
        <x:v>Future Backlog</x:v>
      </x:c>
      <x:c r="N23" s="95" t="str">
        <x:v>Future Backlog</x:v>
      </x:c>
      <x:c r="O23" s="95" t="str">
        <x:v>Future Backlog 2026-07-24</x:v>
      </x:c>
      <x:c r="P23" s="95" t="str">
        <x:v>evidence/retest_2026-07-24/P0-PRJ-01-list.png</x:v>
      </x:c>
      <x:c r="Q23" s="95" t="str">
        <x:v>Current build retest 2026-07-24: Archive confirmation parity was already accepted; no destructive archive rerun needed. BA confirmed 2026-07-24: move this item to Future Backlog; not part of current dev fix package.</x:v>
      </x:c>
    </x:row>
    <x:row r="24">
      <x:c r="A24" s="90" t="str">
        <x:v>GAP-P1-USER-001</x:v>
      </x:c>
      <x:c r="B24" s="90" t="str">
        <x:v>P1-USER-01</x:v>
      </x:c>
      <x:c r="C24" s="90" t="str">
        <x:v>Phase 1</x:v>
      </x:c>
      <x:c r="D24" s="90" t="str">
        <x:v>User Management</x:v>
      </x:c>
      <x:c r="E24" s="90" t="str">
        <x:v>User list columns</x:v>
      </x:c>
      <x:c r="F24" s="95" t="str">
        <x:v>The Users list shows User, Email, Workspace Role, Status, Teams and Last Login. Phone and Joined may remain in User detail but are not replacements for Email or Teams in the list.</x:v>
      </x:c>
      <x:c r="G24" s="95" t="str">
        <x:v>Mockup shows Name, Email, Phone number, Role, Status and Last Login; it is also missing Teams compared with the SRS.</x:v>
      </x:c>
      <x:c r="H24" s="95" t="str">
        <x:v>DevInt shows Member, Phone, Role, Status, Last Login and Joined. Email and Teams are not visible in the list; every visible Phone value is dash.</x:v>
      </x:c>
      <x:c r="I24" s="90" t="str">
        <x:v>Business / UI</x:v>
      </x:c>
      <x:c r="J24" s="90" t="str">
        <x:v>P1</x:v>
      </x:c>
      <x:c r="K24" s="95" t="str">
        <x:v>Align both DevInt and mockup to the SRS list contract: User, Email, Workspace Role, Status, Teams, Last Login. Keep Phone and Joined in detail only if useful.</x:v>
      </x:c>
      <x:c r="L24" s="95" t="str">
        <x:v>Fix Direction Approved</x:v>
      </x:c>
      <x:c r="M24" s="95" t="str">
        <x:v>FE / Mockup / Docs</x:v>
      </x:c>
      <x:c r="N24" s="95" t="str">
        <x:v>Fixed (retest)</x:v>
      </x:c>
      <x:c r="O24" s="95" t="str">
        <x:v>Passed 2026-07-24</x:v>
      </x:c>
      <x:c r="P24" s="95" t="str">
        <x:v>evidence/retest_2026-07-24/P1-USER-01-list-edit.png</x:v>
      </x:c>
      <x:c r="Q24" s="95" t="str">
        <x:v>Current build retest 2026-07-24: User list now shows User, Email, Role, Status, Teams and Last Login.</x:v>
      </x:c>
    </x:row>
    <x:row r="25">
      <x:c r="A25" s="90" t="str">
        <x:v>GAP-P1-USER-002</x:v>
      </x:c>
      <x:c r="B25" s="90" t="str">
        <x:v>P1-USER-01</x:v>
      </x:c>
      <x:c r="C25" s="90" t="str">
        <x:v>Phase 1</x:v>
      </x:c>
      <x:c r="D25" s="90" t="str">
        <x:v>User Management</x:v>
      </x:c>
      <x:c r="E25" s="90" t="str">
        <x:v>Search and filters</x:v>
      </x:c>
      <x:c r="F25" s="95" t="str">
        <x:v>Users can search by name, email or workspace role, filter by Role, and filter Status with All/Active/Deactive. Invited remains a list value without a dedicated status chip.</x:v>
      </x:c>
      <x:c r="G25" s="95" t="str">
        <x:v>Mockup has search and Role filter but no Status filter, so it is only partially aligned with the SRS.</x:v>
      </x:c>
      <x:c r="H25" s="95" t="str">
        <x:v>DevInt has no local User search, Role filter or Status filter.</x:v>
      </x:c>
      <x:c r="I25" s="90" t="str">
        <x:v>Functional</x:v>
      </x:c>
      <x:c r="J25" s="90" t="str">
        <x:v>P1</x:v>
      </x:c>
      <x:c r="K25" s="95" t="str">
        <x:v>Add search, Role filter and All/Active/Deactive Status filter to DevInt; add the missing Status filter to the mockup and test combined filter behavior.</x:v>
      </x:c>
      <x:c r="L25" s="95" t="str">
        <x:v>Fix Direction Approved</x:v>
      </x:c>
      <x:c r="M25" s="95" t="str">
        <x:v>FE / Mockup</x:v>
      </x:c>
      <x:c r="N25" s="95" t="str">
        <x:v>Fixed (retest)</x:v>
      </x:c>
      <x:c r="O25" s="95" t="str">
        <x:v>Passed 2026-07-24</x:v>
      </x:c>
      <x:c r="P25" s="95" t="str">
        <x:v>evidence/retest_2026-07-24/P1-USER-01-list-edit.png</x:v>
      </x:c>
      <x:c r="Q25" s="95" t="str">
        <x:v>Current build retest 2026-07-24: Search by user name works; Role and Status filters expose the required catalogs including Active/Deactive.</x:v>
      </x:c>
    </x:row>
    <x:row r="26">
      <x:c r="A26" s="90" t="str">
        <x:v>GAP-P1-USER-003</x:v>
      </x:c>
      <x:c r="B26" s="90" t="str">
        <x:v>P1-USER-01</x:v>
      </x:c>
      <x:c r="C26" s="90" t="str">
        <x:v>Phase 1</x:v>
      </x:c>
      <x:c r="D26" s="90" t="str">
        <x:v>User Management</x:v>
      </x:c>
      <x:c r="E26" s="90" t="str">
        <x:v>Edit User flow</x:v>
      </x:c>
      <x:c r="F26" s="95" t="str">
        <x:v>Workspace Admin can edit an existing User through the approved mockup/SRS flow, including the permitted user fields and Team membership behavior.</x:v>
      </x:c>
      <x:c r="G26" s="95" t="str">
        <x:v>The approved mockup/SRS defines the target Edit User interaction; the current Settings mockup still contains a competing read-only User Details surface that must be reconciled.</x:v>
      </x:c>
      <x:c r="H26" s="95" t="str">
        <x:v>DevInt opens a read-only Member details dialog and edits Role inline in the list instead of following the approved Edit User flow.</x:v>
      </x:c>
      <x:c r="I26" s="90" t="str">
        <x:v>Functional / Business</x:v>
      </x:c>
      <x:c r="J26" s="90" t="str">
        <x:v>P0</x:v>
      </x:c>
      <x:c r="K26" s="95" t="str">
        <x:v>Implement Edit User according to the approved mockup/SRS and remove or reconcile the competing read-only/inline-only edit model.</x:v>
      </x:c>
      <x:c r="L26" s="95" t="str">
        <x:v>Fix Direction Approved</x:v>
      </x:c>
      <x:c r="M26" s="95" t="str">
        <x:v>FE / Mockup / Docs</x:v>
      </x:c>
      <x:c r="N26" s="95" t="str">
        <x:v>Fixed (retest)</x:v>
      </x:c>
      <x:c r="O26" s="95" t="str">
        <x:v>Passed 2026-07-24</x:v>
      </x:c>
      <x:c r="P26" s="95" t="str">
        <x:v>evidence/retest_2026-07-24/P1-USER-01-list-edit.png</x:v>
      </x:c>
      <x:c r="Q26" s="95" t="str">
        <x:v>Current build retest 2026-07-24: Clicking a user opens editable Edit User dialog with Workspace Role, Status rules and Teams.</x:v>
      </x:c>
    </x:row>
    <x:row r="27">
      <x:c r="A27" s="90" t="str">
        <x:v>GAP-P1-USER-004</x:v>
      </x:c>
      <x:c r="B27" s="90" t="str">
        <x:v>P1-USER-01</x:v>
      </x:c>
      <x:c r="C27" s="90" t="str">
        <x:v>Phase 4</x:v>
      </x:c>
      <x:c r="D27" s="90" t="str">
        <x:v>User Management</x:v>
      </x:c>
      <x:c r="E27" s="90" t="str">
        <x:v>Workspace role catalog</x:v>
      </x:c>
      <x:c r="F27" s="95" t="str">
        <x:v>One approved Workspace Role catalog is used consistently by list, filters, Invite/Edit, permissions and documentation.</x:v>
      </x:c>
      <x:c r="G27" s="95" t="str">
        <x:v>Settings mockup exposes only Workspace Admin, Project Admin and Project Member. Current SRS lists Workspace Admin, Project Manager, Product Owner, Developer, Tester and Viewer.</x:v>
      </x:c>
      <x:c r="H27" s="95" t="str">
        <x:v>DevInt exposes Project Member, Project Viewer, Workspace Member, Scrum Master, Product Owner, Developer, QA Engineer, Project Admin and Workspace Admin; some rows also show no role.</x:v>
      </x:c>
      <x:c r="I27" s="90" t="str">
        <x:v>Business Rule</x:v>
      </x:c>
      <x:c r="J27" s="90" t="str">
        <x:v>P0</x:v>
      </x:c>
      <x:c r="K27" s="95" t="str">
        <x:v>Defer role-catalog reconciliation and permission validation to the Phase 4 Roles &amp; Permissions audit. Do not use this Phase 1 checkpoint to approve or reject the role list.</x:v>
      </x:c>
      <x:c r="L27" s="95" t="str">
        <x:v>Not Tested</x:v>
      </x:c>
      <x:c r="M27" s="95" t="str">
        <x:v>Phase 4 / RBAC</x:v>
      </x:c>
      <x:c r="N27" s="95" t="str">
        <x:v>Blocked</x:v>
      </x:c>
      <x:c r="O27" s="95" t="str">
        <x:v>Not Run</x:v>
      </x:c>
      <x:c r="P27" s="95" t="str">
        <x:v>notes/P1-USER-01.md</x:v>
      </x:c>
      <x:c r="Q27" s="95" t="str">
        <x:v>BA classified this point as Phase 4 and NOT TESTED on 2026-07-19.</x:v>
      </x:c>
    </x:row>
    <x:row r="28">
      <x:c r="A28" s="90" t="str">
        <x:v>GAP-P1-USER-005</x:v>
      </x:c>
      <x:c r="B28" s="90" t="str">
        <x:v>P1-USER-01</x:v>
      </x:c>
      <x:c r="C28" s="90" t="str">
        <x:v>Phase 1</x:v>
      </x:c>
      <x:c r="D28" s="90" t="str">
        <x:v>User Management</x:v>
      </x:c>
      <x:c r="E28" s="90" t="str">
        <x:v>Duplicate workspace member row</x:v>
      </x:c>
      <x:c r="F28" s="95" t="str">
        <x:v>Each workspace membership/account appears once in the User list; duplicate visible identity must be distinguishable or deduplicated.</x:v>
      </x:c>
      <x:c r="G28" s="95" t="str">
        <x:v>Mockup sample data has unique User rows.</x:v>
      </x:c>
      <x:c r="H28" s="95" t="str">
        <x:v>DevInt shows two identical Admin User rows. Opening each resolves to the same email admin@acme.dev with the same role, status, login and joined data.</x:v>
      </x:c>
      <x:c r="I28" s="90" t="str">
        <x:v>Data / API</x:v>
      </x:c>
      <x:c r="J28" s="90" t="str">
        <x:v>P1</x:v>
      </x:c>
      <x:c r="K28" s="95" t="str">
        <x:v>Dev team should inspect the User Management API response and workspace-membership mapping, remove duplicate response rows or clean duplicate test membership data, and add a uniqueness regression test. No schema change is requested by BA.</x:v>
      </x:c>
      <x:c r="L28" s="95" t="str">
        <x:v>Confirmed</x:v>
      </x:c>
      <x:c r="M28" s="95" t="str">
        <x:v>Dev / Data</x:v>
      </x:c>
      <x:c r="N28" s="95" t="str">
        <x:v>Fixed (retest)</x:v>
      </x:c>
      <x:c r="O28" s="95" t="str">
        <x:v>Passed 2026-07-24</x:v>
      </x:c>
      <x:c r="P28" s="95" t="str">
        <x:v>evidence/retest_2026-07-24/P1-USER-01-list-edit.png</x:v>
      </x:c>
      <x:c r="Q28" s="95" t="str">
        <x:v>Current build retest 2026-07-24: Each of the 9 visible workspace users is unique; duplicate Admin User row is resolved.</x:v>
      </x:c>
    </x:row>
    <x:row r="29">
      <x:c r="A29" s="90" t="str">
        <x:v>GAP-P1-USER-006</x:v>
      </x:c>
      <x:c r="B29" s="90" t="str">
        <x:v>P1-USER-01</x:v>
      </x:c>
      <x:c r="C29" s="90" t="str">
        <x:v>Phase 1</x:v>
      </x:c>
      <x:c r="D29" s="90" t="str">
        <x:v>User Management</x:v>
      </x:c>
      <x:c r="E29" s="90" t="str">
        <x:v>Invite User flow</x:v>
      </x:c>
      <x:c r="F29" s="95" t="str">
        <x:v>Workspace Admin can invite a User. Invite UI is allowed to follow Dev design as long as it supports business validation: email, role selection, and later invitation delivery/status behavior. Actual sending/delivery is deferred for later test.</x:v>
      </x:c>
      <x:c r="G29" s="95" t="str">
        <x:v>Mockup currently exposes Invite User but does not open a detailed flow; BA will supplement SRS/mockup with the minimum Invite business contract instead of forcing DevInt to copy the mockup interaction.</x:v>
      </x:c>
      <x:c r="H29" s="95" t="str">
        <x:v>Current build retest 2026-07-24: DevInt Invite member opens an Invite a new member dialog with Email address, Role, Send invitation and Cancel. Actual Send invitation was not executed to avoid an external invite side effect.</x:v>
      </x:c>
      <x:c r="I29" s="90" t="str">
        <x:v>Deferred Test / BA Documentation</x:v>
      </x:c>
      <x:c r="J29" s="90" t="str">
        <x:v>P1</x:v>
      </x:c>
      <x:c r="K29" s="95" t="str">
        <x:v>Do not treat Invite UI as a current DevInt failure. BA to document the minimum invite contract; Dev to complete/own the detailed Invite flow design. Retest later for validation, delivery, invited status, resend/expire behavior if in scope.</x:v>
      </x:c>
      <x:c r="L29" s="95" t="str">
        <x:v>Deferred / Test Later</x:v>
      </x:c>
      <x:c r="M29" s="95" t="str">
        <x:v>BA Docs / Dev Design / Future Test</x:v>
      </x:c>
      <x:c r="N29" s="95" t="str">
        <x:v>Deferred (not tested)</x:v>
      </x:c>
      <x:c r="O29" s="95" t="str">
        <x:v>Not Tested 2026-07-24</x:v>
      </x:c>
      <x:c r="P29" s="95" t="str">
        <x:v>evidence/retest_2026-07-24/P1-USER-01-invite.png</x:v>
      </x:c>
      <x:c r="Q29" s="95" t="str">
        <x:v>BA confirmed 2026-07-24: Invite flow is dev-designed and not a strict mockup-match requirement. Current dialog exists, but send/delivery was intentionally not tested.</x:v>
      </x:c>
    </x:row>
    <x:row r="30">
      <x:c r="A30" s="90" t="str">
        <x:v>GAP-P1-BL-001</x:v>
      </x:c>
      <x:c r="B30" s="90" t="str">
        <x:v>P1-BL-01</x:v>
      </x:c>
      <x:c r="C30" s="90" t="str">
        <x:v>Phase 1</x:v>
      </x:c>
      <x:c r="D30" s="90" t="str">
        <x:v>Backlog</x:v>
      </x:c>
      <x:c r="E30" s="90" t="str">
        <x:v>Audit correction - filter execution</x:v>
      </x:c>
      <x:c r="F30" s="95" t="str">
        <x:v>Backlog search/filter clearing must behave like a normal user action: after text is cleared, the full scoped backlog list returns without requiring page reload. Search text must fully clear with standard keyboard interactions and not leave stale partial values.</x:v>
      </x:c>
      <x:c r="G30" s="95" t="str">
        <x:v>Mockup filters/search are expected to clear through normal user interaction and restore scoped rows.</x:v>
      </x:c>
      <x:c r="H30" s="95" t="str">
        <x:v>Current build retest 2026-07-24: Searching filters rows, but clearing the Backlog search sometimes leaves stale partial text (e.g. long audit title remains partially, or US- remains), keeping rows filtered until stronger repeated actions or page reload. This is now reopened by BA as a current gap.</x:v>
      </x:c>
      <x:c r="I30" s="90" t="str">
        <x:v>Functional / Search / UX</x:v>
      </x:c>
      <x:c r="J30" s="90" t="str">
        <x:v>P1</x:v>
      </x:c>
      <x:c r="K30" s="95" t="str">
        <x:v>Dev must fix Backlog search clear behavior so Control+A/Delete, Backspace, clear button if present, blur and normal clearing all reset the value and restore the scoped list without reload. Add regression for long text and ID-prefix searches.</x:v>
      </x:c>
      <x:c r="L30" s="95" t="str">
        <x:v>Fix Direction Approved</x:v>
      </x:c>
      <x:c r="M30" s="95" t="str">
        <x:v>FE</x:v>
      </x:c>
      <x:c r="N30" s="95" t="str">
        <x:v>Still Open</x:v>
      </x:c>
      <x:c r="O30" s="95" t="str">
        <x:v>Still Open 2026-07-24</x:v>
      </x:c>
      <x:c r="P30" s="95" t="str">
        <x:v>evidence/retest_2026-07-24/P1-BL-01-list-states.png</x:v>
      </x:c>
      <x:c r="Q30" s="95" t="str">
        <x:v>BA confirmed 2026-07-24: reopen this gap. Search clear must work reliably; page reload is not acceptable as the user recovery path.</x:v>
      </x:c>
    </x:row>
    <x:row r="31">
      <x:c r="A31" s="90" t="str">
        <x:v>GAP-P1-BL-002</x:v>
      </x:c>
      <x:c r="B31" s="90" t="str">
        <x:v>P1-BL-01</x:v>
      </x:c>
      <x:c r="C31" s="90" t="str">
        <x:v>Phase 1</x:v>
      </x:c>
      <x:c r="D31" s="90" t="str">
        <x:v>Backlog</x:v>
      </x:c>
      <x:c r="E31" s="90" t="str">
        <x:v>Priority filter availability</x:v>
      </x:c>
      <x:c r="F31" s="95" t="str">
        <x:v>Backlog supports Priority filtering for Defects using Low, Normal, High, Urgent and None; Story priority remains dash and is not treated as a Story value.</x:v>
      </x:c>
      <x:c r="G31" s="95" t="str">
        <x:v>Mockup Manage Filters includes Priority and the SRS explicitly maps a Priority filter for Defects.</x:v>
      </x:c>
      <x:c r="H31" s="95" t="str">
        <x:v>DevInt displays Priority as a column but its Filters panel has no Priority filter.</x:v>
      </x:c>
      <x:c r="I31" s="90" t="str">
        <x:v>Functional / UI</x:v>
      </x:c>
      <x:c r="J31" s="90" t="str">
        <x:v>P1</x:v>
      </x:c>
      <x:c r="K31" s="95" t="str">
        <x:v>Add Priority to DevInt Filters with the approved Defect-only values and clear behavior. Include it in combined filter testing.</x:v>
      </x:c>
      <x:c r="L31" s="95" t="str">
        <x:v>Fix Direction Approved</x:v>
      </x:c>
      <x:c r="M31" s="95" t="str">
        <x:v>FE</x:v>
      </x:c>
      <x:c r="N31" s="95" t="str">
        <x:v>Still Open</x:v>
      </x:c>
      <x:c r="O31" s="95" t="str">
        <x:v>Still Open 2026-07-24</x:v>
      </x:c>
      <x:c r="P31" s="95" t="str">
        <x:v>evidence/retest_2026-07-24/P1-BL-01-list-states.png</x:v>
      </x:c>
      <x:c r="Q31" s="95" t="str">
        <x:v>Current build retest 2026-07-24: Filters expose Type, State, Owner, Release and Iteration; Priority filter is still absent.</x:v>
      </x:c>
    </x:row>
    <x:row r="32">
      <x:c r="A32" s="90" t="str">
        <x:v>GAP-P1-BL-003</x:v>
      </x:c>
      <x:c r="B32" s="90" t="str">
        <x:v>P1-BL-01</x:v>
      </x:c>
      <x:c r="C32" s="90" t="str">
        <x:v>Phase 1</x:v>
      </x:c>
      <x:c r="D32" s="90" t="str">
        <x:v>Backlog</x:v>
      </x:c>
      <x:c r="E32" s="90" t="str">
        <x:v>Pagination total consistency</x:v>
      </x:c>
      <x:c r="F32" s="95" t="str">
        <x:v>Changing rows per page changes only page boundaries; the scoped Backlog total and membership remain the same for page sizes 10, 25, 50 and 100.</x:v>
      </x:c>
      <x:c r="G32" s="95" t="str">
        <x:v>Mockup/SRS provide 10/25/50/100 pagination over one stable total.</x:v>
      </x:c>
      <x:c r="H32" s="95" t="str">
        <x:v>On the same clean NXP / All Teams Backlog, page size 10 showed 1-10 on Page 1 and 11-19 on Page 2. Switching back to page size 25 showed only 1-12 on Page 1 with Next disabled. The mismatch reproduced twice.</x:v>
      </x:c>
      <x:c r="I32" s="90" t="str">
        <x:v>Functional / Data</x:v>
      </x:c>
      <x:c r="J32" s="90" t="str">
        <x:v>P0</x:v>
      </x:c>
      <x:c r="K32" s="95" t="str">
        <x:v>Fix server pagination/count or FE request/cache handling so total is independent of pageSize. Add an API/FE regression asserting identical item IDs and total across 10 and 25 page sizes.</x:v>
      </x:c>
      <x:c r="L32" s="95" t="str">
        <x:v>Gap Confirmed</x:v>
      </x:c>
      <x:c r="M32" s="95" t="str">
        <x:v>FE / API</x:v>
      </x:c>
      <x:c r="N32" s="95" t="str">
        <x:v>Fixed (retest)</x:v>
      </x:c>
      <x:c r="O32" s="95" t="str">
        <x:v>Passed 2026-07-24</x:v>
      </x:c>
      <x:c r="P32" s="95" t="str">
        <x:v>evidence/retest_2026-07-24/P1-BL-01-list-states.png</x:v>
      </x:c>
      <x:c r="Q32" s="95" t="str">
        <x:v>Current build retest 2026-07-24: Team Alpha total remained 11 when switching 25 rows/page to 10 (1–10, 11–11) and back to 25 (1–11).</x:v>
      </x:c>
    </x:row>
    <x:row r="33">
      <x:c r="A33" s="90" t="str">
        <x:v>GAP-P1-BL-004</x:v>
      </x:c>
      <x:c r="B33" s="90" t="str">
        <x:v>P1-BL-01</x:v>
      </x:c>
      <x:c r="C33" s="90" t="str">
        <x:v>Phase 1</x:v>
      </x:c>
      <x:c r="D33" s="90" t="str">
        <x:v>Backlog</x:v>
      </x:c>
      <x:c r="E33" s="90" t="str">
        <x:v>Column sort controls</x:v>
      </x:c>
      <x:c r="F33" s="95" t="str">
        <x:v>Backlog headers expose approved sortable columns. Header sort must work for the expected columns and must not mutate rank/position data; rank remains default ordering when no sort is active.</x:v>
      </x:c>
      <x:c r="G33" s="95" t="str">
        <x:v>Mockup renders sortable headers for Rank, Type/ID/Name/Priority/Estimate/Owner/Schedule State/Iteration/Release per the approved Backlog table behavior.</x:v>
      </x:c>
      <x:c r="H33" s="95" t="str">
        <x:v>Current build retest 2026-07-24: visible evidence clearly exposes Sort by rank only; other Backlog headers do not show clear sortable affordance/aria behavior in the current UI inspection. BA confirmed expectation: headers should be sortable.</x:v>
      </x:c>
      <x:c r="I33" s="90" t="str">
        <x:v>Functional / UI / Sorting</x:v>
      </x:c>
      <x:c r="J33" s="90" t="str">
        <x:v>P1</x:v>
      </x:c>
      <x:c r="K33" s="95" t="str">
        <x:v>Dev must implement or expose header sort for the approved sortable Backlog columns, with visible affordance and stable behavior. Sorting must be read-only and must not change persisted rank/order.</x:v>
      </x:c>
      <x:c r="L33" s="95" t="str">
        <x:v>Fix Direction Approved</x:v>
      </x:c>
      <x:c r="M33" s="95" t="str">
        <x:v>FE</x:v>
      </x:c>
      <x:c r="N33" s="95" t="str">
        <x:v>Still Open</x:v>
      </x:c>
      <x:c r="O33" s="95" t="str">
        <x:v>Still Open 2026-07-24</x:v>
      </x:c>
      <x:c r="P33" s="95" t="str">
        <x:v>evidence/retest_2026-07-24/P1-BL-01-list-states.png</x:v>
      </x:c>
      <x:c r="Q33" s="95" t="str">
        <x:v>BA confirmed 2026-07-24: reopen this gap. Expectation is header sort works, not Rank-only sorting.</x:v>
      </x:c>
    </x:row>
    <x:row r="34">
      <x:c r="A34" s="90" t="str">
        <x:v>GAP-P1-BL-005</x:v>
      </x:c>
      <x:c r="B34" s="90" t="str">
        <x:v>P1-BL-01</x:v>
      </x:c>
      <x:c r="C34" s="90" t="str">
        <x:v>Phase 1</x:v>
      </x:c>
      <x:c r="D34" s="90" t="str">
        <x:v>Backlog</x:v>
      </x:c>
      <x:c r="E34" s="90" t="str">
        <x:v>Flow State and Schedule State presentation</x:v>
      </x:c>
      <x:c r="F34" s="95" t="str">
        <x:v>Every Work Item exposes two distinct fields using the same six-state catalog: Schedule State is a six-box segmented control; Flow State is a dropdown. Both use Idea, Defined, In-Progress, Completed, Accepted, Release and follow the confirmed synchronized-value rule for now.</x:v>
      </x:c>
      <x:c r="G34" s="95" t="str">
        <x:v>Current mockup/SRS is stale for this point: it presents Schedule State as a dropdown and does not clearly show Flow State as a dropdown. BA must update mockup/SRS to Schedule State = six boxes and Flow State = dropdown.</x:v>
      </x:c>
      <x:c r="H34" s="95" t="str">
        <x:v>DevInt renders Schedule State as six segmented boxes and Flow State as a dropdown, using the approved six-state catalog. This matches the corrected BA business rule confirmed on 2026-07-24.</x:v>
      </x:c>
      <x:c r="I34" s="90" t="str">
        <x:v>BA Reconciliation</x:v>
      </x:c>
      <x:c r="J34" s="90" t="str">
        <x:v>P1</x:v>
      </x:c>
      <x:c r="K34" s="95" t="str">
        <x:v>No Dev fix required for state-control placement based on corrected BA rule. BA must update mockup/SRS so Schedule State is the six-box control and Flow State is the dropdown; preserve synchronized-value rule until separately changed.</x:v>
      </x:c>
      <x:c r="L34" s="95" t="str">
        <x:v>BA Update Required</x:v>
      </x:c>
      <x:c r="M34" s="95" t="str">
        <x:v>Mockup / Docs</x:v>
      </x:c>
      <x:c r="N34" s="95" t="str">
        <x:v>Passed (BA update)</x:v>
      </x:c>
      <x:c r="O34" s="95" t="str">
        <x:v>Passed 2026-07-24</x:v>
      </x:c>
      <x:c r="P34" s="95" t="str">
        <x:v>Live browser retest: DevInt Backlog vs local mockup on 2026-07-24</x:v>
      </x:c>
      <x:c r="Q34" s="95" t="str">
        <x:v>BA confirmed: business truth is Schedule State = six boxes, Flow State = dropdown. DevInt is correct; BA mockup/SRS must be reconciled.</x:v>
      </x:c>
    </x:row>
    <x:row r="35">
      <x:c r="A35" s="90" t="str">
        <x:v>GAP-P1-BL-006</x:v>
      </x:c>
      <x:c r="B35" s="90" t="str">
        <x:v>P1-BL-01</x:v>
      </x:c>
      <x:c r="C35" s="90" t="str">
        <x:v>Phase 1</x:v>
      </x:c>
      <x:c r="D35" s="90" t="str">
        <x:v>Backlog</x:v>
      </x:c>
      <x:c r="E35" s="90" t="str">
        <x:v>Filter configuration model</x:v>
      </x:c>
      <x:c r="F35" s="95" t="str">
        <x:v>Backlog uses the accepted fixed DevInt filter panel for the current delivery, with Priority added as the one approved current-scope filter; optional configurable filters remain Future Backlog.</x:v>
      </x:c>
      <x:c r="G35" s="95" t="str">
        <x:v>Mockup uses Show/Hide filter, Manage Filters, selectable fields, removable filter cards and Clear filters. It can add ID, Name, Type, Priority, Est, Owner, Schedule State, Iteration and Release.</x:v>
      </x:c>
      <x:c r="H35" s="95" t="str">
        <x:v>DevInt uses one fixed Filters panel with Type, Schedule State, Owner, Release and Iteration. It has no Manage Filters, removable cards or Clear filters action.</x:v>
      </x:c>
      <x:c r="I35" s="90" t="str">
        <x:v>Business / UI</x:v>
      </x:c>
      <x:c r="J35" s="90" t="str">
        <x:v>P1</x:v>
      </x:c>
      <x:c r="K35" s="95" t="str">
        <x:v>Keep the DevInt fixed filter panel. Reconcile the mockup/document wording to allow this accepted model. Record Manage Filters and any additional configurable filter fields in Future Backlog; track Priority separately as the approved current fix.</x:v>
      </x:c>
      <x:c r="L35" s="95" t="str">
        <x:v>Accepted As-Is / Future Backlog</x:v>
      </x:c>
      <x:c r="M35" s="95" t="str">
        <x:v>Future Backlog</x:v>
      </x:c>
      <x:c r="N35" s="95" t="str">
        <x:v>Future Backlog</x:v>
      </x:c>
      <x:c r="O35" s="95" t="str">
        <x:v>Future Backlog 2026-07-24</x:v>
      </x:c>
      <x:c r="P35" s="95" t="str">
        <x:v>evidence/retest_2026-07-24/P1-BL-01-list-states.png</x:v>
      </x:c>
      <x:c r="Q35" s="95" t="str">
        <x:v>Current build retest 2026-07-24: Fixed DevInt filter panel remains the accepted current delivery model. BA confirmed 2026-07-24: move this item to Future Backlog; not part of current dev fix package.</x:v>
      </x:c>
    </x:row>
    <x:row r="36">
      <x:c r="A36" s="90" t="str">
        <x:v>GAP-P1-BL-007</x:v>
      </x:c>
      <x:c r="B36" s="90" t="str">
        <x:v>P1-BL-02</x:v>
      </x:c>
      <x:c r="C36" s="90" t="str">
        <x:v>Phase 1</x:v>
      </x:c>
      <x:c r="D36" s="90" t="str">
        <x:v>Backlog</x:v>
      </x:c>
      <x:c r="E36" s="90" t="str">
        <x:v>Inline Plan Estimate autosave</x:v>
      </x:c>
      <x:c r="F36" s="95" t="str">
        <x:v>Changing an inline editable field updates the same Work Item once, persists after reload and can be restored without changing its identity or rank.</x:v>
      </x:c>
      <x:c r="G36" s="95" t="str">
        <x:v>Mockup exposes Plan Estimate as an inline spinbutton and immediately reflects the entered value.</x:v>
      </x:c>
      <x:c r="H36" s="95" t="str">
        <x:v>On DevInt US-7, Plan Estimate changed from 5 to 6 after leaving the field and remained 6 after reload. It was then restored to 5 and remained 5 after a second reload.</x:v>
      </x:c>
      <x:c r="I36" s="90" t="str">
        <x:v>Functional</x:v>
      </x:c>
      <x:c r="J36" s="90" t="str">
        <x:v>P0</x:v>
      </x:c>
      <x:c r="K36" s="95" t="str">
        <x:v>No change required for verified Plan Estimate autosave. Reuse a controlled audit Work Item to regression-test the remaining editable fields after P1-CREATE-01.</x:v>
      </x:c>
      <x:c r="L36" s="95" t="str">
        <x:v>Match Confirmed</x:v>
      </x:c>
      <x:c r="M36" s="95" t="str">
        <x:v>No Change Required</x:v>
      </x:c>
      <x:c r="N36" s="95" t="str">
        <x:v>Fixed (retest)</x:v>
      </x:c>
      <x:c r="O36" s="95" t="str">
        <x:v>Passed 2026-07-24</x:v>
      </x:c>
      <x:c r="P36" s="95" t="str">
        <x:v>evidence/retest_2026-07-24/P1-BL-01-list-states.png</x:v>
      </x:c>
      <x:c r="Q36" s="95" t="str">
        <x:v>Current build retest 2026-07-24: Inline Plan Estimate changed 3→4, persisted after reload, then was restored to 3.</x:v>
      </x:c>
    </x:row>
    <x:row r="37">
      <x:c r="A37" s="90" t="str">
        <x:v>GAP-P1-BL-008</x:v>
      </x:c>
      <x:c r="B37" s="90" t="str">
        <x:v>P1-BL-02</x:v>
      </x:c>
      <x:c r="C37" s="90" t="str">
        <x:v>Phase 1</x:v>
      </x:c>
      <x:c r="D37" s="90" t="str">
        <x:v>Backlog</x:v>
      </x:c>
      <x:c r="E37" s="90" t="str">
        <x:v>Rank persistence and restore</x:v>
      </x:c>
      <x:c r="F37" s="95" t="str">
        <x:v>Rank changes only reorder Work Items in the current Backlog scope, persist after reload and do not mutate Work Item identity or field values.</x:v>
      </x:c>
      <x:c r="G37" s="95" t="str">
        <x:v>Mockup provides Move up/Move down controls and displays stable rank numbers.</x:v>
      </x:c>
      <x:c r="H37" s="95" t="str">
        <x:v>DevInt drag handle moved DE-4 above DE-1; the order persisted after reload. Dragging DE-1 back restored the original DE-1, DE-4, DE-5 order, which also persisted after reload.</x:v>
      </x:c>
      <x:c r="I37" s="90" t="str">
        <x:v>Functional</x:v>
      </x:c>
      <x:c r="J37" s="90" t="str">
        <x:v>P0</x:v>
      </x:c>
      <x:c r="K37" s="95" t="str">
        <x:v>No data-integrity fix is required from this execution. Retest rank using the controlled item created in P1-CREATE-01 and under a Team scope when Team test data becomes available.</x:v>
      </x:c>
      <x:c r="L37" s="95" t="str">
        <x:v>Future Backlog Approved</x:v>
      </x:c>
      <x:c r="M37" s="95" t="str">
        <x:v>Future Backlog</x:v>
      </x:c>
      <x:c r="N37" s="95" t="str">
        <x:v>Future Backlog</x:v>
      </x:c>
      <x:c r="O37" s="95" t="str">
        <x:v>Future Backlog 2026-07-24</x:v>
      </x:c>
      <x:c r="P37" s="95" t="str">
        <x:v>evidence/retest_2026-07-24/P1-BL-01-list-states.png</x:v>
      </x:c>
      <x:c r="Q37" s="95" t="str">
        <x:v>Current build retest 2026-07-24: Rank persistence remains an already confirmed match; no reorder mutation was needed in this regression pass. BA confirmed 2026-07-24: move this item to Future Backlog; not part of current dev fix package.</x:v>
      </x:c>
    </x:row>
    <x:row r="38">
      <x:c r="A38" s="90" t="str">
        <x:v>GAP-P1-BL-009</x:v>
      </x:c>
      <x:c r="B38" s="90" t="str">
        <x:v>P1-BL-02</x:v>
      </x:c>
      <x:c r="C38" s="90" t="str">
        <x:v>Phase 1</x:v>
      </x:c>
      <x:c r="D38" s="90" t="str">
        <x:v>Backlog</x:v>
      </x:c>
      <x:c r="E38" s="90" t="str">
        <x:v>Inline Title autosave UI synchronization</x:v>
      </x:c>
      <x:c r="F38" s="95" t="str">
        <x:v>Every displayed editable field, including Title, autosaves inline to the same Work Item and immediately displays the saved value after blur without requiring reload.</x:v>
      </x:c>
      <x:c r="G38" s="95" t="str">
        <x:v>Mockup renders each Work Item title as an editable textbox alongside Estimate, Owner, Schedule State, Iteration, Release and Defect Priority.</x:v>
      </x:c>
      <x:c r="H38" s="95" t="str">
        <x:v>DevInt Title becomes an editable textbox on click. Retest with controlled US-13 showed the changed title persisted after focus moved away and remained after reload; the original title was restored after verification.</x:v>
      </x:c>
      <x:c r="I38" s="90" t="str">
        <x:v>Business / UI</x:v>
      </x:c>
      <x:c r="J38" s="90" t="str">
        <x:v>P1</x:v>
      </x:c>
      <x:c r="K38" s="95" t="str">
        <x:v>No Dev fix required for this retested behavior. Keep the same inline save/loading/error contract for other editable fields as they are tested.</x:v>
      </x:c>
      <x:c r="L38" s="95" t="str">
        <x:v>No Gap After Retest</x:v>
      </x:c>
      <x:c r="M38" s="95" t="str">
        <x:v>None</x:v>
      </x:c>
      <x:c r="N38" s="95" t="str">
        <x:v>Passed (retest)</x:v>
      </x:c>
      <x:c r="O38" s="95" t="str">
        <x:v>Passed 2026-07-24</x:v>
      </x:c>
      <x:c r="P38" s="95" t="str">
        <x:v>Live browser retest: US-13 title blur autosave and reload verification on 2026-07-24</x:v>
      </x:c>
      <x:c r="Q38" s="95" t="str">
        <x:v>BA confirmed Passed. Temporary title was saved after blur/reload and restored to original value.</x:v>
      </x:c>
    </x:row>
    <x:row r="39">
      <x:c r="A39" s="90" t="str">
        <x:v>GAP-P1-BL-010</x:v>
      </x:c>
      <x:c r="B39" s="90" t="str">
        <x:v>P1-BL-02</x:v>
      </x:c>
      <x:c r="C39" s="90" t="str">
        <x:v>Phase 1</x:v>
      </x:c>
      <x:c r="D39" s="90" t="str">
        <x:v>Backlog</x:v>
      </x:c>
      <x:c r="E39" s="90" t="str">
        <x:v>Rank interaction model</x:v>
      </x:c>
      <x:c r="F39" s="95" t="str">
        <x:v>Backlog uses one accessible BA-approved rank interaction while preserving the same rank semantics and scoped persistence.</x:v>
      </x:c>
      <x:c r="G39" s="95" t="str">
        <x:v>Mockup provides visible Move item up and Move item down buttons for every row.</x:v>
      </x:c>
      <x:c r="H39" s="95" t="str">
        <x:v>DevInt uses a hover-only drag handle and keyboard-sortable row. Dragging works and persists, but the visible interaction differs from the mockup and is less discoverable until hover.</x:v>
      </x:c>
      <x:c r="I39" s="90" t="str">
        <x:v>Business / Accessibility / UI</x:v>
      </x:c>
      <x:c r="J39" s="90" t="str">
        <x:v>P1</x:v>
      </x:c>
      <x:c r="K39" s="95" t="str">
        <x:v>Keep DevInt drag as the primary rank interaction and update mockup/SRS to match. Dev verifies keyboard reordering, visible focus and screen-reader naming; add up/down actions only as a fallback if the keyboard contract is insufficient.</x:v>
      </x:c>
      <x:c r="L39" s="95" t="str">
        <x:v>Fix Direction Approved</x:v>
      </x:c>
      <x:c r="M39" s="95" t="str">
        <x:v>FE / Mockup / Docs</x:v>
      </x:c>
      <x:c r="N39" s="95" t="str">
        <x:v>Fixed (retest)</x:v>
      </x:c>
      <x:c r="O39" s="95" t="str">
        <x:v>Passed 2026-07-24</x:v>
      </x:c>
      <x:c r="P39" s="95" t="str">
        <x:v>evidence/retest_2026-07-24/P1-BL-01-list-states.png</x:v>
      </x:c>
      <x:c r="Q39" s="95" t="str">
        <x:v>Current build retest 2026-07-24: Rank drag handle is visibly present on every row and the row exposes keyboard-sortable semantics.</x:v>
      </x:c>
    </x:row>
    <x:row r="40">
      <x:c r="A40" s="90" t="str">
        <x:v>GAP-P1-CREATE-001</x:v>
      </x:c>
      <x:c r="B40" s="90" t="str">
        <x:v>P1-CREATE-01</x:v>
      </x:c>
      <x:c r="C40" s="90" t="str">
        <x:v>Phase 1</x:v>
      </x:c>
      <x:c r="D40" s="90" t="str">
        <x:v>Work Item Create</x:v>
      </x:c>
      <x:c r="E40" s="90" t="str">
        <x:v>Cancel behavior</x:v>
      </x:c>
      <x:c r="F40" s="95" t="str">
        <x:v>Cancel closes the quick-create modal without creating a Story or Defect.</x:v>
      </x:c>
      <x:c r="G40" s="95" t="str">
        <x:v>Mockup provides Cancel in the New Work Item modal and does not mutate data on Cancel.</x:v>
      </x:c>
      <x:c r="H40" s="95" t="str">
        <x:v>DevInt Cancel passed: entered DEVINT CANCEL AUDIT 20260719 2059, clicked Cancel, the modal closed, and searching that title returned no record.</x:v>
      </x:c>
      <x:c r="I40" s="90" t="str">
        <x:v>Functional</x:v>
      </x:c>
      <x:c r="J40" s="90" t="str">
        <x:v>P0</x:v>
      </x:c>
      <x:c r="K40" s="95" t="str">
        <x:v>No change required for the verified Cancel path. Retest during regression after create fixes land.</x:v>
      </x:c>
      <x:c r="L40" s="95" t="str">
        <x:v>Future Backlog Approved</x:v>
      </x:c>
      <x:c r="M40" s="95" t="str">
        <x:v>Future Backlog</x:v>
      </x:c>
      <x:c r="N40" s="95" t="str">
        <x:v>Future Backlog</x:v>
      </x:c>
      <x:c r="O40" s="95" t="str">
        <x:v>Future Backlog 2026-07-24</x:v>
      </x:c>
      <x:c r="P40" s="95" t="str">
        <x:v>evidence/retest_2026-07-24/P1-CREATE-01-quick-create.png</x:v>
      </x:c>
      <x:c r="Q40" s="95" t="str">
        <x:v>Current build retest 2026-07-24: Cancel behavior remains previously confirmed; no persistent record is created on cancel. BA confirmed 2026-07-24: move this item to Future Backlog; not part of current dev fix package.</x:v>
      </x:c>
    </x:row>
    <x:row r="41">
      <x:c r="A41" s="90" t="str">
        <x:v>GAP-P1-CREATE-002</x:v>
      </x:c>
      <x:c r="B41" s="90" t="str">
        <x:v>P1-CREATE-01</x:v>
      </x:c>
      <x:c r="C41" s="90" t="str">
        <x:v>Phase 1</x:v>
      </x:c>
      <x:c r="D41" s="90" t="str">
        <x:v>Work Item Create</x:v>
      </x:c>
      <x:c r="E41" s="90" t="str">
        <x:v>Project context in quick-create modal</x:v>
      </x:c>
      <x:c r="F41" s="95" t="str">
        <x:v>The quick-create modal includes an editable required Project dropdown per mockup/SRS, defaulting to the current Project. Changing Project refreshes the required Team dropdown to Teams related to that Project.</x:v>
      </x:c>
      <x:c r="G41" s="95" t="str">
        <x:v>Mockup shows a Project dropdown in New Work Item, defaulting to NXP - Nexus Platform 2025. SRS maps Project as required and default current project.</x:v>
      </x:c>
      <x:c r="H41" s="95" t="str">
        <x:v>DevInt New Work Item modal shows Type, Title, Team, Owner and Plan Estimate, but no visible Project field or read-only Project context inside the modal.</x:v>
      </x:c>
      <x:c r="I41" s="90" t="str">
        <x:v>UI / Business</x:v>
      </x:c>
      <x:c r="J41" s="90" t="str">
        <x:v>P1</x:v>
      </x:c>
      <x:c r="K41" s="95" t="str">
        <x:v>Add the editable required Project dropdown exactly as designed in the mockup/SRS, default it to the current Project, and reload/filter Team options whenever Project changes.</x:v>
      </x:c>
      <x:c r="L41" s="95" t="str">
        <x:v>Fix Direction Approved</x:v>
      </x:c>
      <x:c r="M41" s="95" t="str">
        <x:v>FE</x:v>
      </x:c>
      <x:c r="N41" s="95" t="str">
        <x:v>Fixed (retest)</x:v>
      </x:c>
      <x:c r="O41" s="95" t="str">
        <x:v>Passed 2026-07-24</x:v>
      </x:c>
      <x:c r="P41" s="95" t="str">
        <x:v>evidence/retest_2026-07-24/P1-CREATE-01-quick-create.png</x:v>
      </x:c>
      <x:c r="Q41" s="95" t="str">
        <x:v>Current build retest 2026-07-24: Quick Create includes required Project dropdown defaulted to NX Platform.</x:v>
      </x:c>
    </x:row>
    <x:row r="42">
      <x:c r="A42" s="90" t="str">
        <x:v>GAP-P1-CREATE-003</x:v>
      </x:c>
      <x:c r="B42" s="90" t="str">
        <x:v>P1-CREATE-01</x:v>
      </x:c>
      <x:c r="C42" s="90" t="str">
        <x:v>Phase 1</x:v>
      </x:c>
      <x:c r="D42" s="90" t="str">
        <x:v>Work Item Create</x:v>
      </x:c>
      <x:c r="E42" s="90" t="str">
        <x:v>Team selector contains invalid project team</x:v>
      </x:c>
      <x:c r="F42" s="95" t="str">
        <x:v>Team is required. Team options in Work Item create are filtered to Teams linked to the selected/current Project; No team and invalid Team/Project combinations cannot be selected.</x:v>
      </x:c>
      <x:c r="G42" s="95" t="str">
        <x:v>Mockup Team dropdown changes with Project and lists only Teams from the selected Project. For NXP it shows Core Platform, Identity &amp; Access and Data &amp; Reporting; it has no No team option.</x:v>
      </x:c>
      <x:c r="H42" s="95" t="str">
        <x:v>In DevInt NXP / All Teams, the modal listed No team and Team Alpha. Selecting Team Alpha and submitting returned Team is not linked to this project.</x:v>
      </x:c>
      <x:c r="I42" s="90" t="str">
        <x:v>Functional / Data</x:v>
      </x:c>
      <x:c r="J42" s="90" t="str">
        <x:v>P0</x:v>
      </x:c>
      <x:c r="K42" s="95" t="str">
        <x:v>Make the Project dropdown drive the required Team options. Remove No team. List only active Teams linked to the selected Project; if the Project has no valid Team, disable create and show a clear Team validation/empty state.</x:v>
      </x:c>
      <x:c r="L42" s="95" t="str">
        <x:v>Fix Direction Approved</x:v>
      </x:c>
      <x:c r="M42" s="95" t="str">
        <x:v>FE / API / Data</x:v>
      </x:c>
      <x:c r="N42" s="95" t="str">
        <x:v>Still Open</x:v>
      </x:c>
      <x:c r="O42" s="95" t="str">
        <x:v>Still Open 2026-07-24</x:v>
      </x:c>
      <x:c r="P42" s="95" t="str">
        <x:v>evidence/retest_2026-07-24/P1-CREATE-01-quick-create.png</x:v>
      </x:c>
      <x:c r="Q42" s="95" t="str">
        <x:v>Current build retest 2026-07-24: Team dropdown still offers No team even though Team Alpha is linked and selected by context.</x:v>
      </x:c>
    </x:row>
    <x:row r="43">
      <x:c r="A43" s="90" t="str">
        <x:v>GAP-P1-CREATE-004</x:v>
      </x:c>
      <x:c r="B43" s="90" t="str">
        <x:v>P1-CREATE-01</x:v>
      </x:c>
      <x:c r="C43" s="90" t="str">
        <x:v>Phase 1</x:v>
      </x:c>
      <x:c r="D43" s="90" t="str">
        <x:v>Work Item Create</x:v>
      </x:c>
      <x:c r="E43" s="90" t="str">
        <x:v>Required Team and validation handling</x:v>
      </x:c>
      <x:c r="F43" s="95" t="str">
        <x:v>Project is required. Team is optional when creating a Backlog Work Item. If Team is blank/No team, the Work Item belongs to the Project backlog. If Team is selected, the Work Item belongs to that Team backlog, and the Team must belong to the selected Project.</x:v>
      </x:c>
      <x:c r="G43" s="95" t="str">
        <x:v>Current mockup/SRS is stale for this point because it implies a concrete Team is required and does not model No team as Project Backlog. BA must update mockup/SRS to show Team optional and No team = Project Backlog.</x:v>
      </x:c>
      <x:c r="H43" s="95" t="str">
        <x:v>DevInt defaults Team to the current context Team Alpha and also allows No team. After selecting No team and entering a Title, Create Item and Create with details are enabled. This matches the corrected BA rule confirmed on 2026-07-24.</x:v>
      </x:c>
      <x:c r="I43" s="90" t="str">
        <x:v>BA Reconciliation</x:v>
      </x:c>
      <x:c r="J43" s="90" t="str">
        <x:v>P0</x:v>
      </x:c>
      <x:c r="K43" s="95" t="str">
        <x:v>No Dev fix required for allowing No team in Quick Create under the corrected rule. BA must update SRS/mockup: Team optional; No team means Project Backlog; selected Team must be linked to selected Project; Project remains required.</x:v>
      </x:c>
      <x:c r="L43" s="95" t="str">
        <x:v>BA Update Required</x:v>
      </x:c>
      <x:c r="M43" s="95" t="str">
        <x:v>Mockup / Docs</x:v>
      </x:c>
      <x:c r="N43" s="95" t="str">
        <x:v>Passed (BA update)</x:v>
      </x:c>
      <x:c r="O43" s="95" t="str">
        <x:v>Passed 2026-07-24</x:v>
      </x:c>
      <x:c r="P43" s="95" t="str">
        <x:v>Live browser retest: Quick Create Team dropdown and No team validation on 2026-07-24</x:v>
      </x:c>
      <x:c r="Q43" s="95" t="str">
        <x:v>BA confirmed corrected rule: if Team is not filled, Work Item belongs to Project backlog; if Team is filled, Work Item belongs to that Team backlog.</x:v>
      </x:c>
    </x:row>
    <x:row r="44">
      <x:c r="A44" s="90" t="str">
        <x:v>GAP-P1-CREATE-005</x:v>
      </x:c>
      <x:c r="B44" s="90" t="str">
        <x:v>P1-CREATE-01</x:v>
      </x:c>
      <x:c r="C44" s="90" t="str">
        <x:v>Phase 1</x:v>
      </x:c>
      <x:c r="D44" s="90" t="str">
        <x:v>Work Item Create</x:v>
      </x:c>
      <x:c r="E44" s="90" t="str">
        <x:v>Create visibility under active search filter</x:v>
      </x:c>
      <x:c r="F44" s="95" t="str">
        <x:v>After a successful create, Backlog either shows the created item in the current filtered result or clearly explains that the current filter hides it, with predictable refresh/clear behavior.</x:v>
      </x:c>
      <x:c r="G44" s="95" t="str">
        <x:v>Mockup is local-state based and does not define a filter-retention message after create.</x:v>
      </x:c>
      <x:c r="H44" s="95" t="str">
        <x:v>Retest 2026-07-24: With a non-matching search filter active, DevInt successfully created a Work Item, kept the active filter, showed empty-state copy "No backlog items match your filters", showed a created toast, and displayed the created item after clearing the search filter.</x:v>
      </x:c>
      <x:c r="I44" s="90" t="str">
        <x:v>UX / Retest</x:v>
      </x:c>
      <x:c r="J44" s="90" t="str">
        <x:v>P2</x:v>
      </x:c>
      <x:c r="K44" s="95" t="str">
        <x:v>No Dev fix required. BA may document the UX rule: after create under active filters, keep the user filter and show empty-state/filter copy plus success toast with item identity; clearing search reveals the created item.</x:v>
      </x:c>
      <x:c r="L44" s="95" t="str">
        <x:v>No Gap After Retest</x:v>
      </x:c>
      <x:c r="M44" s="95" t="str">
        <x:v>Docs optional</x:v>
      </x:c>
      <x:c r="N44" s="95" t="str">
        <x:v>Passed (retest)</x:v>
      </x:c>
      <x:c r="O44" s="95" t="str">
        <x:v>Passed 2026-07-24</x:v>
      </x:c>
      <x:c r="P44" s="95" t="str">
        <x:v>Live browser retest: created DEVINT-AUDIT CREATE005 POST FILTER 20260724 under active search; item appeared as US-15 after clearing search.</x:v>
      </x:c>
      <x:c r="Q44" s="95" t="str">
        <x:v>BA confirmed Passed on 2026-07-24.</x:v>
      </x:c>
    </x:row>
    <x:row r="45">
      <x:c r="A45" s="90" t="str">
        <x:v>GAP-P1-CREATE-006</x:v>
      </x:c>
      <x:c r="B45" s="90" t="str">
        <x:v>P1-CREATE-01</x:v>
      </x:c>
      <x:c r="C45" s="90" t="str">
        <x:v>Phase 1</x:v>
      </x:c>
      <x:c r="D45" s="90" t="str">
        <x:v>Work Item Create</x:v>
      </x:c>
      <x:c r="E45" s="90" t="str">
        <x:v>Owner default and allowed values</x:v>
      </x:c>
      <x:c r="F45" s="95" t="str">
        <x:v>Owner defaults to the authenticated/current user, lists users valid for the selected Project/Team, and also allows an explicit Unassigned choice.</x:v>
      </x:c>
      <x:c r="G45" s="95" t="str">
        <x:v>Mockup defaults Owner to the signed-in user Marcus Webb and lists named users only; BA has now confirmed that Unassigned must be added. SRS WIC-FR-006 must be clarified to the same default-plus-manual-unassign rule during final document reconciliation.</x:v>
      </x:c>
      <x:c r="H45" s="95" t="str">
        <x:v>DevInt defaults Owner to Unassigned and exposes Unassigned as the first option, while the authenticated user is Hieu Vu Minh Bui and is not shown as the selected default.</x:v>
      </x:c>
      <x:c r="I45" s="90" t="str">
        <x:v>Business Rule / UI</x:v>
      </x:c>
      <x:c r="J45" s="90" t="str">
        <x:v>P1</x:v>
      </x:c>
      <x:c r="K45" s="95" t="str">
        <x:v>Default Owner to the authenticated user, keep Unassigned as an explicit user-selectable option, and filter named Owner options by selected Project/Team access. Add Unassigned to the mockup and reconcile SRS WIC-FR-006 after the full audit.</x:v>
      </x:c>
      <x:c r="L45" s="95" t="str">
        <x:v>Fix Direction Approved</x:v>
      </x:c>
      <x:c r="M45" s="95" t="str">
        <x:v>FE / API / BA / Docs</x:v>
      </x:c>
      <x:c r="N45" s="95" t="str">
        <x:v>Still Open</x:v>
      </x:c>
      <x:c r="O45" s="95" t="str">
        <x:v>Still Open 2026-07-24</x:v>
      </x:c>
      <x:c r="P45" s="95" t="str">
        <x:v>evidence/retest_2026-07-24/P1-CREATE-01-quick-create.png</x:v>
      </x:c>
      <x:c r="Q45" s="95" t="str">
        <x:v>Current build retest 2026-07-24: Owner still defaults to — No Entry —; authenticated Hieu user is not selected and is absent from Team Alpha owner choices.</x:v>
      </x:c>
    </x:row>
    <x:row r="46">
      <x:c r="A46" s="90" t="str">
        <x:v>GAP-P1-CREATE-007</x:v>
      </x:c>
      <x:c r="B46" s="90" t="str">
        <x:v>P1-CREATE-02</x:v>
      </x:c>
      <x:c r="C46" s="90" t="str">
        <x:v>Phase 1</x:v>
      </x:c>
      <x:c r="D46" s="90" t="str">
        <x:v>Work Item Create</x:v>
      </x:c>
      <x:c r="E46" s="90" t="str">
        <x:v>Create with details identity and navigation</x:v>
      </x:c>
      <x:c r="F46" s="95" t="str">
        <x:v>Create with details creates exactly one Work Item and navigates to Work Item Detail for that same generated ID; returning to Backlog shows exactly one matching source record.</x:v>
      </x:c>
      <x:c r="G46" s="95" t="str">
        <x:v>Mockup created Story US-4822 for title MOCK CWD AUDIT 20260719 2258, opened Detail for US-4822, and Backlog then contained one US-4822 row with the same title.</x:v>
      </x:c>
      <x:c r="H46" s="95" t="str">
        <x:v>DevInt Create with details remained in the modal with Team is not linked to this project. After closing the modal, Backlog search for DEVINT Audit Story Quick Create Team 20260719 2110 returned no record, so there was no navigation or created identity.</x:v>
      </x:c>
      <x:c r="I46" s="90" t="str">
        <x:v>Functional</x:v>
      </x:c>
      <x:c r="J46" s="90" t="str">
        <x:v>P0</x:v>
      </x:c>
      <x:c r="K46" s="95" t="str">
        <x:v>Fix the approved P1-CREATE-01 Project/Team/Owner contract first. Then implement Create with details as one create transaction followed by navigation using the returned Work Item ID; never create a second draft/detail copy.</x:v>
      </x:c>
      <x:c r="L46" s="95" t="str">
        <x:v>Fix Direction Approved</x:v>
      </x:c>
      <x:c r="M46" s="95" t="str">
        <x:v>FE / API</x:v>
      </x:c>
      <x:c r="N46" s="95" t="str">
        <x:v>Fixed (retest)</x:v>
      </x:c>
      <x:c r="O46" s="95" t="str">
        <x:v>Passed 2026-07-24</x:v>
      </x:c>
      <x:c r="P46" s="95" t="str">
        <x:v>evidence/retest_2026-07-24/P1-WID-01-US-13-detail.png</x:v>
      </x:c>
      <x:c r="Q46" s="95" t="str">
        <x:v>Current build retest 2026-07-24: Create with details created exactly one US-13 and navigated to /item/US-13.</x:v>
      </x:c>
    </x:row>
    <x:row r="47">
      <x:c r="A47" s="90" t="str">
        <x:v>GAP-P1-CREATE-008</x:v>
      </x:c>
      <x:c r="B47" s="90" t="str">
        <x:v>P1-CREATE-02</x:v>
      </x:c>
      <x:c r="C47" s="90" t="str">
        <x:v>Phase 1</x:v>
      </x:c>
      <x:c r="D47" s="90" t="str">
        <x:v>Work Item Create</x:v>
      </x:c>
      <x:c r="E47" s="90" t="str">
        <x:v>Default values and field persistence on Detail</x:v>
      </x:c>
      <x:c r="F47" s="95" t="str">
        <x:v>The created Detail preserves Type, Title, Project, Team, Owner and Plan Estimate from Quick Create; Schedule State and Flow State default to Idea; Release and Iteration default to Unscheduled.</x:v>
      </x:c>
      <x:c r="G47" s="95" t="str">
        <x:v>Mockup US-4822 Detail preserved Story, title, NXP, Core Platform, Marcus Webb and Plan Estimate 0; Schedule State and Flow State were Idea; Release and Iteration were Unscheduled.</x:v>
      </x:c>
      <x:c r="H47" s="95" t="str">
        <x:v>Retest 2026-07-24 using newly created US-15: Type/US, Title, Project NX Platform, Team Alpha, Owner No Entry, Iteration No iteration, Release No release and Milestones No milestones persisted correctly. Schedule State and Flow State defaulted to Defined instead of Idea.</x:v>
      </x:c>
      <x:c r="I47" s="90" t="str">
        <x:v>Functional / Retest</x:v>
      </x:c>
      <x:c r="J47" s="90" t="str">
        <x:v>P0</x:v>
      </x:c>
      <x:c r="K47" s="95" t="str">
        <x:v>Dev must set both Schedule State and Flow State defaults to Idea when a new Work Item is created. Keep the verified persistence behavior for Type, Title, Project, optional Team, Owner, Plan Estimate, Iteration, Release and Milestones.</x:v>
      </x:c>
      <x:c r="L47" s="95" t="str">
        <x:v>Gap Confirmed</x:v>
      </x:c>
      <x:c r="M47" s="95" t="str">
        <x:v>FE / API</x:v>
      </x:c>
      <x:c r="N47" s="95" t="str">
        <x:v>Partial (retest)</x:v>
      </x:c>
      <x:c r="O47" s="95" t="str">
        <x:v>Partial 2026-07-24</x:v>
      </x:c>
      <x:c r="P47" s="95" t="str">
        <x:v>Live browser retest: US-15 detail after Quick Create on 2026-07-24</x:v>
      </x:c>
      <x:c r="Q47" s="95" t="str">
        <x:v>BA confirmed Partial: dev must fix default Schedule State and Flow State to Idea.</x:v>
      </x:c>
    </x:row>
    <x:row r="48">
      <x:c r="A48" s="90" t="str">
        <x:v>GAP-P1-WID-001</x:v>
      </x:c>
      <x:c r="B48" s="90" t="str">
        <x:v>P1-WID-01</x:v>
      </x:c>
      <x:c r="C48" s="90" t="str">
        <x:v>Phase 1</x:v>
      </x:c>
      <x:c r="D48" s="90" t="str">
        <x:v>Work Item Detail</x:v>
      </x:c>
      <x:c r="E48" s="90" t="str">
        <x:v>US/DE detail tabs and content scope</x:v>
      </x:c>
      <x:c r="F48" s="95" t="str">
        <x:v>US/DE Detail follows the approved mockup/SRS tab structure: Details, Tasks and Revision History.</x:v>
      </x:c>
      <x:c r="G48" s="95" t="str">
        <x:v>Mockup US-4822 shows Details, Tasks and Revision History. Its Details content contains Description, Attachments, Notes and Release Notes.</x:v>
      </x:c>
      <x:c r="H48" s="95" t="str">
        <x:v>DevInt US-7 adds a Defects tab plus Linked Items and Comments beyond the current approved Phase 1 mockup/SRS contract.</x:v>
      </x:c>
      <x:c r="I48" s="90" t="str">
        <x:v>UI / Scope</x:v>
      </x:c>
      <x:c r="J48" s="90" t="str">
        <x:v>P1</x:v>
      </x:c>
      <x:c r="K48" s="95" t="str">
        <x:v>Align the Phase 1 US/DE Detail tabs to the mockup. Hide/remove the additional Defects tab from this scope; route Linked Items and Comments to BA review/Future Backlog unless separately approved.</x:v>
      </x:c>
      <x:c r="L48" s="95" t="str">
        <x:v>Fix Direction Approved</x:v>
      </x:c>
      <x:c r="M48" s="95" t="str">
        <x:v>FE / BA</x:v>
      </x:c>
      <x:c r="N48" s="95" t="str">
        <x:v>Still Open</x:v>
      </x:c>
      <x:c r="O48" s="95" t="str">
        <x:v>Still Open 2026-07-24</x:v>
      </x:c>
      <x:c r="P48" s="95" t="str">
        <x:v>evidence/retest_2026-07-24/P1-WID-01-US-13-detail.png</x:v>
      </x:c>
      <x:c r="Q48" s="95" t="str">
        <x:v>Current build retest 2026-07-24: US Detail still includes Defects tab plus Linked Items and Comments outside the approved Phase 1 tab/content scope.</x:v>
      </x:c>
    </x:row>
    <x:row r="49">
      <x:c r="A49" s="90" t="str">
        <x:v>GAP-P1-WID-002</x:v>
      </x:c>
      <x:c r="B49" s="90" t="str">
        <x:v>P1-WID-01</x:v>
      </x:c>
      <x:c r="C49" s="90" t="str">
        <x:v>Phase 1</x:v>
      </x:c>
      <x:c r="D49" s="90" t="str">
        <x:v>Work Item Detail</x:v>
      </x:c>
      <x:c r="E49" s="90" t="str">
        <x:v>Project field missing</x:v>
      </x:c>
      <x:c r="F49" s="95" t="str">
        <x:v>Work Item Detail displays the Work Item Project and supports only valid Project/Team relationships.</x:v>
      </x:c>
      <x:c r="G49" s="95" t="str">
        <x:v>Mockup US-4822 sidebar shows Project NXP - Nexus Platform 2025 and Team Core Platform.</x:v>
      </x:c>
      <x:c r="H49" s="95" t="str">
        <x:v>DevInt US-7 sidebar shows Team but no Project field.</x:v>
      </x:c>
      <x:c r="I49" s="90" t="str">
        <x:v>UI / Business</x:v>
      </x:c>
      <x:c r="J49" s="90" t="str">
        <x:v>P0</x:v>
      </x:c>
      <x:c r="K49" s="95" t="str">
        <x:v>Add Project to the DevInt Detail sidebar according to the mockup/SRS. Project changes must refresh and validate Team options using the confirmed linked-Team rule.</x:v>
      </x:c>
      <x:c r="L49" s="95" t="str">
        <x:v>Fix Direction Approved</x:v>
      </x:c>
      <x:c r="M49" s="95" t="str">
        <x:v>FE / API</x:v>
      </x:c>
      <x:c r="N49" s="95" t="str">
        <x:v>Fixed (retest)</x:v>
      </x:c>
      <x:c r="O49" s="95" t="str">
        <x:v>Passed 2026-07-24</x:v>
      </x:c>
      <x:c r="P49" s="95" t="str">
        <x:v>evidence/retest_2026-07-24/P1-WID-01-US-13-detail.png</x:v>
      </x:c>
      <x:c r="Q49" s="95" t="str">
        <x:v>Current build retest 2026-07-24: Detail displays Project = NX Platform.</x:v>
      </x:c>
    </x:row>
    <x:row r="50">
      <x:c r="A50" s="90" t="str">
        <x:v>GAP-P1-WID-003</x:v>
      </x:c>
      <x:c r="B50" s="90" t="str">
        <x:v>P1-WID-01</x:v>
      </x:c>
      <x:c r="C50" s="90" t="str">
        <x:v>Phase 1</x:v>
      </x:c>
      <x:c r="D50" s="90" t="str">
        <x:v>Work Item Detail</x:v>
      </x:c>
      <x:c r="E50" s="90" t="str">
        <x:v>Multiple Releases</x:v>
      </x:c>
      <x:c r="F50" s="95" t="str">
        <x:v>A Work Item may be assigned zero, one or multiple Releases, independently of Milestones, per the confirmed reconciliation rule.</x:v>
      </x:c>
      <x:c r="G50" s="95" t="str">
        <x:v>Current mockup US-4822 still uses a single Release dropdown, so the mockup is behind the later reconciliation decision.</x:v>
      </x:c>
      <x:c r="H50" s="95" t="str">
        <x:v>DevInt US-7 also uses a single Release dropdown.</x:v>
      </x:c>
      <x:c r="I50" s="90" t="str">
        <x:v>Business Rule / UI</x:v>
      </x:c>
      <x:c r="J50" s="90" t="str">
        <x:v>P0</x:v>
      </x:c>
      <x:c r="K50" s="95" t="str">
        <x:v>Change Release on Work Item Detail to a multi-select control in both DevInt and mockup/SRS reconciliation. Preserve zero/one/many Release assignments.</x:v>
      </x:c>
      <x:c r="L50" s="95" t="str">
        <x:v>Fix Direction Approved</x:v>
      </x:c>
      <x:c r="M50" s="95" t="str">
        <x:v>FE / BA / Docs</x:v>
      </x:c>
      <x:c r="N50" s="95" t="str">
        <x:v>Still Open</x:v>
      </x:c>
      <x:c r="O50" s="95" t="str">
        <x:v>Still Open 2026-07-24</x:v>
      </x:c>
      <x:c r="P50" s="95" t="str">
        <x:v>evidence/retest_2026-07-24/P1-WID-01-US-13-detail.png</x:v>
      </x:c>
      <x:c r="Q50" s="95" t="str">
        <x:v>Current build retest 2026-07-24: Release remains one single-select button/dropdown on Work Item Detail.</x:v>
      </x:c>
    </x:row>
    <x:row r="51">
      <x:c r="A51" s="90" t="str">
        <x:v>GAP-P1-WID-004</x:v>
      </x:c>
      <x:c r="B51" s="90" t="str">
        <x:v>P1-WID-01</x:v>
      </x:c>
      <x:c r="C51" s="90" t="str">
        <x:v>Phase 1</x:v>
      </x:c>
      <x:c r="D51" s="90" t="str">
        <x:v>Work Item Detail</x:v>
      </x:c>
      <x:c r="E51" s="90" t="str">
        <x:v>Multiple Milestones</x:v>
      </x:c>
      <x:c r="F51" s="95" t="str">
        <x:v>A Work Item may be assigned zero, one or multiple Milestones independently of Releases.</x:v>
      </x:c>
      <x:c r="G51" s="95" t="str">
        <x:v>Mockup US-4822 shows Milestones with a zero-selected state and supports the reconciliation concept.</x:v>
      </x:c>
      <x:c r="H51" s="95" t="str">
        <x:v>DevInt US-7 has no Milestones field in the Detail sidebar.</x:v>
      </x:c>
      <x:c r="I51" s="90" t="str">
        <x:v>Business Rule / UI</x:v>
      </x:c>
      <x:c r="J51" s="90" t="str">
        <x:v>P0</x:v>
      </x:c>
      <x:c r="K51" s="95" t="str">
        <x:v>Add a Milestones multi-select control to DevInt Work Item Detail and keep it independent from Release assignment, while using the confirmed related-Milestone filtering rules where applicable.</x:v>
      </x:c>
      <x:c r="L51" s="95" t="str">
        <x:v>Fix Direction Approved</x:v>
      </x:c>
      <x:c r="M51" s="95" t="str">
        <x:v>FE / API</x:v>
      </x:c>
      <x:c r="N51" s="95" t="str">
        <x:v>Fixed (retest)</x:v>
      </x:c>
      <x:c r="O51" s="95" t="str">
        <x:v>Passed 2026-07-24</x:v>
      </x:c>
      <x:c r="P51" s="95" t="str">
        <x:v>evidence/retest_2026-07-24/P1-WID-01-US-13-detail.png</x:v>
      </x:c>
      <x:c r="Q51" s="95" t="str">
        <x:v>Current build retest 2026-07-24: Milestones field is present with multi-assignment interaction retained from the fixed build.</x:v>
      </x:c>
    </x:row>
    <x:row r="52">
      <x:c r="A52" s="90" t="str">
        <x:v>GAP-P1-WID-005</x:v>
      </x:c>
      <x:c r="B52" s="90" t="str">
        <x:v>P1-WID-01</x:v>
      </x:c>
      <x:c r="C52" s="90" t="str">
        <x:v>Phase 1</x:v>
      </x:c>
      <x:c r="D52" s="90" t="str">
        <x:v>Work Item Detail</x:v>
      </x:c>
      <x:c r="E52" s="90" t="str">
        <x:v>State controls and exact catalog</x:v>
      </x:c>
      <x:c r="F52" s="95" t="str">
        <x:v>Work Item Detail uses the corrected state UI contract: Schedule State is a six-box segmented control; Flow State is a dropdown. Both use exactly Idea, Defined, In-Progress, Completed, Accepted, Release and remain manually editable by the user.</x:v>
      </x:c>
      <x:c r="G52" s="95" t="str">
        <x:v>Current mockup/SRS is stale for this point because it documents the reverse placement. BA must update Work Item Detail mockup/SRS to Schedule State = six boxes and Flow State = dropdown.</x:v>
      </x:c>
      <x:c r="H52" s="95" t="str">
        <x:v>Retest 2026-07-24 on US-15: DevInt renders Schedule State as a six-box control and Flow State as a dropdown. Both expose the full catalog Idea, Defined, In-Progress, Completed, Accepted, Release with approved spelling.</x:v>
      </x:c>
      <x:c r="I52" s="90" t="str">
        <x:v>BA Reconciliation</x:v>
      </x:c>
      <x:c r="J52" s="90" t="str">
        <x:v>P0</x:v>
      </x:c>
      <x:c r="K52" s="95" t="str">
        <x:v>No Dev fix required for state-control placement/catalog on Work Item Detail. BA must update mockup/SRS to the corrected contract and keep the same six-state catalog.</x:v>
      </x:c>
      <x:c r="L52" s="95" t="str">
        <x:v>BA Update Required</x:v>
      </x:c>
      <x:c r="M52" s="95" t="str">
        <x:v>Mockup / Docs</x:v>
      </x:c>
      <x:c r="N52" s="95" t="str">
        <x:v>Passed (BA update)</x:v>
      </x:c>
      <x:c r="O52" s="95" t="str">
        <x:v>Passed 2026-07-24</x:v>
      </x:c>
      <x:c r="P52" s="95" t="str">
        <x:v>Live browser retest: US-15 Work Item Detail state controls on 2026-07-24</x:v>
      </x:c>
      <x:c r="Q52" s="95" t="str">
        <x:v>BA confirmed Passed with BA update: Schedule State = six boxes; Flow State = dropdown.</x:v>
      </x:c>
    </x:row>
    <x:row r="53">
      <x:c r="A53" s="90" t="str">
        <x:v>GAP-P1-WID-006</x:v>
      </x:c>
      <x:c r="B53" s="90" t="str">
        <x:v>P1-WID-01</x:v>
      </x:c>
      <x:c r="C53" s="90" t="str">
        <x:v>Phase 1</x:v>
      </x:c>
      <x:c r="D53" s="90" t="str">
        <x:v>Work Item Detail</x:v>
      </x:c>
      <x:c r="E53" s="90" t="str">
        <x:v>Two-way Schedule/Flow mirroring</x:v>
      </x:c>
      <x:c r="F53" s="95" t="str">
        <x:v>Changing Schedule State updates Flow State to the same value; changing Flow State updates Schedule State to the same value; both persist as one synchronized Work Item status.</x:v>
      </x:c>
      <x:c r="G53" s="95" t="str">
        <x:v>Mockup/SRS and prior reconciliation define Schedule State and Flow State as mirrored views of the same Work Item lifecycle value.</x:v>
      </x:c>
      <x:c r="H53" s="95" t="str">
        <x:v>DevInt started with Schedule In Progress and Flow Accepted. Schedule -&gt; Completed left Flow at Accepted; Flow -&gt; Defined left Schedule at Completed. The item was restored to its original mismatch and reload preserved it.</x:v>
      </x:c>
      <x:c r="I53" s="90" t="str">
        <x:v>Functional / Business Rule</x:v>
      </x:c>
      <x:c r="J53" s="90" t="str">
        <x:v>P0</x:v>
      </x:c>
      <x:c r="K53" s="95" t="str">
        <x:v>Implement two-way mirroring and prevent mismatched persisted state. Updating either control must atomically synchronize and refresh the other control.</x:v>
      </x:c>
      <x:c r="L53" s="95" t="str">
        <x:v>Fix Direction Approved</x:v>
      </x:c>
      <x:c r="M53" s="95" t="str">
        <x:v>FE / API</x:v>
      </x:c>
      <x:c r="N53" s="95" t="str">
        <x:v>Still Open</x:v>
      </x:c>
      <x:c r="O53" s="95" t="str">
        <x:v>Still Open 2026-07-24</x:v>
      </x:c>
      <x:c r="P53" s="95" t="str">
        <x:v>evidence/retest_2026-07-24/P1-WID-01-US-13-detail.png</x:v>
      </x:c>
      <x:c r="Q53" s="95" t="str">
        <x:v>Current build retest 2026-07-24: Manual Flow→In-Progress did not update Schedule; manual Schedule→Completed did not update Flow. Test item was restored to both Idea.</x:v>
      </x:c>
    </x:row>
    <x:row r="54">
      <x:c r="A54" s="90" t="str">
        <x:v>GAP-P1-WID-007</x:v>
      </x:c>
      <x:c r="B54" s="90" t="str">
        <x:v>P1-WID-01</x:v>
      </x:c>
      <x:c r="C54" s="90" t="str">
        <x:v>Phase 1</x:v>
      </x:c>
      <x:c r="D54" s="90" t="str">
        <x:v>Work Item Detail</x:v>
      </x:c>
      <x:c r="E54" s="90" t="str">
        <x:v>Owner default and Unassigned option</x:v>
      </x:c>
      <x:c r="F54" s="95" t="str">
        <x:v>Owner defaults to the authenticated user and also allows the user to explicitly choose Unassigned.</x:v>
      </x:c>
      <x:c r="G54" s="95" t="str">
        <x:v>Mockup defaults Owner to Marcus Webb but does not yet include Unassigned; BA confirmed Unassigned must be added and the same rule applies to backlog creation.</x:v>
      </x:c>
      <x:c r="H54" s="95" t="str">
        <x:v>DevInt Detail includes Unassigned and named users. DevInt Quick Create currently defaults to Unassigned instead of the authenticated user.</x:v>
      </x:c>
      <x:c r="I54" s="90" t="str">
        <x:v>Business Rule / UI</x:v>
      </x:c>
      <x:c r="J54" s="90" t="str">
        <x:v>P1</x:v>
      </x:c>
      <x:c r="K54" s="95" t="str">
        <x:v>Keep Unassigned in DevInt Owner options, default new Work Items to the authenticated user, and add Unassigned to the mockup. Apply the same rule consistently in Quick Create and Detail.</x:v>
      </x:c>
      <x:c r="L54" s="95" t="str">
        <x:v>Fix Direction Approved</x:v>
      </x:c>
      <x:c r="M54" s="95" t="str">
        <x:v>FE / BA / Docs</x:v>
      </x:c>
      <x:c r="N54" s="95" t="str">
        <x:v>Still Open</x:v>
      </x:c>
      <x:c r="O54" s="95" t="str">
        <x:v>Still Open 2026-07-24</x:v>
      </x:c>
      <x:c r="P54" s="95" t="str">
        <x:v>evidence/retest_2026-07-24/P1-CREATE-01-quick-create.png</x:v>
      </x:c>
      <x:c r="Q54" s="95" t="str">
        <x:v>Current build retest 2026-07-24: Unassigned/No Entry exists, but Owner default on create remains No Entry instead of the authenticated user.</x:v>
      </x:c>
    </x:row>
    <x:row r="55">
      <x:c r="A55" s="90" t="str">
        <x:v>GAP-P1-WID-008</x:v>
      </x:c>
      <x:c r="B55" s="90" t="str">
        <x:v>P1-WID-01</x:v>
      </x:c>
      <x:c r="C55" s="90" t="str">
        <x:v>Phase 1</x:v>
      </x:c>
      <x:c r="D55" s="90" t="str">
        <x:v>Work Item Detail</x:v>
      </x:c>
      <x:c r="E55" s="90" t="str">
        <x:v>Required Team and No team option</x:v>
      </x:c>
      <x:c r="F55" s="95" t="str">
        <x:v>Team remains required for a Work Item and must be linked to the selected Project; No team is not an allowed value.</x:v>
      </x:c>
      <x:c r="G55" s="95" t="str">
        <x:v>Mockup US-4822 lists only concrete Teams linked to the selected Project and has no No team option.</x:v>
      </x:c>
      <x:c r="H55" s="95" t="str">
        <x:v>DevInt US-7 Team dropdown includes No team and Team Alpha while Project is not displayed.</x:v>
      </x:c>
      <x:c r="I55" s="90" t="str">
        <x:v>Business Rule / UI</x:v>
      </x:c>
      <x:c r="J55" s="90" t="str">
        <x:v>P0</x:v>
      </x:c>
      <x:c r="K55" s="95" t="str">
        <x:v>Remove No team from Work Item Detail and filter Team options by Project. Apply the same required linked-Team rule in Quick Create and Detail.</x:v>
      </x:c>
      <x:c r="L55" s="95" t="str">
        <x:v>Fix Direction Approved</x:v>
      </x:c>
      <x:c r="M55" s="95" t="str">
        <x:v>FE / API</x:v>
      </x:c>
      <x:c r="N55" s="95" t="str">
        <x:v>Still Open</x:v>
      </x:c>
      <x:c r="O55" s="95" t="str">
        <x:v>Still Open 2026-07-24</x:v>
      </x:c>
      <x:c r="P55" s="95" t="str">
        <x:v>evidence/retest_2026-07-24/P1-WID-01-US-13-detail.png</x:v>
      </x:c>
      <x:c r="Q55" s="95" t="str">
        <x:v>Current build retest 2026-07-24: Detail Team dropdown still offers No team.</x:v>
      </x:c>
    </x:row>
    <x:row r="56">
      <x:c r="A56" s="90" t="str">
        <x:v>GAP-P1-WID-009</x:v>
      </x:c>
      <x:c r="B56" s="90" t="str">
        <x:v>P1-WID-01</x:v>
      </x:c>
      <x:c r="C56" s="90" t="str">
        <x:v>Phase 1</x:v>
      </x:c>
      <x:c r="D56" s="90" t="str">
        <x:v>Work Item Detail</x:v>
      </x:c>
      <x:c r="E56" s="90" t="str">
        <x:v>Direct route and reload persistence</x:v>
      </x:c>
      <x:c r="F56" s="95" t="str">
        <x:v>Opening /item/:key and reloading returns to the same Work Item with persisted fields.</x:v>
      </x:c>
      <x:c r="G56" s="95" t="str">
        <x:v>Mockup opens the selected Work Item Detail from Backlog using the same source Work Item identity.</x:v>
      </x:c>
      <x:c r="H56" s="95" t="str">
        <x:v>DevInt /item/US-7 opened the correct Story. Reload returned to /item/US-7 and retained the restored Schedule In Progress and Flow Accepted values.</x:v>
      </x:c>
      <x:c r="I56" s="90" t="str">
        <x:v>Functional</x:v>
      </x:c>
      <x:c r="J56" s="90" t="str">
        <x:v>P0</x:v>
      </x:c>
      <x:c r="K56" s="95" t="str">
        <x:v>No change required for the verified direct-route/reload behavior. Retest after Detail field and status fixes land.</x:v>
      </x:c>
      <x:c r="L56" s="95" t="str">
        <x:v>Match Confirmed</x:v>
      </x:c>
      <x:c r="M56" s="95" t="str">
        <x:v>No Change Required</x:v>
      </x:c>
      <x:c r="N56" s="95" t="str">
        <x:v>Fixed (retest)</x:v>
      </x:c>
      <x:c r="O56" s="95" t="str">
        <x:v>Passed 2026-07-24</x:v>
      </x:c>
      <x:c r="P56" s="95" t="str">
        <x:v>evidence/retest_2026-07-24/P1-WID-01-US-13-detail.png</x:v>
      </x:c>
      <x:c r="Q56" s="95" t="str">
        <x:v>Current build retest 2026-07-24: Direct /item/US-13 and /item/TA-11 routes loaded the same persisted identities and fields.</x:v>
      </x:c>
    </x:row>
    <x:row r="57">
      <x:c r="A57" s="90" t="str">
        <x:v>GAP-P2-IS-001</x:v>
      </x:c>
      <x:c r="B57" s="90" t="str">
        <x:v>P2-IS-03</x:v>
      </x:c>
      <x:c r="C57" s="90" t="str">
        <x:v>Phase 2</x:v>
      </x:c>
      <x:c r="D57" s="90" t="str">
        <x:v>Backlog / Iteration Status</x:v>
      </x:c>
      <x:c r="E57" s="90" t="str">
        <x:v>Iteration inline assignment UI synchronization</x:v>
      </x:c>
      <x:c r="F57" s="95" t="str">
        <x:v>Selecting an Iteration updates the existing Backlog Work Item and the selected value remains visible immediately; reload shows the same value.</x:v>
      </x:c>
      <x:c r="G57" s="95" t="str">
        <x:v>Mockup US-4822 changed from Unscheduled to Sprint 24.5 and immediately retained the new value.</x:v>
      </x:c>
      <x:c r="H57" s="95" t="str">
        <x:v>DevInt US-1 was assigned from — to Sprint 26.2, but the dropdown immediately reverted to —. Reload then showed Sprint 26.2, proving backend persistence with stale row/cache state.</x:v>
      </x:c>
      <x:c r="I57" s="90" t="str">
        <x:v>Functional / UI state</x:v>
      </x:c>
      <x:c r="J57" s="90" t="str">
        <x:v>P0</x:v>
      </x:c>
      <x:c r="K57" s="95" t="str">
        <x:v>Update the Backlog row from the canonical mutation response or invalidate/refetch the correct scoped query after Iteration assignment. Keep the new value visible on success; rollback only on a real error. Reuse the same inline-save contract tracked for Title.</x:v>
      </x:c>
      <x:c r="L57" s="95" t="str">
        <x:v>Fix Direction Approved</x:v>
      </x:c>
      <x:c r="M57" s="95" t="str">
        <x:v>FE</x:v>
      </x:c>
      <x:c r="N57" s="95" t="str">
        <x:v>Fixed (retest)</x:v>
      </x:c>
      <x:c r="O57" s="95" t="str">
        <x:v>Passed 2026-07-24</x:v>
      </x:c>
      <x:c r="P57" s="95" t="str">
        <x:v>evidence/retest_2026-07-24/P2-IS-03-inline-iteration.png</x:v>
      </x:c>
      <x:c r="Q57" s="95" t="str">
        <x:v>Current build retest 2026-07-24: US-13 assignment to IT-1 displayed immediately, persisted after reload, then was restored to no iteration.</x:v>
      </x:c>
    </x:row>
    <x:row r="58">
      <x:c r="A58" s="90" t="str">
        <x:v>GAP-P2-IS-002</x:v>
      </x:c>
      <x:c r="B58" s="90" t="str">
        <x:v>P2-IS-03</x:v>
      </x:c>
      <x:c r="C58" s="90" t="str">
        <x:v>Phase 2</x:v>
      </x:c>
      <x:c r="D58" s="90" t="str">
        <x:v>Iteration Status</x:v>
      </x:c>
      <x:c r="E58" s="90" t="str">
        <x:v>First-load false empty state in NXP / All Teams</x:v>
      </x:c>
      <x:c r="F58" s="95" t="str">
        <x:v>Direct navigation to Iteration Status initializes the Project/Team-scoped Iteration query independently, shows Loading until it settles, and renders an empty state only after a successful zero-record response.</x:v>
      </x:c>
      <x:c r="G58" s="95" t="str">
        <x:v>Mockup Iteration Status exposes the same Iteration master data as Backlog and showed assigned US-4822 exactly once in Sprint 24.5.</x:v>
      </x:c>
      <x:c r="H58" s="95" t="str">
        <x:v>On the first direct /iteration-status visit, DevInt showed No iterations in this project/team yet. After visiting Timeboxes and returning, the selector loaded all three Iterations; Sprint 26.2 then showed US-1 exactly once and /item/US-1 showed the same assignment.</x:v>
      </x:c>
      <x:c r="I58" s="90" t="str">
        <x:v>Functional / Loading state</x:v>
      </x:c>
      <x:c r="J58" s="90" t="str">
        <x:v>P1</x:v>
      </x:c>
      <x:c r="K58" s="95" t="str">
        <x:v>Initialize the Iteration query without requiring a prior Timeboxes visit. Gate the empty state on a settled successful query and keep a visible Loading state while Iteration master data is unresolved. Preserve All Teams support.</x:v>
      </x:c>
      <x:c r="L58" s="95" t="str">
        <x:v>Fix Direction Approved</x:v>
      </x:c>
      <x:c r="M58" s="95" t="str">
        <x:v>FE</x:v>
      </x:c>
      <x:c r="N58" s="95" t="str">
        <x:v>Fixed (retest)</x:v>
      </x:c>
      <x:c r="O58" s="95" t="str">
        <x:v>Passed 2026-07-24</x:v>
      </x:c>
      <x:c r="P58" s="95" t="str">
        <x:v>evidence/retest_2026-07-24/P2-IS-01-iteration-status.png</x:v>
      </x:c>
      <x:c r="Q58" s="95" t="str">
        <x:v>Current build retest 2026-07-24: Direct /iteration-status load populated Sprint 26.1 and five scoped work items without a false empty state.</x:v>
      </x:c>
    </x:row>
    <x:row r="59">
      <x:c r="A59" s="90" t="str">
        <x:v>GAP-P1-TASK-001</x:v>
      </x:c>
      <x:c r="B59" s="90" t="str">
        <x:v>P1-TASK-01</x:v>
      </x:c>
      <x:c r="C59" s="90" t="str">
        <x:v>Phase 1</x:v>
      </x:c>
      <x:c r="D59" s="90" t="str">
        <x:v>Work Item Detail / Task Dashboard</x:v>
      </x:c>
      <x:c r="E59" s="90" t="str">
        <x:v>Task badge count does not match child rows</x:v>
      </x:c>
      <x:c r="F59" s="95" t="str">
        <x:v>The Tasks tab badge equals the number of child Tasks returned for the same Work Item.</x:v>
      </x:c>
      <x:c r="G59" s="95" t="str">
        <x:v>Mockup US-4822 shows 1 Tasks and the dashboard contains exactly TA-482201.</x:v>
      </x:c>
      <x:c r="H59" s="95" t="str">
        <x:v>DevInt US-1 shows 0 Tasks while its Task Dashboard contains TA-1, TA-2, TA-4 and TA-5.</x:v>
      </x:c>
      <x:c r="I59" s="90" t="str">
        <x:v>Functional / Count</x:v>
      </x:c>
      <x:c r="J59" s="90" t="str">
        <x:v>P0</x:v>
      </x:c>
      <x:c r="K59" s="95" t="str">
        <x:v>Derive the badge from the same child-Task query/source used by Task Dashboard and invalidate/refetch it after Task mutations.</x:v>
      </x:c>
      <x:c r="L59" s="95" t="str">
        <x:v>Fix Direction Approved</x:v>
      </x:c>
      <x:c r="M59" s="95" t="str">
        <x:v>FE</x:v>
      </x:c>
      <x:c r="N59" s="95" t="str">
        <x:v>Fixed (retest)</x:v>
      </x:c>
      <x:c r="O59" s="95" t="str">
        <x:v>Passed 2026-07-24</x:v>
      </x:c>
      <x:c r="P59" s="95" t="str">
        <x:v>evidence/retest_2026-07-24/P1-TASK-01-dashboard.png</x:v>
      </x:c>
      <x:c r="Q59" s="95" t="str">
        <x:v>Current build retest 2026-07-24: US-13 tab badge changed from 0 to 1 and matched the single TA-11 child row.</x:v>
      </x:c>
    </x:row>
    <x:row r="60">
      <x:c r="A60" s="90" t="str">
        <x:v>GAP-P1-TASK-002</x:v>
      </x:c>
      <x:c r="B60" s="90" t="str">
        <x:v>P1-TASK-01</x:v>
      </x:c>
      <x:c r="C60" s="90" t="str">
        <x:v>Phase 1</x:v>
      </x:c>
      <x:c r="D60" s="90" t="str">
        <x:v>Task Dashboard</x:v>
      </x:c>
      <x:c r="E60" s="90" t="str">
        <x:v>Create Task fails on assigned Work Item with opaque error</x:v>
      </x:c>
      <x:c r="F60" s="95" t="str">
        <x:v>A user can create one child Task under a valid US/DE; the Task inherits its parent context and the UI gives field-specific validation for invalid context.</x:v>
      </x:c>
      <x:c r="G60" s="95" t="str">
        <x:v>Mockup Task create contract is available under US-4822 / Sprint 24.5.</x:v>
      </x:c>
      <x:c r="H60" s="95" t="str">
        <x:v>DevInt US-1 / Sprint 26.2 returned unexpected error refs 16dd70a7-978b-4478-9159-1bbd26926647 and 19364154-727f-4a9f-8d93-96baba2b7738 with Owner Unassigned and Admin User. No Task was created.</x:v>
      </x:c>
      <x:c r="I60" s="90" t="str">
        <x:v>Functional / Error handling</x:v>
      </x:c>
      <x:c r="J60" s="90" t="str">
        <x:v>P0</x:v>
      </x:c>
      <x:c r="K60" s="95" t="str">
        <x:v>Fix Task creation for an Iteration-assigned Work Item and inherit Project, Team and Iteration from the parent. If the legacy parent context is invalid, show a clear actionable validation instead of an opaque reference.</x:v>
      </x:c>
      <x:c r="L60" s="95" t="str">
        <x:v>Fix Direction Approved</x:v>
      </x:c>
      <x:c r="M60" s="95" t="str">
        <x:v>FE / API contract</x:v>
      </x:c>
      <x:c r="N60" s="95" t="str">
        <x:v>Fixed (retest)</x:v>
      </x:c>
      <x:c r="O60" s="95" t="str">
        <x:v>Passed 2026-07-24</x:v>
      </x:c>
      <x:c r="P60" s="95" t="str">
        <x:v>evidence/retest_2026-07-24/P1-TASK-01-create.png</x:v>
      </x:c>
      <x:c r="Q60" s="95" t="str">
        <x:v>Current build retest 2026-07-24: Created TA-11 under US-13 successfully; inherited NXP and Team Alpha.</x:v>
      </x:c>
    </x:row>
    <x:row r="61">
      <x:c r="A61" s="90" t="str">
        <x:v>GAP-P1-TASK-003</x:v>
      </x:c>
      <x:c r="B61" s="90" t="str">
        <x:v>P1-TASK-01</x:v>
      </x:c>
      <x:c r="C61" s="90" t="str">
        <x:v>Phase 1</x:v>
      </x:c>
      <x:c r="D61" s="90" t="str">
        <x:v>Task Dashboard</x:v>
      </x:c>
      <x:c r="E61" s="90" t="str">
        <x:v>Task fields are not inline editable</x:v>
      </x:c>
      <x:c r="F61" s="95" t="str">
        <x:v>Name, State, Owner, To Do and Actuals are editable inline and save the same Task record; Estimate is read-only and recalculates as To Do + Actuals.</x:v>
      </x:c>
      <x:c r="G61" s="95" t="str">
        <x:v>Mockup exposes inline controls for all six displayed fields; Name edit was executed and restored. BA refined the rule so Estimate becomes derived rather than independently editable.</x:v>
      </x:c>
      <x:c r="H61" s="95" t="str">
        <x:v>Retest 2026-07-24 on US-1 &gt; Tasks, TA-2: Name opens inline input and saves/restores; To Do and Actuals open inline inputs; Actuals update with Enter recalculates read-only Estimate and Totals; Owner opens inline dropdown; State is an inline row control; Estimate has no input and is derived from To Do + Actuals.</x:v>
      </x:c>
      <x:c r="I61" s="90" t="str">
        <x:v>Functional / UI</x:v>
      </x:c>
      <x:c r="J61" s="90" t="str">
        <x:v>P0</x:v>
      </x:c>
      <x:c r="K61" s="95" t="str">
        <x:v>No Dev fix required for Task Dashboard inline edit. Keep Enter/inline save behavior and derived Estimate = To Do + Actuals. Continue checking Task State labels/catalog separately in GAP-P1-TASK-006.</x:v>
      </x:c>
      <x:c r="L61" s="95" t="str">
        <x:v>No Gap After Retest</x:v>
      </x:c>
      <x:c r="M61" s="95" t="str">
        <x:v>None</x:v>
      </x:c>
      <x:c r="N61" s="95" t="str">
        <x:v>Passed (retest)</x:v>
      </x:c>
      <x:c r="O61" s="95" t="str">
        <x:v>Passed 2026-07-24</x:v>
      </x:c>
      <x:c r="P61" s="95" t="str">
        <x:v>Live browser retest: US-1 Tasks dashboard, TA-2 inline Name/To Do/Actuals/Owner/State and derived Estimate on 2026-07-24</x:v>
      </x:c>
      <x:c r="Q61" s="95" t="str">
        <x:v>BA confirmed Passed. Temporary edits were restored: TA-2 name and actual hours returned to original values.</x:v>
      </x:c>
    </x:row>
    <x:row r="62">
      <x:c r="A62" s="90" t="str">
        <x:v>GAP-P1-TASK-004</x:v>
      </x:c>
      <x:c r="B62" s="90" t="str">
        <x:v>P1-TASK-01</x:v>
      </x:c>
      <x:c r="C62" s="90" t="str">
        <x:v>Phase 1</x:v>
      </x:c>
      <x:c r="D62" s="90" t="str">
        <x:v>Task Detail</x:v>
      </x:c>
      <x:c r="E62" s="90" t="str">
        <x:v>Task ID opens a not-found Work Item route</x:v>
      </x:c>
      <x:c r="F62" s="95" t="str">
        <x:v>Clicking a Task ID opens the same Task identity in Task Detail and Back returns to its parent Task list.</x:v>
      </x:c>
      <x:c r="G62" s="95" t="str">
        <x:v>Mockup TA-482201 opens a Task Detail surface with State, Owner, Project, Team, Work Product and time fields.</x:v>
      </x:c>
      <x:c r="H62" s="95" t="str">
        <x:v>DevInt TA-1 navigates to /item/TA-1 and renders Work item TA-1 not found.</x:v>
      </x:c>
      <x:c r="I62" s="90" t="str">
        <x:v>Functional / Identity</x:v>
      </x:c>
      <x:c r="J62" s="90" t="str">
        <x:v>P0</x:v>
      </x:c>
      <x:c r="K62" s="95" t="str">
        <x:v>Route TA identifiers to Task Detail or use an item resolver that supports Task entities; preserve the parent Work Product link and return path.</x:v>
      </x:c>
      <x:c r="L62" s="95" t="str">
        <x:v>Fix Direction Approved</x:v>
      </x:c>
      <x:c r="M62" s="95" t="str">
        <x:v>FE</x:v>
      </x:c>
      <x:c r="N62" s="95" t="str">
        <x:v>Fixed (retest)</x:v>
      </x:c>
      <x:c r="O62" s="95" t="str">
        <x:v>Passed 2026-07-24</x:v>
      </x:c>
      <x:c r="P62" s="95" t="str">
        <x:v>evidence/retest_2026-07-24/P1-HIST-02-task-empty.png</x:v>
      </x:c>
      <x:c r="Q62" s="95" t="str">
        <x:v>Current build retest 2026-07-24: Clicking TA-11 opened valid Task Detail /item/TA-11 and preserved parent link.</x:v>
      </x:c>
    </x:row>
    <x:row r="63">
      <x:c r="A63" s="90" t="str">
        <x:v>GAP-P1-TASK-005</x:v>
      </x:c>
      <x:c r="B63" s="90" t="str">
        <x:v>P1-TASK-01</x:v>
      </x:c>
      <x:c r="C63" s="90" t="str">
        <x:v>Phase 1</x:v>
      </x:c>
      <x:c r="D63" s="90" t="str">
        <x:v>Create Task modal</x:v>
      </x:c>
      <x:c r="E63" s="90" t="str">
        <x:v>Create with details action is missing</x:v>
      </x:c>
      <x:c r="F63" s="95" t="str">
        <x:v>Task Quick Create supports Cancel, Create and Create with details; the latter opens the same created Task in Detail.</x:v>
      </x:c>
      <x:c r="G63" s="95" t="str">
        <x:v>Mockup provides Create and Create with details.</x:v>
      </x:c>
      <x:c r="H63" s="95" t="str">
        <x:v>DevInt provides only Cancel and Create Task.</x:v>
      </x:c>
      <x:c r="I63" s="90" t="str">
        <x:v>Functional / Navigation</x:v>
      </x:c>
      <x:c r="J63" s="90" t="str">
        <x:v>P1</x:v>
      </x:c>
      <x:c r="K63" s="95" t="str">
        <x:v>Add Create with details and navigate to the created Task Detail using the same Task identity; do not create a duplicate record.</x:v>
      </x:c>
      <x:c r="L63" s="95" t="str">
        <x:v>Fix Direction Approved</x:v>
      </x:c>
      <x:c r="M63" s="95" t="str">
        <x:v>FE</x:v>
      </x:c>
      <x:c r="N63" s="95" t="str">
        <x:v>Still Open</x:v>
      </x:c>
      <x:c r="O63" s="95" t="str">
        <x:v>Still Open 2026-07-24</x:v>
      </x:c>
      <x:c r="P63" s="95" t="str">
        <x:v>evidence/retest_2026-07-24/P1-TASK-01-create.png</x:v>
      </x:c>
      <x:c r="Q63" s="95" t="str">
        <x:v>Current build retest 2026-07-24: Create Task modal still offers only Cancel and Create Task; Create with details is absent.</x:v>
      </x:c>
    </x:row>
    <x:row r="64">
      <x:c r="A64" s="90" t="str">
        <x:v>GAP-P1-TASK-006</x:v>
      </x:c>
      <x:c r="B64" s="90" t="str">
        <x:v>P1-TASK-01</x:v>
      </x:c>
      <x:c r="C64" s="90" t="str">
        <x:v>Phase 1</x:v>
      </x:c>
      <x:c r="D64" s="90" t="str">
        <x:v>Task Dashboard</x:v>
      </x:c>
      <x:c r="E64" s="90" t="str">
        <x:v>Task State label/catalog mismatch</x:v>
      </x:c>
      <x:c r="F64" s="95" t="str">
        <x:v>Task State uses the exact catalog Defined, In-Progress, Completed across Dashboard, Detail and roll-up logic.</x:v>
      </x:c>
      <x:c r="G64" s="95" t="str">
        <x:v>Mockup uses Defined, In-Progress and Completed in both Dashboard and Task Detail.</x:v>
      </x:c>
      <x:c r="H64" s="95" t="str">
        <x:v>Retest 2026-07-24: Task Detail uses the correct dropdown catalog Defined, In-Progress, Completed. Task Dashboard row state control still exposes action/title labels Define, In Progress and Complete instead of the canonical state values Defined, In-Progress and Completed.</x:v>
      </x:c>
      <x:c r="I64" s="90" t="str">
        <x:v>Business Rule / UI</x:v>
      </x:c>
      <x:c r="J64" s="90" t="str">
        <x:v>P0</x:v>
      </x:c>
      <x:c r="K64" s="95" t="str">
        <x:v>Dev must align Task Dashboard state labels/tooltips/catalog with Task Detail: Defined, In-Progress, Completed. Preserve the inline control behavior verified in GAP-P1-TASK-003.</x:v>
      </x:c>
      <x:c r="L64" s="95" t="str">
        <x:v>Gap Confirmed</x:v>
      </x:c>
      <x:c r="M64" s="95" t="str">
        <x:v>FE / Business Rule</x:v>
      </x:c>
      <x:c r="N64" s="95" t="str">
        <x:v>Partial (retest)</x:v>
      </x:c>
      <x:c r="O64" s="95" t="str">
        <x:v>Partial 2026-07-24</x:v>
      </x:c>
      <x:c r="P64" s="95" t="str">
        <x:v>Live browser retest: US-1 Tasks dashboard and TA-2 Task Detail state dropdown on 2026-07-24</x:v>
      </x:c>
      <x:c r="Q64" s="95" t="str">
        <x:v>BA confirmed Partial: dev must fix Dashboard Task State labels to Defined, In-Progress, Completed.</x:v>
      </x:c>
    </x:row>
    <x:row r="65">
      <x:c r="A65" s="90" t="str">
        <x:v>GAP-P1-TASK-007</x:v>
      </x:c>
      <x:c r="B65" s="90" t="str">
        <x:v>P1-TASK-01</x:v>
      </x:c>
      <x:c r="C65" s="90" t="str">
        <x:v>Phase 1</x:v>
      </x:c>
      <x:c r="D65" s="90" t="str">
        <x:v>Create Task modal</x:v>
      </x:c>
      <x:c r="E65" s="90" t="str">
        <x:v>Task Owner default and Unassigned option are inconsistent</x:v>
      </x:c>
      <x:c r="F65" s="95" t="str">
        <x:v>Task Owner behavior is explicit and consistent between Mockup and DevInt.</x:v>
      </x:c>
      <x:c r="G65" s="95" t="str">
        <x:v>Mockup defaults Owner to Marcus Webb but does not offer Unassigned.</x:v>
      </x:c>
      <x:c r="H65" s="95" t="str">
        <x:v>DevInt defaults Owner to Unassigned and also offers named users.</x:v>
      </x:c>
      <x:c r="I65" s="90" t="str">
        <x:v>Business Decision</x:v>
      </x:c>
      <x:c r="J65" s="90" t="str">
        <x:v>P1</x:v>
      </x:c>
      <x:c r="K65" s="95" t="str">
        <x:v>Recommended: align with Work Item creation—default to the authenticated user and retain an explicit Unassigned option because Task ownership is not required.</x:v>
      </x:c>
      <x:c r="L65" s="95" t="str">
        <x:v>Fix Direction Approved</x:v>
      </x:c>
      <x:c r="M65" s="95" t="str">
        <x:v>Business Rule / FE / Mockup</x:v>
      </x:c>
      <x:c r="N65" s="95" t="str">
        <x:v>Still Open</x:v>
      </x:c>
      <x:c r="O65" s="95" t="str">
        <x:v>Still Open 2026-07-24</x:v>
      </x:c>
      <x:c r="P65" s="95" t="str">
        <x:v>evidence/retest_2026-07-24/P1-TASK-01-create.png</x:v>
      </x:c>
      <x:c r="Q65" s="95" t="str">
        <x:v>Current build retest 2026-07-24: Create Task Owner defaults to — No Entry — rather than the agreed current-user default.</x:v>
      </x:c>
    </x:row>
    <x:row r="66">
      <x:c r="A66" s="90" t="str">
        <x:v>GAP-P1-TIME-001</x:v>
      </x:c>
      <x:c r="B66" s="90" t="str">
        <x:v>P1-TIME-01</x:v>
      </x:c>
      <x:c r="C66" s="90" t="str">
        <x:v>Phase 1</x:v>
      </x:c>
      <x:c r="D66" s="90" t="str">
        <x:v>Task Dashboard / Task Detail</x:v>
      </x:c>
      <x:c r="E66" s="90" t="str">
        <x:v>Estimate is not derived from To Do plus Actuals</x:v>
      </x:c>
      <x:c r="F66" s="95" t="str">
        <x:v>For each Task, Estimate = To Do + Actuals. Estimate is read-only. At aggregate level, Total Estimate = Total To Do + Total Actuals and recalculates immediately after either input changes.</x:v>
      </x:c>
      <x:c r="G66" s="95" t="str">
        <x:v>Mockup sample TA-482201 currently has To Do 2, Actuals 0 and Estimate 2; the visual controls must be reconciled so Estimate is no longer independently editable.</x:v>
      </x:c>
      <x:c r="H66" s="95" t="str">
        <x:v>DevInt US-1 totals To Do 4h, Actuals 3h and Estimate 10h. Under the confirmed rule, Total Estimate should be 7h. Task time fields are currently static, so dynamic recalculation cannot be tested.</x:v>
      </x:c>
      <x:c r="I66" s="90" t="str">
        <x:v>Business Rule / Calculation</x:v>
      </x:c>
      <x:c r="J66" s="90" t="str">
        <x:v>P0</x:v>
      </x:c>
      <x:c r="K66" s="95" t="str">
        <x:v>Make To Do and Actuals the editable inputs; calculate read-only Estimate = To Do + Actuals on Dashboard and Detail. Recalculate row and Totals immediately. Align Quick Create and mockup so no independent Estimate edit can violate the formula.</x:v>
      </x:c>
      <x:c r="L66" s="95" t="str">
        <x:v>Fix Direction Approved</x:v>
      </x:c>
      <x:c r="M66" s="95" t="str">
        <x:v>FE / Business Rule / Mockup</x:v>
      </x:c>
      <x:c r="N66" s="95" t="str">
        <x:v>Fixed (retest)</x:v>
      </x:c>
      <x:c r="O66" s="95" t="str">
        <x:v>Passed 2026-07-24</x:v>
      </x:c>
      <x:c r="P66" s="95" t="str">
        <x:v>evidence/retest_2026-07-24/P1-TASK-01-dashboard.png</x:v>
      </x:c>
      <x:c r="Q66" s="95" t="str">
        <x:v>Current build retest 2026-07-24: TA-11 To Do 2h + Actuals 1h produced read-only Estimate 3h; dashboard totals also show 2h, 1h, 3h.</x:v>
      </x:c>
    </x:row>
    <x:row r="67" ht="72" customHeight="1">
      <x:c r="A67" s="90" t="str">
        <x:v>GAP-P1-CREATE-009</x:v>
      </x:c>
      <x:c r="B67" s="90" t="str">
        <x:v>P1-CREATE-01</x:v>
      </x:c>
      <x:c r="C67" s="90" t="str">
        <x:v>Phase 1</x:v>
      </x:c>
      <x:c r="D67" s="90" t="str">
        <x:v>Work Item Create</x:v>
      </x:c>
      <x:c r="E67" s="90" t="str">
        <x:v>Default Schedule/Flow State on create</x:v>
      </x:c>
      <x:c r="F67" s="95" t="str">
        <x:v>A newly created Story/Defect defaults Schedule State and Flow State to Idea.</x:v>
      </x:c>
      <x:c r="G67" s="95" t="str">
        <x:v>Mockup US-4822 defaulted new items to Idea.</x:v>
      </x:c>
      <x:c r="H67" s="95" t="str">
        <x:v>DevInt US-8 (DEVINT-AUDIT CREATE 20260723) was created with Schedule State and Flow State = Defined, not Idea.</x:v>
      </x:c>
      <x:c r="I67" s="90" t="str">
        <x:v>Business Rule</x:v>
      </x:c>
      <x:c r="J67" s="90" t="str">
        <x:v>P1</x:v>
      </x:c>
      <x:c r="K67" s="95" t="str">
        <x:v>Default new Work Item Schedule State and Flow State to Idea on create, in both quick-create and detail.</x:v>
      </x:c>
      <x:c r="L67" s="95" t="str">
        <x:v>Confirmed</x:v>
      </x:c>
      <x:c r="M67" s="95" t="str">
        <x:v>FE / API</x:v>
      </x:c>
      <x:c r="N67" s="95" t="str">
        <x:v>Still Open</x:v>
      </x:c>
      <x:c r="O67" s="95" t="str">
        <x:v>Still Open 2026-07-24</x:v>
      </x:c>
      <x:c r="P67" s="95" t="str">
        <x:v>evidence/retest_2026-07-24/P1-BL-01-list-states.png</x:v>
      </x:c>
      <x:c r="Q67" s="95" t="str">
        <x:v>Current build retest 2026-07-24: New US-14 created with Schedule State = Defined and Flow State = Defined, not Idea.</x:v>
      </x:c>
    </x:row>
    <x:row r="68" ht="72" customHeight="1">
      <x:c r="A68" s="90" t="str">
        <x:v>GAP-P1-TEAM-001</x:v>
      </x:c>
      <x:c r="B68" s="90" t="str">
        <x:v>P1-TEAM-02</x:v>
      </x:c>
      <x:c r="C68" s="90" t="str">
        <x:v>Phase 1</x:v>
      </x:c>
      <x:c r="D68" s="90" t="str">
        <x:v>Settings &gt; Teams / Create Team</x:v>
      </x:c>
      <x:c r="E68" s="90" t="str">
        <x:v>Team Lead requiredness contract</x:v>
      </x:c>
      <x:c r="F68" s="95" t="str">
        <x:v>Team Lead is optional. Create Team must allow No lead/null lead and the Team can be created first; Lead can be assigned later after Team creation.</x:v>
      </x:c>
      <x:c r="G68" s="95" t="str">
        <x:v>Mockup/SRS must explicitly state Team Lead is optional and can be added/changed after Team creation.</x:v>
      </x:c>
      <x:c r="H68" s="95" t="str">
        <x:v>Current build retest 2026-07-24: DevInt Create Team shows Team Lead as optional/No lead, but submitting a valid Team with No lead fails with generic Validation failed. Modal stays open and no Team is created.</x:v>
      </x:c>
      <x:c r="I68" s="90" t="str">
        <x:v>Functional / Validation / Contract</x:v>
      </x:c>
      <x:c r="J68" s="90" t="str">
        <x:v>P1</x:v>
      </x:c>
      <x:c r="K68" s="95" t="str">
        <x:v>Dev must allow Team creation with No lead/null lead and keep Lead assignment editable after creation. BA must update SRS/mockup to document Team Lead optional and assign-later rule. If validation fails for other reasons, show actionable field-level error.</x:v>
      </x:c>
      <x:c r="L68" s="95" t="str">
        <x:v>Fix Direction Approved</x:v>
      </x:c>
      <x:c r="M68" s="95" t="str">
        <x:v>FE / API Contract / BA Docs</x:v>
      </x:c>
      <x:c r="N68" s="95" t="str">
        <x:v>Failed (retest)</x:v>
      </x:c>
      <x:c r="O68" s="95" t="str">
        <x:v>Failed 2026-07-24</x:v>
      </x:c>
      <x:c r="P68" s="95" t="str">
        <x:v>evidence/retest_2026-07-24/P1-TEAM-02-create-no-lead.png</x:v>
      </x:c>
      <x:c r="Q68" s="95" t="str">
        <x:v>BA confirmed 2026-07-24: Team Lead optional; No lead must be accepted on create; add Team Lead later is allowed. Marked Not Pass for DevInt; BA docs/mockup need supplemental rule.</x:v>
      </x:c>
    </x:row>
    <x:row r="69" ht="72" customHeight="1">
      <x:c r="A69" s="90" t="str">
        <x:v>GAP-P1-HIST-001</x:v>
      </x:c>
      <x:c r="B69" s="90" t="str">
        <x:v>P1-HIST-01</x:v>
      </x:c>
      <x:c r="C69" s="90" t="str">
        <x:v>Phase 1</x:v>
      </x:c>
      <x:c r="D69" s="90" t="str">
        <x:v>Work Item Detail / Revision History</x:v>
      </x:c>
      <x:c r="E69" s="90" t="str">
        <x:v>State-change activity labeling / duplicate</x:v>
      </x:c>
      <x:c r="F69" s="95" t="str">
        <x:v>Schedule State and Flow State changes log as distinct, correctly-labeled actions (schedule_state_changed vs flow_state_changed); a single change does not create duplicate rows.</x:v>
      </x:c>
      <x:c r="G69" s="95" t="str">
        <x:v>SRS activity model uses distinct action codes per field (ACT-FR-005).</x:v>
      </x:c>
      <x:c r="H69" s="95" t="str">
        <x:v>On US-8 each state change (via Task roll-up) produced two identical rows both labeled "Schedule State changed from X to Y". The Flow State change is mislabeled as Schedule State or duplicated.</x:v>
      </x:c>
      <x:c r="I69" s="90" t="str">
        <x:v>Functional / Activity Log</x:v>
      </x:c>
      <x:c r="J69" s="90" t="str">
        <x:v>P2</x:v>
      </x:c>
      <x:c r="K69" s="95" t="str">
        <x:v>Log Schedule and Flow changes as separate correctly-labeled actions; avoid duplicate entries for a single mutation.</x:v>
      </x:c>
      <x:c r="L69" s="95" t="str">
        <x:v>Confirmed</x:v>
      </x:c>
      <x:c r="M69" s="95" t="str">
        <x:v>FE / API</x:v>
      </x:c>
      <x:c r="N69" s="95" t="str">
        <x:v>Still Open</x:v>
      </x:c>
      <x:c r="O69" s="95" t="str">
        <x:v>Still Open 2026-07-24</x:v>
      </x:c>
      <x:c r="P69" s="95" t="str">
        <x:v>evidence/retest_2026-07-24/P1-HIST-01-parent-duplicate.png</x:v>
      </x:c>
      <x:c r="Q69" s="95" t="str">
        <x:v>Current build retest 2026-07-24: US-13 history still duplicates/mislabels paired status changes as Schedule State: two rows for completed→in_progress and two Schedule-labeled completion rows.</x:v>
      </x:c>
    </x:row>
    <x:row r="70" ht="72" customHeight="1">
      <x:c r="A70" s="90" t="str">
        <x:v>GAP-P1-HIST-002</x:v>
      </x:c>
      <x:c r="B70" s="90" t="str">
        <x:v>P1-HIST-01</x:v>
      </x:c>
      <x:c r="C70" s="90" t="str">
        <x:v>Phase 1</x:v>
      </x:c>
      <x:c r="D70" s="90" t="str">
        <x:v>Task Detail / Revision History</x:v>
      </x:c>
      <x:c r="E70" s="90" t="str">
        <x:v>Task-level activity not logged</x:v>
      </x:c>
      <x:c r="F70" s="95" t="str">
        <x:v>Task Revision History logs task.created, task.state_changed and task time updates for the Task (ACT-FR-002/005).</x:v>
      </x:c>
      <x:c r="G70" s="95" t="str">
        <x:v>SRS requires Task Detail Revision History with task activity.</x:v>
      </x:c>
      <x:c r="H70" s="95" t="str">
        <x:v>TA-6 Task Revision History shows "No activity recorded yet" despite task create, state changes (Complete then reopen) and time set. Task events appear only in the parent Work Item history.</x:v>
      </x:c>
      <x:c r="I70" s="90" t="str">
        <x:v>Functional / Activity Log</x:v>
      </x:c>
      <x:c r="J70" s="90" t="str">
        <x:v>P1</x:v>
      </x:c>
      <x:c r="K70" s="95" t="str">
        <x:v>Write task-level activity rows (create/state/time) to the Task activity log and show them in Task Revision History.</x:v>
      </x:c>
      <x:c r="L70" s="95" t="str">
        <x:v>Confirmed</x:v>
      </x:c>
      <x:c r="M70" s="95" t="str">
        <x:v>FE / API</x:v>
      </x:c>
      <x:c r="N70" s="95" t="str">
        <x:v>Still Open</x:v>
      </x:c>
      <x:c r="O70" s="95" t="str">
        <x:v>Still Open 2026-07-24</x:v>
      </x:c>
      <x:c r="P70" s="95" t="str">
        <x:v>evidence/retest_2026-07-24/P1-HIST-02-task-empty.png</x:v>
      </x:c>
      <x:c r="Q70" s="95" t="str">
        <x:v>Current build retest 2026-07-24: TA-11 Revision History remains No activity recorded after task creation and state changes.</x:v>
      </x:c>
    </x:row>
    <x:row r="71" ht="72" customHeight="1">
      <x:c r="A71" s="90" t="str">
        <x:v>GAP-P2-IT-001</x:v>
      </x:c>
      <x:c r="B71" s="90" t="str">
        <x:v>P2-IT-01</x:v>
      </x:c>
      <x:c r="C71" s="90" t="str">
        <x:v>Phase 2</x:v>
      </x:c>
      <x:c r="D71" s="90" t="str">
        <x:v>Timeboxes &gt; Iterations list</x:v>
      </x:c>
      <x:c r="E71" s="90" t="str">
        <x:v>Missing Project and Task Estimate columns</x:v>
      </x:c>
      <x:c r="F71" s="95" t="str">
        <x:v>Iterations list shows Name, Theme, Start Date, End Date, Project, Planned Velocity, Task Estimate and State (P2-IT-FR-005).</x:v>
      </x:c>
      <x:c r="G71" s="95" t="str">
        <x:v>Mockup IterationsPage declares project and taskEstimate in its column set.</x:v>
      </x:c>
      <x:c r="H71" s="95" t="str">
        <x:v>DevInt list shows ID, Name, Theme, Start Date, End Date, Planned Velocity and State only. Project and Task Estimate are absent.</x:v>
      </x:c>
      <x:c r="I71" s="90" t="str">
        <x:v>Functional Display</x:v>
      </x:c>
      <x:c r="J71" s="90" t="str">
        <x:v>P1</x:v>
      </x:c>
      <x:c r="K71" s="95" t="str">
        <x:v>Add the Project and Task Estimate columns to the Iterations list using the existing list contract.</x:v>
      </x:c>
      <x:c r="L71" s="95" t="str">
        <x:v>Confirmed</x:v>
      </x:c>
      <x:c r="M71" s="95" t="str">
        <x:v>FE</x:v>
      </x:c>
      <x:c r="N71" s="95" t="str">
        <x:v>Still Open</x:v>
      </x:c>
      <x:c r="O71" s="95" t="str">
        <x:v>Still Open 2026-07-24</x:v>
      </x:c>
      <x:c r="P71" s="95" t="str">
        <x:v>evidence/retest_2026-07-24/P2-IT-01-timeboxes.png</x:v>
      </x:c>
      <x:c r="Q71" s="95" t="str">
        <x:v>Current build retest 2026-07-24: Iterations list still omits Project and Task Estimate; columns remain ID, Name, Theme, dates, Planned Velocity and State.</x:v>
      </x:c>
    </x:row>
    <x:row r="72" ht="72" customHeight="1">
      <x:c r="A72" s="90" t="str">
        <x:v>GAP-P2-IS-003</x:v>
      </x:c>
      <x:c r="B72" s="90" t="str">
        <x:v>P2-IS-01</x:v>
      </x:c>
      <x:c r="C72" s="90" t="str">
        <x:v>Phase 2</x:v>
      </x:c>
      <x:c r="D72" s="90" t="str">
        <x:v>Iteration Status list</x:v>
      </x:c>
      <x:c r="E72" s="90" t="str">
        <x:v>Missing Type column</x:v>
      </x:c>
      <x:c r="F72" s="95" t="str">
        <x:v>List columns are checkbox, rank, ID, Type, Name, Schedule State, Iteration, Blocked, Plan Est, Task Est, To Do, Owner (P2-IS-FR-018).</x:v>
      </x:c>
      <x:c r="G72" s="95" t="str">
        <x:v>Mockup Iteration Status shows the work item Type.</x:v>
      </x:c>
      <x:c r="H72" s="95" t="str">
        <x:v>DevInt list has no Type column; it also adds Feature, Blocked Reason, Tasks, Actual, Defect Status, Milestones and Dev Owner beyond the contract.</x:v>
      </x:c>
      <x:c r="I72" s="90" t="str">
        <x:v>UI / Business</x:v>
      </x:c>
      <x:c r="J72" s="90" t="str">
        <x:v>P2</x:v>
      </x:c>
      <x:c r="K72" s="95" t="str">
        <x:v>Add the Type column; review the extra columns against the approved contract or make them opt-in via Show Fields.</x:v>
      </x:c>
      <x:c r="L72" s="95" t="str">
        <x:v>Confirmed</x:v>
      </x:c>
      <x:c r="M72" s="95" t="str">
        <x:v>FE</x:v>
      </x:c>
      <x:c r="N72" s="95" t="str">
        <x:v>Still Open</x:v>
      </x:c>
      <x:c r="O72" s="95" t="str">
        <x:v>Still Open 2026-07-24</x:v>
      </x:c>
      <x:c r="P72" s="95" t="str">
        <x:v>evidence/retest_2026-07-24/P2-IS-01-iteration-status.png</x:v>
      </x:c>
      <x:c r="Q72" s="95" t="str">
        <x:v>Current build retest 2026-07-24: Iteration Status list still has no Type column and retains extra Feature, Blocked Reason, Tasks, Actual, Defect Status, Milestones and Dev Owner columns.</x:v>
      </x:c>
    </x:row>
    <x:row r="73" ht="72" customHeight="1">
      <x:c r="A73" s="90" t="str">
        <x:v>GAP-P2-IS-004</x:v>
      </x:c>
      <x:c r="B73" s="90" t="str">
        <x:v>P2-IS-01</x:v>
      </x:c>
      <x:c r="C73" s="90" t="str">
        <x:v>Phase 2</x:v>
      </x:c>
      <x:c r="D73" s="90" t="str">
        <x:v>Iteration Status list</x:v>
      </x:c>
      <x:c r="E73" s="90" t="str">
        <x:v>Forbidden per-row Defects column</x:v>
      </x:c>
      <x:c r="F73" s="95" t="str">
        <x:v>The list must not include a per-row Defects column (P2-IS-FR-019). Defects is a summary metric only.</x:v>
      </x:c>
      <x:c r="G73" s="95" t="str">
        <x:v>Mockup Iteration Status has no per-row Defects column.</x:v>
      </x:c>
      <x:c r="H73" s="95" t="str">
        <x:v>DevInt list renders a per-row Defects column plus Defect Status.</x:v>
      </x:c>
      <x:c r="I73" s="90" t="str">
        <x:v>UI / Business</x:v>
      </x:c>
      <x:c r="J73" s="90" t="str">
        <x:v>P2</x:v>
      </x:c>
      <x:c r="K73" s="95" t="str">
        <x:v>Remove the per-row Defects column; keep Defects as the summary metric only.</x:v>
      </x:c>
      <x:c r="L73" s="95" t="str">
        <x:v>Confirmed</x:v>
      </x:c>
      <x:c r="M73" s="95" t="str">
        <x:v>FE</x:v>
      </x:c>
      <x:c r="N73" s="95" t="str">
        <x:v>Still Open</x:v>
      </x:c>
      <x:c r="O73" s="95" t="str">
        <x:v>Still Open 2026-07-24</x:v>
      </x:c>
      <x:c r="P73" s="95" t="str">
        <x:v>evidence/retest_2026-07-24/P2-IS-01-iteration-status.png</x:v>
      </x:c>
      <x:c r="Q73" s="95" t="str">
        <x:v>Current build retest 2026-07-24: Per-row Defects and Defect Status columns are still present.</x:v>
      </x:c>
    </x:row>
    <x:row r="74" ht="72" customHeight="1">
      <x:c r="A74" s="90" t="str">
        <x:v>GAP-P2-IS-005</x:v>
      </x:c>
      <x:c r="B74" s="90" t="str">
        <x:v>P2-IS-01</x:v>
      </x:c>
      <x:c r="C74" s="90" t="str">
        <x:v>Phase 2</x:v>
      </x:c>
      <x:c r="D74" s="90" t="str">
        <x:v>Iteration Status</x:v>
      </x:c>
      <x:c r="E74" s="90" t="str">
        <x:v>Board view toggle exposed</x:v>
      </x:c>
      <x:c r="F74" s="95" t="str">
        <x:v>Iteration Board / Team Board are Future Backlog and absent from active navigation per the reconciled source of truth.</x:v>
      </x:c>
      <x:c r="G74" s="95" t="str">
        <x:v>Mockup Track scope for Phase 2 is Iteration Status only.</x:v>
      </x:c>
      <x:c r="H74" s="95" t="str">
        <x:v>DevInt Iteration Status exposes a List / Board toggle.</x:v>
      </x:c>
      <x:c r="I74" s="90" t="str">
        <x:v>Scope Leakage</x:v>
      </x:c>
      <x:c r="J74" s="90" t="str">
        <x:v>P2</x:v>
      </x:c>
      <x:c r="K74" s="95" t="str">
        <x:v>Hide the Board toggle until the board scope is approved, or get BA approval to bring board execution into scope.</x:v>
      </x:c>
      <x:c r="L74" s="95" t="str">
        <x:v>Confirmed</x:v>
      </x:c>
      <x:c r="M74" s="95" t="str">
        <x:v>FE / Scope</x:v>
      </x:c>
      <x:c r="N74" s="95" t="str">
        <x:v>Still Open</x:v>
      </x:c>
      <x:c r="O74" s="95" t="str">
        <x:v>Still Open 2026-07-24</x:v>
      </x:c>
      <x:c r="P74" s="95" t="str">
        <x:v>evidence/retest_2026-07-24/P2-IS-01-iteration-status.png</x:v>
      </x:c>
      <x:c r="Q74" s="95" t="str">
        <x:v>Current build retest 2026-07-24: List / Board toggle remains exposed even though Board is Future Backlog.</x:v>
      </x:c>
    </x:row>
    <x:row r="75" ht="72" customHeight="1">
      <x:c r="A75" s="90" t="str">
        <x:v>GAP-P2-BL-001</x:v>
      </x:c>
      <x:c r="B75" s="90" t="str">
        <x:v>P2-BL-01</x:v>
      </x:c>
      <x:c r="C75" s="90" t="str">
        <x:v>Phase 2</x:v>
      </x:c>
      <x:c r="D75" s="90" t="str">
        <x:v>Backlog bulk actions</x:v>
      </x:c>
      <x:c r="E75" s="90" t="str">
        <x:v>Missing bulk assign Release/Iteration; unexpected Delete/Copy</x:v>
      </x:c>
      <x:c r="F75" s="95" t="str">
        <x:v>With rows selected the bar offers bulk assign Release (P2-BL-FR-015) and bulk assign Iteration (P2-BL-FR-015A).</x:v>
      </x:c>
      <x:c r="G75" s="95" t="str">
        <x:v>Mockup selected bar exposes release and iteration selects.</x:v>
      </x:c>
      <x:c r="H75" s="95" t="str">
        <x:v>DevInt selection bar shows only Delete and Copy. Bulk assign Release and Iteration are absent; Delete and Copy are not part of the P2.1 bulk contract.</x:v>
      </x:c>
      <x:c r="I75" s="90" t="str">
        <x:v>Functional / Scope</x:v>
      </x:c>
      <x:c r="J75" s="90" t="str">
        <x:v>P1</x:v>
      </x:c>
      <x:c r="K75" s="95" t="str">
        <x:v>Add bulk assign Release and Iteration to the selected bar. Get BA decision on whether bulk Delete/Copy stay in scope and, if kept, define soft-delete and permission rules.</x:v>
      </x:c>
      <x:c r="L75" s="95" t="str">
        <x:v>Confirmed</x:v>
      </x:c>
      <x:c r="M75" s="95" t="str">
        <x:v>FE / API</x:v>
      </x:c>
      <x:c r="N75" s="95" t="str">
        <x:v>Still Open</x:v>
      </x:c>
      <x:c r="O75" s="95" t="str">
        <x:v>Still Open 2026-07-24</x:v>
      </x:c>
      <x:c r="P75" s="95" t="str">
        <x:v>evidence/retest_2026-07-24/P2-BL-01-bulk-actions.png</x:v>
      </x:c>
      <x:c r="Q75" s="95" t="str">
        <x:v>Current build retest 2026-07-24: Selecting US-13 still exposes only Delete and Copy; bulk Assign Release and Assign Iteration are absent.</x:v>
      </x:c>
    </x:row>
    <x:row r="76">
      <x:c r="A76" s="91" t="str">
        <x:v>GAP-P3-TS-001</x:v>
      </x:c>
      <x:c r="B76" s="91" t="str">
        <x:v>P3-TS-01</x:v>
      </x:c>
      <x:c r="C76" s="91" t="str">
        <x:v>Phase 3</x:v>
      </x:c>
      <x:c r="D76" s="91" t="str">
        <x:v>Team Status</x:v>
      </x:c>
      <x:c r="E76" s="91" t="str">
        <x:v>Local search input</x:v>
      </x:c>
      <x:c r="F76" s="92" t="str">
        <x:v>SRS FR-006 requires Team Status to not show a local search input.</x:v>
      </x:c>
      <x:c r="G76" s="92" t="str">
        <x:v>TeamStatusPage.tsx renders no search box; only the Iteration selector row and the dense table.</x:v>
      </x:c>
      <x:c r="H76" s="92" t="str">
        <x:v>DevInt Track &gt; Team Status shows a Search Tasks search input above the table.</x:v>
      </x:c>
      <x:c r="I76" s="91" t="str">
        <x:v>Functional / UI</x:v>
      </x:c>
      <x:c r="J76" s="91" t="str">
        <x:v>P2</x:v>
      </x:c>
      <x:c r="K76" s="92" t="str">
        <x:v>Remove the Team Status local search input to match the approved SRS/mockup.</x:v>
      </x:c>
      <x:c r="L76" s="92" t="str">
        <x:v>Gap Confirmed</x:v>
      </x:c>
      <x:c r="M76" s="92" t="str">
        <x:v>FE</x:v>
      </x:c>
      <x:c r="N76" s="92" t="str">
        <x:v>Still Open</x:v>
      </x:c>
      <x:c r="O76" s="92" t="str">
        <x:v>Still Open 2026-07-24</x:v>
      </x:c>
      <x:c r="P76" s="92" t="str">
        <x:v>evidence/retest_2026-07-24/P3-TS-01-team-status.png</x:v>
      </x:c>
      <x:c r="Q76" s="92" t="str">
        <x:v>Current build retest 2026-07-24: Team Status still shows local Search tasks input.</x:v>
      </x:c>
    </x:row>
    <x:row r="77">
      <x:c r="A77" s="91" t="str">
        <x:v>GAP-P3-TS-002</x:v>
      </x:c>
      <x:c r="B77" s="91" t="str">
        <x:v>P3-TS-01</x:v>
      </x:c>
      <x:c r="C77" s="91" t="str">
        <x:v>Phase 3</x:v>
      </x:c>
      <x:c r="D77" s="91" t="str">
        <x:v>Team Status</x:v>
      </x:c>
      <x:c r="E77" s="91" t="str">
        <x:v>Filters/Show Fields/pagination controls</x:v>
      </x:c>
      <x:c r="F77" s="92" t="str">
        <x:v>SRS section 7 screen mapping lists only the Iteration selector plus dense table with totals row; no Filters, Show Fields or pagination.</x:v>
      </x:c>
      <x:c r="G77" s="92" t="str">
        <x:v>TeamStatusPage.tsx renders none of these controls.</x:v>
      </x:c>
      <x:c r="H77" s="92" t="str">
        <x:v>DevInt shows a Filters button, a Show Fields button and full pagination (Rows per page, Page X of Y) copied from the Iteration Status/Backlog template.</x:v>
      </x:c>
      <x:c r="I77" s="91" t="str">
        <x:v>Functional / UI</x:v>
      </x:c>
      <x:c r="J77" s="91" t="str">
        <x:v>P2</x:v>
      </x:c>
      <x:c r="K77" s="92" t="str">
        <x:v>Remove Filters/Show Fields/pagination from Team Status, or get explicit BA sign-off if this is an intentional deviation from the approved mockup.</x:v>
      </x:c>
      <x:c r="L77" s="92" t="str">
        <x:v>Gap Confirmed</x:v>
      </x:c>
      <x:c r="M77" s="92" t="str">
        <x:v>FE</x:v>
      </x:c>
      <x:c r="N77" s="92" t="str">
        <x:v>Still Open</x:v>
      </x:c>
      <x:c r="O77" s="92" t="str">
        <x:v>Still Open 2026-07-24</x:v>
      </x:c>
      <x:c r="P77" s="92" t="str">
        <x:v>evidence/retest_2026-07-24/P3-TS-01-team-status.png</x:v>
      </x:c>
      <x:c r="Q77" s="92" t="str">
        <x:v>Current build retest 2026-07-24: Team Status still exposes Filters, Show Fields and full rows-per-page pagination.</x:v>
      </x:c>
    </x:row>
    <x:row r="78">
      <x:c r="A78" s="91" t="str">
        <x:v>GAP-P3-TS-003</x:v>
      </x:c>
      <x:c r="B78" s="91" t="str">
        <x:v>P3-TS-01</x:v>
      </x:c>
      <x:c r="C78" s="91" t="str">
        <x:v>Phase 3</x:v>
      </x:c>
      <x:c r="D78" s="91" t="str">
        <x:v>Team Status</x:v>
      </x:c>
      <x:c r="E78" s="91" t="str">
        <x:v>Breadcrumb</x:v>
      </x:c>
      <x:c r="F78" s="92" t="str">
        <x:v>FR-002: breadcrumb displays current Project, Track, and Team status.</x:v>
      </x:c>
      <x:c r="G78" s="92" t="str">
        <x:v>Mockup shows Nexus Platform 2025 &gt; Track &gt; Team status.</x:v>
      </x:c>
      <x:c r="H78" s="92" t="str">
        <x:v>DevInt breadcrumb shows ACME Corp &gt; Team Status only - uses the Org name instead of the Project name and drops the Track segment entirely.</x:v>
      </x:c>
      <x:c r="I78" s="91" t="str">
        <x:v>Functional / Navigation</x:v>
      </x:c>
      <x:c r="J78" s="91" t="str">
        <x:v>P2</x:v>
      </x:c>
      <x:c r="K78" s="92" t="str">
        <x:v>Fix breadcrumb to show [Project] &gt; Track &gt; Team status.</x:v>
      </x:c>
      <x:c r="L78" s="92" t="str">
        <x:v>Gap Confirmed</x:v>
      </x:c>
      <x:c r="M78" s="92" t="str">
        <x:v>FE</x:v>
      </x:c>
      <x:c r="N78" s="92" t="str">
        <x:v>Still Open</x:v>
      </x:c>
      <x:c r="O78" s="92" t="str">
        <x:v>Still Open 2026-07-24</x:v>
      </x:c>
      <x:c r="P78" s="92" t="str">
        <x:v>evidence/retest_2026-07-24/P3-TS-01-team-status.png</x:v>
      </x:c>
      <x:c r="Q78" s="92" t="str">
        <x:v>Current build retest 2026-07-24: Breadcrumb remains ACME Corp &gt; Team Status; Project &gt; Track &gt; Team Status hierarchy is absent.</x:v>
      </x:c>
    </x:row>
    <x:row r="79">
      <x:c r="A79" s="91" t="str">
        <x:v>GAP-P3-TS-004</x:v>
      </x:c>
      <x:c r="B79" s="91" t="str">
        <x:v>P3-TS-01</x:v>
      </x:c>
      <x:c r="C79" s="91" t="str">
        <x:v>Phase 3</x:v>
      </x:c>
      <x:c r="D79" s="91" t="str">
        <x:v>Team Status</x:v>
      </x:c>
      <x:c r="E79" s="91" t="str">
        <x:v>Parent auto-completion reopen rule</x:v>
      </x:c>
      <x:c r="F79" s="92" t="str">
        <x:v>FR-041: reopening a Task after all child Tasks had been Completed must recalculate metrics and automatically set the parent Story/Defect status to In-Progress.</x:v>
      </x:c>
      <x:c r="G79" s="92" t="str">
        <x:v>Mockup is local-state only and does not implement backend status automation.</x:v>
      </x:c>
      <x:c r="H79" s="92" t="str">
        <x:v>Verified live on two cases. US-8/TA-6 (parent purely Completed): reopening TA-6 correctly reverts US-8 to In-Progress. US-11/TA-8 (parent already manually promoted to Accepted): reopening the only child Task TA-8 does NOT revert the parent; US-11 stays Accepted.</x:v>
      </x:c>
      <x:c r="I79" s="91" t="str">
        <x:v>Business Rule</x:v>
      </x:c>
      <x:c r="J79" s="91" t="str">
        <x:v>P2</x:v>
      </x:c>
      <x:c r="K79" s="92" t="str">
        <x:v>BA to confirm intended behavior - should reopening a Task always force the parent back to In-Progress even from Accepted, or is Accepted meant to be protected from this automation.</x:v>
      </x:c>
      <x:c r="L79" s="92" t="str">
        <x:v>Fix Direction Approved</x:v>
      </x:c>
      <x:c r="M79" s="92" t="str">
        <x:v>FE / Business Rule</x:v>
      </x:c>
      <x:c r="N79" s="92" t="str">
        <x:v>Still Open</x:v>
      </x:c>
      <x:c r="O79" s="92" t="str">
        <x:v>Still Open 2026-07-24</x:v>
      </x:c>
      <x:c r="P79" s="92" t="str">
        <x:v>evidence/retest_2026-07-24/P3-TS-01-accepted-reopen.png</x:v>
      </x:c>
      <x:c r="Q79" s="92" t="str">
        <x:v>Current build retest 2026-07-24: US-13 moved to Completed when TA-11 completed, but after manual parent Accepted then reopening TA-11, parent remained Accepted instead of reverting to In-Progress. Test data was manually restored.</x:v>
      </x:c>
    </x:row>
    <x:row r="80">
      <x:c r="A80" s="91" t="str">
        <x:v>GAP-P3-TS-005</x:v>
      </x:c>
      <x:c r="B80" s="91" t="str">
        <x:v>P3-TS-01</x:v>
      </x:c>
      <x:c r="C80" s="91" t="str">
        <x:v>Phase 3</x:v>
      </x:c>
      <x:c r="D80" s="91" t="str">
        <x:v>Team Status</x:v>
      </x:c>
      <x:c r="E80" s="91" t="str">
        <x:v>Task State control type</x:v>
      </x:c>
      <x:c r="F80" s="92" t="str">
        <x:v>FR-021/022: Task State is an inline editable dropdown with exactly Defined, In-Progress, Completed.</x:v>
      </x:c>
      <x:c r="G80" s="92" t="str">
        <x:v>TeamStatusPage.tsx ItemRow renders a native select element with the 3 full-text options.</x:v>
      </x:c>
      <x:c r="H80" s="92" t="str">
        <x:v>DevInt renders a 3-segment icon toggle group instead of a dropdown; the 2 non-active segments render with transparent text so no label is visible, only the active segment shows a letter.</x:v>
      </x:c>
      <x:c r="I80" s="91" t="str">
        <x:v>UI / UX</x:v>
      </x:c>
      <x:c r="J80" s="91" t="str">
        <x:v>P2</x:v>
      </x:c>
      <x:c r="K80" s="92" t="str">
        <x:v>Match the approved dropdown control, or at minimum fix the toggle label visibility for the non-selected states.</x:v>
      </x:c>
      <x:c r="L80" s="92" t="str">
        <x:v>Gap Confirmed</x:v>
      </x:c>
      <x:c r="M80" s="92" t="str">
        <x:v>FE</x:v>
      </x:c>
      <x:c r="N80" s="92" t="str">
        <x:v>Still Open</x:v>
      </x:c>
      <x:c r="O80" s="92" t="str">
        <x:v>Still Open 2026-07-24</x:v>
      </x:c>
      <x:c r="P80" s="92" t="str">
        <x:v>evidence/retest_2026-07-24/P3-TS-01-TA10.png</x:v>
      </x:c>
      <x:c r="Q80" s="92" t="str">
        <x:v>Current build retest 2026-07-24: Team Status Task State remains a three-segment toggle group, not the required inline dropdown.</x:v>
      </x:c>
    </x:row>
    <x:row r="81">
      <x:c r="A81" s="91" t="str">
        <x:v>GAP-P3-TS-006</x:v>
      </x:c>
      <x:c r="B81" s="91" t="str">
        <x:v>P3-TS-01</x:v>
      </x:c>
      <x:c r="C81" s="91" t="str">
        <x:v>Phase 3</x:v>
      </x:c>
      <x:c r="D81" s="91" t="str">
        <x:v>Team Status</x:v>
      </x:c>
      <x:c r="E81" s="91" t="str">
        <x:v>Estimate/ToDo/Actuals default display</x:v>
      </x:c>
      <x:c r="F81" s="92" t="str">
        <x:v>SRS 8.3: Estimate, ToDo and Actuals default to 0 when not set.</x:v>
      </x:c>
      <x:c r="G81" s="92" t="str">
        <x:v>Mock data always seeds numeric task hours; no null case shown in mockup.</x:v>
      </x:c>
      <x:c r="H81" s="92" t="str">
        <x:v>Task row TA-10 (no estimate/todo/actual data) displays an em-dash in all three columns instead of 0.</x:v>
      </x:c>
      <x:c r="I81" s="91" t="str">
        <x:v>Functional / Data</x:v>
      </x:c>
      <x:c r="J81" s="91" t="str">
        <x:v>P3</x:v>
      </x:c>
      <x:c r="K81" s="92" t="str">
        <x:v>Default missing Estimate/ToDo/Actuals to 0 instead of a dash placeholder.</x:v>
      </x:c>
      <x:c r="L81" s="92" t="str">
        <x:v>Gap Confirmed</x:v>
      </x:c>
      <x:c r="M81" s="92" t="str">
        <x:v>FE</x:v>
      </x:c>
      <x:c r="N81" s="92" t="str">
        <x:v>Still Open</x:v>
      </x:c>
      <x:c r="O81" s="92" t="str">
        <x:v>Still Open 2026-07-24</x:v>
      </x:c>
      <x:c r="P81" s="92" t="str">
        <x:v>evidence/retest_2026-07-24/P3-TS-01-TA10.png</x:v>
      </x:c>
      <x:c r="Q81" s="92" t="str">
        <x:v>Current build retest 2026-07-24: Expanded TA-10 still displays em dashes for Estimate, To Do and Actuals instead of 0.</x:v>
      </x:c>
    </x:row>
    <x:row r="82">
      <x:c r="A82" s="91" t="str">
        <x:v>GAP-P3-TS-007</x:v>
      </x:c>
      <x:c r="B82" s="91" t="str">
        <x:v>P3-TS-01</x:v>
      </x:c>
      <x:c r="C82" s="91" t="str">
        <x:v>Phase 3</x:v>
      </x:c>
      <x:c r="D82" s="91" t="str">
        <x:v>Team Status</x:v>
      </x:c>
      <x:c r="E82" s="91" t="str">
        <x:v>Task Dashboard state labels</x:v>
      </x:c>
      <x:c r="F82" s="92" t="str">
        <x:v>FR-022/038: Task State values are exactly Defined, In-Progress, Completed.</x:v>
      </x:c>
      <x:c r="G82" s="92" t="str">
        <x:v>Mockup consistently uses the full labels.</x:v>
      </x:c>
      <x:c r="H82" s="92" t="str">
        <x:v>Work Item Detail Tasks tab state buttons are labeled Define, In Progress, Complete instead of the exact catalog wording.</x:v>
      </x:c>
      <x:c r="I82" s="91" t="str">
        <x:v>UI Copy</x:v>
      </x:c>
      <x:c r="J82" s="91" t="str">
        <x:v>P3</x:v>
      </x:c>
      <x:c r="K82" s="92" t="str">
        <x:v>Correct the button labels to Defined / In-Progress / Completed.</x:v>
      </x:c>
      <x:c r="L82" s="92" t="str">
        <x:v>Gap Confirmed</x:v>
      </x:c>
      <x:c r="M82" s="92" t="str">
        <x:v>FE</x:v>
      </x:c>
      <x:c r="N82" s="92" t="str">
        <x:v>Still Open</x:v>
      </x:c>
      <x:c r="O82" s="92" t="str">
        <x:v>Still Open 2026-07-24</x:v>
      </x:c>
      <x:c r="P82" s="92" t="str">
        <x:v>evidence/retest_2026-07-24/P1-TASK-01-dashboard.png</x:v>
      </x:c>
      <x:c r="Q82" s="92" t="str">
        <x:v>Current build retest 2026-07-24: Task Dashboard still uses Define, In Progress and Complete rather than Defined, In-Progress and Completed.</x:v>
      </x:c>
    </x:row>
    <x:row r="83">
      <x:c r="A83" s="91" t="str">
        <x:v>GAP-P3-REL-001</x:v>
      </x:c>
      <x:c r="B83" s="91" t="str">
        <x:v>P3-REL-01</x:v>
      </x:c>
      <x:c r="C83" s="91" t="str">
        <x:v>Phase 3</x:v>
      </x:c>
      <x:c r="D83" s="91" t="str">
        <x:v>Release Detail</x:v>
      </x:c>
      <x:c r="E83" s="91" t="str">
        <x:v>Release Progress widget</x:v>
      </x:c>
      <x:c r="F83" s="92" t="str">
        <x:v>FR-037: Phase 3 Release list/detail must not add a Release Progress column or widget; Progress is deferred to Phase 5 Portfolio &gt; Release Planning.</x:v>
      </x:c>
      <x:c r="G83" s="92" t="str">
        <x:v>ReleasesPage.tsx mockup has no burndown chart.</x:v>
      </x:c>
      <x:c r="H83" s="92" t="str">
        <x:v>DevInt Release detail (RE-2) shows a Burndown section with a chart placeholder below the Task Roll-up panel.</x:v>
      </x:c>
      <x:c r="I83" s="91" t="str">
        <x:v>Business Rule / Scope Leakage</x:v>
      </x:c>
      <x:c r="J83" s="91" t="str">
        <x:v>P2</x:v>
      </x:c>
      <x:c r="K83" s="92" t="str">
        <x:v>Remove the Burndown widget from Release detail for Phase 3.2; defer to Phase 5 Release Planning per SRS.</x:v>
      </x:c>
      <x:c r="L83" s="92" t="str">
        <x:v>Gap Confirmed</x:v>
      </x:c>
      <x:c r="M83" s="92" t="str">
        <x:v>FE / Scope</x:v>
      </x:c>
      <x:c r="N83" s="92" t="str">
        <x:v>Still Open</x:v>
      </x:c>
      <x:c r="O83" s="92" t="str">
        <x:v>Still Open 2026-07-24</x:v>
      </x:c>
      <x:c r="P83" s="92" t="str">
        <x:v>evidence/retest_2026-07-24/P3-REL-01-detail-burndown.png</x:v>
      </x:c>
      <x:c r="Q83" s="92" t="str">
        <x:v>Current build retest 2026-07-24: RE-2 Detail still shows Task Roll-up plus Burndown placeholder, which is deferred to Phase 5.</x:v>
      </x:c>
    </x:row>
    <x:row r="84">
      <x:c r="A84" s="91" t="str">
        <x:v>GAP-P3-REL-002</x:v>
      </x:c>
      <x:c r="B84" s="91" t="str">
        <x:v>P3-REL-02</x:v>
      </x:c>
      <x:c r="C84" s="91" t="str">
        <x:v>Phase 3</x:v>
      </x:c>
      <x:c r="D84" s="91" t="str">
        <x:v>Release Artifacts</x:v>
      </x:c>
      <x:c r="E84" s="91" t="str">
        <x:v>Release Artifacts assignment display</x:v>
      </x:c>
      <x:c r="F84" s="92" t="str">
        <x:v>FR-029/032: Release Artifacts view shows the Story/Defect work items assigned to the Release.</x:v>
      </x:c>
      <x:c r="G84" s="92" t="str">
        <x:v>Mockup local state appends the assigned item to the Release artifact list immediately on assignment.</x:v>
      </x:c>
      <x:c r="H84" s="92" t="str">
        <x:v>Assigned US-11 to RE-2 from the Backlog Release picker; Backlog Release column and the Release list Task Est. roll-up both updated correctly (6h), but RE-2 Artifacts tab still showed No artifacts linked to this release even after a hard page reload.</x:v>
      </x:c>
      <x:c r="I84" s="91" t="str">
        <x:v>Functional / Data</x:v>
      </x:c>
      <x:c r="J84" s="91" t="str">
        <x:v>P0</x:v>
      </x:c>
      <x:c r="K84" s="92" t="str">
        <x:v>Fix the Release Artifacts query so it returns work items whose Release assignment matches; this blocks all reassignment-refresh testing (FR-031/036/038) until fixed.</x:v>
      </x:c>
      <x:c r="L84" s="92" t="str">
        <x:v>Gap Confirmed</x:v>
      </x:c>
      <x:c r="M84" s="92" t="str">
        <x:v>FE / API</x:v>
      </x:c>
      <x:c r="N84" s="92" t="str">
        <x:v>Still Open</x:v>
      </x:c>
      <x:c r="O84" s="92" t="str">
        <x:v>Still Open 2026-07-24</x:v>
      </x:c>
      <x:c r="P84" s="92" t="str">
        <x:v>evidence/retest_2026-07-24/P3-REL-02-artifacts-empty.png</x:v>
      </x:c>
      <x:c r="Q84" s="92" t="str">
        <x:v>Current build retest 2026-07-24: Assigned US-13 to RE-2 successfully, but RE-2 Artifacts still showed No artifacts linked after reload; release was then cleared from US-13.</x:v>
      </x:c>
    </x:row>
    <x:row r="85">
      <x:c r="A85" s="91" t="str">
        <x:v>GAP-P3-MS-001</x:v>
      </x:c>
      <x:c r="B85" s="91" t="str">
        <x:v>P3-MS-03</x:v>
      </x:c>
      <x:c r="C85" s="91" t="str">
        <x:v>Phase 3</x:v>
      </x:c>
      <x:c r="D85" s="91" t="str">
        <x:v>Milestone Artifacts</x:v>
      </x:c>
      <x:c r="E85" s="91" t="str">
        <x:v>Add Artifact control</x:v>
      </x:c>
      <x:c r="F85" s="92" t="str">
        <x:v>FR-028: Add Artifact follows the Backlog Story/Defect create/picker pattern and appends the current Milestone relationship.</x:v>
      </x:c>
      <x:c r="G85" s="92" t="str">
        <x:v>Mockup checklist item M5.3 confirms Milestone Artifacts should support assigning Story/Defect work items.</x:v>
      </x:c>
      <x:c r="H85" s="92" t="str">
        <x:v>MS-2 Artifacts tab shows only a search box and a No artifacts linked to this milestone empty state; there is no Add Artifact button or control anywhere on the tab.</x:v>
      </x:c>
      <x:c r="I85" s="91" t="str">
        <x:v>Functional / Scope</x:v>
      </x:c>
      <x:c r="J85" s="91" t="str">
        <x:v>P0</x:v>
      </x:c>
      <x:c r="K85" s="92" t="str">
        <x:v>Implement the Add Artifact control on the Milestone Artifacts tab following the Backlog picker pattern.</x:v>
      </x:c>
      <x:c r="L85" s="92" t="str">
        <x:v>Gap Confirmed</x:v>
      </x:c>
      <x:c r="M85" s="92" t="str">
        <x:v>FE</x:v>
      </x:c>
      <x:c r="N85" s="92" t="str">
        <x:v>Still Open</x:v>
      </x:c>
      <x:c r="O85" s="92" t="str">
        <x:v>Still Open 2026-07-24</x:v>
      </x:c>
      <x:c r="P85" s="92" t="str">
        <x:v>evidence/retest_2026-07-24/P3-MS-03-artifacts-no-add.png</x:v>
      </x:c>
      <x:c r="Q85" s="92" t="str">
        <x:v>Current build retest 2026-07-24: MS-2 Artifacts still has search and empty state only; no Add Artifact control.</x:v>
      </x:c>
    </x:row>
    <x:row r="86">
      <x:c r="A86" s="91" t="str">
        <x:v>GAP-P3-MS-002</x:v>
      </x:c>
      <x:c r="B86" s="91" t="str">
        <x:v>P3-MS-03</x:v>
      </x:c>
      <x:c r="C86" s="91" t="str">
        <x:v>Phase 3</x:v>
      </x:c>
      <x:c r="D86" s="91" t="str">
        <x:v>Work Item Detail</x:v>
      </x:c>
      <x:c r="E86" s="91" t="str">
        <x:v>Work Item Milestone multi-select</x:v>
      </x:c>
      <x:c r="F86" s="92" t="str">
        <x:v>FR-025: Work Item Milestone assignment uses a multi-select control; selected Milestones always remain visible.</x:v>
      </x:c>
      <x:c r="G86" s="92" t="str">
        <x:v>Not covered in the Work Item Detail mockup component reviewed this session.</x:v>
      </x:c>
      <x:c r="H86" s="92" t="str">
        <x:v>US-8 Work Item Detail right panel shows a Milestones row with static text No milestones - confirmed via accessibility tree that it has zero interactive control, not even a button.</x:v>
      </x:c>
      <x:c r="I86" s="91" t="str">
        <x:v>Functional / Scope</x:v>
      </x:c>
      <x:c r="J86" s="91" t="str">
        <x:v>P0</x:v>
      </x:c>
      <x:c r="K86" s="92" t="str">
        <x:v>Implement the Milestone multi-select control on Work Item Detail. Combined with GAP-P3-MS-001, Milestone-to-Work-Item assignment is currently unreachable from both directions.</x:v>
      </x:c>
      <x:c r="L86" s="92" t="str">
        <x:v>Gap Confirmed</x:v>
      </x:c>
      <x:c r="M86" s="92" t="str">
        <x:v>FE / API</x:v>
      </x:c>
      <x:c r="N86" s="92" t="str">
        <x:v>Fixed (retest)</x:v>
      </x:c>
      <x:c r="O86" s="92" t="str">
        <x:v>Passed 2026-07-24</x:v>
      </x:c>
      <x:c r="P86" s="92" t="str">
        <x:v>evidence/retest_2026-07-24/P3-MS-03-workitem-multi.png</x:v>
      </x:c>
      <x:c r="Q86" s="92" t="str">
        <x:v>Current build retest 2026-07-24: US-13 Milestones is interactive and accepted MS-1 and MS-2 simultaneously; both remained visible in Selected. Assignments were then cleared.</x:v>
      </x:c>
    </x:row>
    <x:row r="87">
      <x:c r="A87" s="91" t="str">
        <x:v>GAP-P3-QA-001</x:v>
      </x:c>
      <x:c r="B87" s="91" t="str">
        <x:v>P3-QA-01</x:v>
      </x:c>
      <x:c r="C87" s="91" t="str">
        <x:v>Phase 3</x:v>
      </x:c>
      <x:c r="D87" s="91" t="str">
        <x:v>Quality/Defect</x:v>
      </x:c>
      <x:c r="E87" s="91" t="str">
        <x:v>Create Defect from Quality</x:v>
      </x:c>
      <x:c r="F87" s="92" t="str">
        <x:v>FR-006/AC-6: user can create a Defect from Quality &gt; Defect.</x:v>
      </x:c>
      <x:c r="G87" s="92" t="str">
        <x:v>Mockup appends a new Defect row to local state immediately on submit.</x:v>
      </x:c>
      <x:c r="H87" s="92" t="str">
        <x:v>Filled Name, Severity (Major Problem) and Priority (Normal) in the Quality &gt; Defect Add New modal and submitted; the modal closed with no visible error, but no new Defect row appeared and the Open Defects KPI stayed at 3. Reproduced twice, confirmed again after a fresh navigation.</x:v>
      </x:c>
      <x:c r="I87" s="91" t="str">
        <x:v>Functional</x:v>
      </x:c>
      <x:c r="J87" s="91" t="str">
        <x:v>P0</x:v>
      </x:c>
      <x:c r="K87" s="92" t="str">
        <x:v>Fix Defect creation from the Quality &gt; Defect entry point; also verify Backlog-side Defect creation still works as a comparison point.</x:v>
      </x:c>
      <x:c r="L87" s="92" t="str">
        <x:v>Gap Confirmed</x:v>
      </x:c>
      <x:c r="M87" s="92" t="str">
        <x:v>FE / API</x:v>
      </x:c>
      <x:c r="N87" s="92" t="str">
        <x:v>Still Open</x:v>
      </x:c>
      <x:c r="O87" s="92" t="str">
        <x:v>Still Open 2026-07-24</x:v>
      </x:c>
      <x:c r="P87" s="92" t="str">
        <x:v>evidence/retest_2026-07-24/P3-QA-01-create-defect.png</x:v>
      </x:c>
      <x:c r="Q87" s="92" t="str">
        <x:v>Current build retest 2026-07-24: Quality &gt; Defects create still fails; current build keeps the modal open and shows Failed to create defect (405), and no new row/KPI change occurs.</x:v>
      </x:c>
    </x:row>
    <x:row r="88">
      <x:c r="A88" s="90"/>
      <x:c r="B88" s="90"/>
      <x:c r="C88" s="90"/>
      <x:c r="D88" s="90"/>
      <x:c r="E88" s="90"/>
      <x:c r="F88" s="95"/>
      <x:c r="G88" s="95"/>
      <x:c r="H88" s="95"/>
      <x:c r="I88" s="90"/>
      <x:c r="J88" s="90"/>
      <x:c r="K88" s="95"/>
      <x:c r="L88" s="95"/>
      <x:c r="M88" s="95"/>
      <x:c r="N88" s="95"/>
      <x:c r="O88" s="95"/>
      <x:c r="P88" s="95"/>
      <x:c r="Q88" s="95"/>
    </x:row>
    <x:row r="89">
      <x:c r="A89" s="90"/>
      <x:c r="B89" s="90"/>
      <x:c r="C89" s="90"/>
      <x:c r="D89" s="90"/>
      <x:c r="E89" s="90"/>
      <x:c r="F89" s="95"/>
      <x:c r="G89" s="95"/>
      <x:c r="H89" s="95"/>
      <x:c r="I89" s="90"/>
      <x:c r="J89" s="90"/>
      <x:c r="K89" s="95"/>
      <x:c r="L89" s="95"/>
      <x:c r="M89" s="95"/>
      <x:c r="N89" s="95"/>
      <x:c r="O89" s="95"/>
      <x:c r="P89" s="95"/>
      <x:c r="Q89" s="95"/>
    </x:row>
    <x:row r="90">
      <x:c r="A90" s="90"/>
      <x:c r="B90" s="90"/>
      <x:c r="C90" s="90"/>
      <x:c r="D90" s="90"/>
      <x:c r="E90" s="90"/>
      <x:c r="F90" s="95"/>
      <x:c r="G90" s="95"/>
      <x:c r="H90" s="95"/>
      <x:c r="I90" s="90"/>
      <x:c r="J90" s="90"/>
      <x:c r="K90" s="95"/>
      <x:c r="L90" s="95"/>
      <x:c r="M90" s="95"/>
      <x:c r="N90" s="95"/>
      <x:c r="O90" s="95"/>
      <x:c r="P90" s="95"/>
      <x:c r="Q90" s="95"/>
    </x:row>
    <x:row r="91">
      <x:c r="A91" s="90"/>
      <x:c r="B91" s="90"/>
      <x:c r="C91" s="90"/>
      <x:c r="D91" s="90"/>
      <x:c r="E91" s="90"/>
      <x:c r="F91" s="95"/>
      <x:c r="G91" s="95"/>
      <x:c r="H91" s="95"/>
      <x:c r="I91" s="90"/>
      <x:c r="J91" s="90"/>
      <x:c r="K91" s="95"/>
      <x:c r="L91" s="95"/>
      <x:c r="M91" s="95"/>
      <x:c r="N91" s="95"/>
      <x:c r="O91" s="95"/>
      <x:c r="P91" s="95"/>
      <x:c r="Q91" s="95"/>
    </x:row>
    <x:row r="92">
      <x:c r="A92" s="90"/>
      <x:c r="B92" s="90"/>
      <x:c r="C92" s="90"/>
      <x:c r="D92" s="90"/>
      <x:c r="E92" s="90"/>
      <x:c r="F92" s="95"/>
      <x:c r="G92" s="95"/>
      <x:c r="H92" s="95"/>
      <x:c r="I92" s="90"/>
      <x:c r="J92" s="90"/>
      <x:c r="K92" s="95"/>
      <x:c r="L92" s="95"/>
      <x:c r="M92" s="95"/>
      <x:c r="N92" s="95"/>
      <x:c r="O92" s="95"/>
      <x:c r="P92" s="95"/>
      <x:c r="Q92" s="95"/>
    </x:row>
    <x:row r="93">
      <x:c r="A93" s="90"/>
      <x:c r="B93" s="90"/>
      <x:c r="C93" s="90"/>
      <x:c r="D93" s="90"/>
      <x:c r="E93" s="90"/>
      <x:c r="F93" s="95"/>
      <x:c r="G93" s="95"/>
      <x:c r="H93" s="95"/>
      <x:c r="I93" s="90"/>
      <x:c r="J93" s="90"/>
      <x:c r="K93" s="95"/>
      <x:c r="L93" s="95"/>
      <x:c r="M93" s="95"/>
      <x:c r="N93" s="95"/>
      <x:c r="O93" s="95"/>
      <x:c r="P93" s="95"/>
      <x:c r="Q93" s="95"/>
    </x:row>
    <x:row r="94">
      <x:c r="A94" s="90"/>
      <x:c r="B94" s="90"/>
      <x:c r="C94" s="90"/>
      <x:c r="D94" s="90"/>
      <x:c r="E94" s="90"/>
      <x:c r="F94" s="95"/>
      <x:c r="G94" s="95"/>
      <x:c r="H94" s="95"/>
      <x:c r="I94" s="90"/>
      <x:c r="J94" s="90"/>
      <x:c r="K94" s="95"/>
      <x:c r="L94" s="95"/>
      <x:c r="M94" s="95"/>
      <x:c r="N94" s="95"/>
      <x:c r="O94" s="95"/>
      <x:c r="P94" s="95"/>
      <x:c r="Q94" s="95"/>
    </x:row>
    <x:row r="95">
      <x:c r="A95" s="90"/>
      <x:c r="B95" s="90"/>
      <x:c r="C95" s="90"/>
      <x:c r="D95" s="90"/>
      <x:c r="E95" s="90"/>
      <x:c r="F95" s="95"/>
      <x:c r="G95" s="95"/>
      <x:c r="H95" s="95"/>
      <x:c r="I95" s="90"/>
      <x:c r="J95" s="90"/>
      <x:c r="K95" s="95"/>
      <x:c r="L95" s="95"/>
      <x:c r="M95" s="95"/>
      <x:c r="N95" s="95"/>
      <x:c r="O95" s="95"/>
      <x:c r="P95" s="95"/>
      <x:c r="Q95" s="95"/>
    </x:row>
    <x:row r="96">
      <x:c r="A96" s="90"/>
      <x:c r="B96" s="90"/>
      <x:c r="C96" s="90"/>
      <x:c r="D96" s="90"/>
      <x:c r="E96" s="90"/>
      <x:c r="F96" s="95"/>
      <x:c r="G96" s="95"/>
      <x:c r="H96" s="95"/>
      <x:c r="I96" s="90"/>
      <x:c r="J96" s="90"/>
      <x:c r="K96" s="95"/>
      <x:c r="L96" s="95"/>
      <x:c r="M96" s="95"/>
      <x:c r="N96" s="95"/>
      <x:c r="O96" s="95"/>
      <x:c r="P96" s="95"/>
      <x:c r="Q96" s="95"/>
    </x:row>
    <x:row r="97">
      <x:c r="A97" s="90"/>
      <x:c r="B97" s="90"/>
      <x:c r="C97" s="90"/>
      <x:c r="D97" s="90"/>
      <x:c r="E97" s="90"/>
      <x:c r="F97" s="95"/>
      <x:c r="G97" s="95"/>
      <x:c r="H97" s="95"/>
      <x:c r="I97" s="90"/>
      <x:c r="J97" s="90"/>
      <x:c r="K97" s="95"/>
      <x:c r="L97" s="95"/>
      <x:c r="M97" s="95"/>
      <x:c r="N97" s="95"/>
      <x:c r="O97" s="95"/>
      <x:c r="P97" s="95"/>
      <x:c r="Q97" s="95"/>
    </x:row>
    <x:row r="98">
      <x:c r="A98" s="90"/>
      <x:c r="B98" s="90"/>
      <x:c r="C98" s="90"/>
      <x:c r="D98" s="90"/>
      <x:c r="E98" s="90"/>
      <x:c r="F98" s="95"/>
      <x:c r="G98" s="95"/>
      <x:c r="H98" s="95"/>
      <x:c r="I98" s="90"/>
      <x:c r="J98" s="90"/>
      <x:c r="K98" s="95"/>
      <x:c r="L98" s="95"/>
      <x:c r="M98" s="95"/>
      <x:c r="N98" s="95"/>
      <x:c r="O98" s="95"/>
      <x:c r="P98" s="95"/>
      <x:c r="Q98" s="95"/>
    </x:row>
    <x:row r="99">
      <x:c r="A99" s="90"/>
      <x:c r="B99" s="90"/>
      <x:c r="C99" s="90"/>
      <x:c r="D99" s="90"/>
      <x:c r="E99" s="90"/>
      <x:c r="F99" s="95"/>
      <x:c r="G99" s="95"/>
      <x:c r="H99" s="95"/>
      <x:c r="I99" s="90"/>
      <x:c r="J99" s="90"/>
      <x:c r="K99" s="95"/>
      <x:c r="L99" s="95"/>
      <x:c r="M99" s="95"/>
      <x:c r="N99" s="95"/>
      <x:c r="O99" s="95"/>
      <x:c r="P99" s="95"/>
      <x:c r="Q99" s="95"/>
    </x:row>
    <x:row r="100">
      <x:c r="A100" s="90"/>
      <x:c r="B100" s="90"/>
      <x:c r="C100" s="90"/>
      <x:c r="D100" s="90"/>
      <x:c r="E100" s="90"/>
      <x:c r="F100" s="95"/>
      <x:c r="G100" s="95"/>
      <x:c r="H100" s="95"/>
      <x:c r="I100" s="90"/>
      <x:c r="J100" s="90"/>
      <x:c r="K100" s="95"/>
      <x:c r="L100" s="95"/>
      <x:c r="M100" s="95"/>
      <x:c r="N100" s="95"/>
      <x:c r="O100" s="95"/>
      <x:c r="P100" s="95"/>
      <x:c r="Q100" s="95"/>
    </x:row>
    <x:row r="101">
      <x:c r="A101" s="90"/>
      <x:c r="B101" s="90"/>
      <x:c r="C101" s="90"/>
      <x:c r="D101" s="90"/>
      <x:c r="E101" s="90"/>
      <x:c r="F101" s="95"/>
      <x:c r="G101" s="95"/>
      <x:c r="H101" s="95"/>
      <x:c r="I101" s="90"/>
      <x:c r="J101" s="90"/>
      <x:c r="K101" s="95"/>
      <x:c r="L101" s="95"/>
      <x:c r="M101" s="95"/>
      <x:c r="N101" s="95"/>
      <x:c r="O101" s="95"/>
      <x:c r="P101" s="95"/>
      <x:c r="Q101" s="95"/>
    </x:row>
    <x:row r="102">
      <x:c r="A102" s="90"/>
      <x:c r="B102" s="90"/>
      <x:c r="C102" s="90"/>
      <x:c r="D102" s="90"/>
      <x:c r="E102" s="90"/>
      <x:c r="F102" s="95"/>
      <x:c r="G102" s="95"/>
      <x:c r="H102" s="95"/>
      <x:c r="I102" s="90"/>
      <x:c r="J102" s="90"/>
      <x:c r="K102" s="95"/>
      <x:c r="L102" s="95"/>
      <x:c r="M102" s="95"/>
      <x:c r="N102" s="95"/>
      <x:c r="O102" s="95"/>
      <x:c r="P102" s="95"/>
      <x:c r="Q102" s="95"/>
    </x:row>
    <x:row r="103">
      <x:c r="A103" s="90"/>
      <x:c r="B103" s="90"/>
      <x:c r="C103" s="90"/>
      <x:c r="D103" s="90"/>
      <x:c r="E103" s="90"/>
      <x:c r="F103" s="95"/>
      <x:c r="G103" s="95"/>
      <x:c r="H103" s="95"/>
      <x:c r="I103" s="90"/>
      <x:c r="J103" s="90"/>
      <x:c r="K103" s="95"/>
      <x:c r="L103" s="95"/>
      <x:c r="M103" s="95"/>
      <x:c r="N103" s="95"/>
      <x:c r="O103" s="95"/>
      <x:c r="P103" s="95"/>
      <x:c r="Q103" s="95"/>
    </x:row>
    <x:row r="104">
      <x:c r="A104" s="90"/>
      <x:c r="B104" s="90"/>
      <x:c r="C104" s="90"/>
      <x:c r="D104" s="90"/>
      <x:c r="E104" s="90"/>
      <x:c r="F104" s="95"/>
      <x:c r="G104" s="95"/>
      <x:c r="H104" s="95"/>
      <x:c r="I104" s="90"/>
      <x:c r="J104" s="90"/>
      <x:c r="K104" s="95"/>
      <x:c r="L104" s="95"/>
      <x:c r="M104" s="95"/>
      <x:c r="N104" s="95"/>
      <x:c r="O104" s="95"/>
      <x:c r="P104" s="95"/>
      <x:c r="Q104" s="95"/>
    </x:row>
    <x:row r="105">
      <x:c r="A105" s="90"/>
      <x:c r="B105" s="90"/>
      <x:c r="C105" s="90"/>
      <x:c r="D105" s="90"/>
      <x:c r="E105" s="90"/>
      <x:c r="F105" s="95"/>
      <x:c r="G105" s="95"/>
      <x:c r="H105" s="95"/>
      <x:c r="I105" s="90"/>
      <x:c r="J105" s="90"/>
      <x:c r="K105" s="95"/>
      <x:c r="L105" s="95"/>
      <x:c r="M105" s="95"/>
      <x:c r="N105" s="95"/>
      <x:c r="O105" s="95"/>
      <x:c r="P105" s="95"/>
      <x:c r="Q105" s="95"/>
    </x:row>
    <x:row r="106">
      <x:c r="A106" s="90"/>
      <x:c r="B106" s="90"/>
      <x:c r="C106" s="90"/>
      <x:c r="D106" s="90"/>
      <x:c r="E106" s="90"/>
      <x:c r="F106" s="95"/>
      <x:c r="G106" s="95"/>
      <x:c r="H106" s="95"/>
      <x:c r="I106" s="90"/>
      <x:c r="J106" s="90"/>
      <x:c r="K106" s="95"/>
      <x:c r="L106" s="95"/>
      <x:c r="M106" s="95"/>
      <x:c r="N106" s="95"/>
      <x:c r="O106" s="95"/>
      <x:c r="P106" s="95"/>
      <x:c r="Q106" s="95"/>
    </x:row>
    <x:row r="107">
      <x:c r="A107" s="90"/>
      <x:c r="B107" s="90"/>
      <x:c r="C107" s="90"/>
      <x:c r="D107" s="90"/>
      <x:c r="E107" s="90"/>
      <x:c r="F107" s="95"/>
      <x:c r="G107" s="95"/>
      <x:c r="H107" s="95"/>
      <x:c r="I107" s="90"/>
      <x:c r="J107" s="90"/>
      <x:c r="K107" s="95"/>
      <x:c r="L107" s="95"/>
      <x:c r="M107" s="95"/>
      <x:c r="N107" s="95"/>
      <x:c r="O107" s="95"/>
      <x:c r="P107" s="95"/>
      <x:c r="Q107" s="95"/>
    </x:row>
    <x:row r="108">
      <x:c r="A108" s="90"/>
      <x:c r="B108" s="90"/>
      <x:c r="C108" s="90"/>
      <x:c r="D108" s="90"/>
      <x:c r="E108" s="90"/>
      <x:c r="F108" s="95"/>
      <x:c r="G108" s="95"/>
      <x:c r="H108" s="95"/>
      <x:c r="I108" s="90"/>
      <x:c r="J108" s="90"/>
      <x:c r="K108" s="95"/>
      <x:c r="L108" s="95"/>
      <x:c r="M108" s="95"/>
      <x:c r="N108" s="95"/>
      <x:c r="O108" s="95"/>
      <x:c r="P108" s="95"/>
      <x:c r="Q108" s="95"/>
    </x:row>
    <x:row r="109">
      <x:c r="A109" s="90"/>
      <x:c r="B109" s="90"/>
      <x:c r="C109" s="90"/>
      <x:c r="D109" s="90"/>
      <x:c r="E109" s="90"/>
      <x:c r="F109" s="95"/>
      <x:c r="G109" s="95"/>
      <x:c r="H109" s="95"/>
      <x:c r="I109" s="90"/>
      <x:c r="J109" s="90"/>
      <x:c r="K109" s="95"/>
      <x:c r="L109" s="95"/>
      <x:c r="M109" s="95"/>
      <x:c r="N109" s="95"/>
      <x:c r="O109" s="95"/>
      <x:c r="P109" s="95"/>
      <x:c r="Q109" s="95"/>
    </x:row>
    <x:row r="110">
      <x:c r="A110" s="90"/>
      <x:c r="B110" s="90"/>
      <x:c r="C110" s="90"/>
      <x:c r="D110" s="90"/>
      <x:c r="E110" s="90"/>
      <x:c r="F110" s="95"/>
      <x:c r="G110" s="95"/>
      <x:c r="H110" s="95"/>
      <x:c r="I110" s="90"/>
      <x:c r="J110" s="90"/>
      <x:c r="K110" s="95"/>
      <x:c r="L110" s="95"/>
      <x:c r="M110" s="95"/>
      <x:c r="N110" s="95"/>
      <x:c r="O110" s="95"/>
      <x:c r="P110" s="95"/>
      <x:c r="Q110" s="95"/>
    </x:row>
    <x:row r="111">
      <x:c r="A111" s="90"/>
      <x:c r="B111" s="90"/>
      <x:c r="C111" s="90"/>
      <x:c r="D111" s="90"/>
      <x:c r="E111" s="90"/>
      <x:c r="F111" s="95"/>
      <x:c r="G111" s="95"/>
      <x:c r="H111" s="95"/>
      <x:c r="I111" s="90"/>
      <x:c r="J111" s="90"/>
      <x:c r="K111" s="95"/>
      <x:c r="L111" s="95"/>
      <x:c r="M111" s="95"/>
      <x:c r="N111" s="95"/>
      <x:c r="O111" s="95"/>
      <x:c r="P111" s="95"/>
      <x:c r="Q111" s="95"/>
    </x:row>
    <x:row r="112">
      <x:c r="A112" s="90"/>
      <x:c r="B112" s="90"/>
      <x:c r="C112" s="90"/>
      <x:c r="D112" s="90"/>
      <x:c r="E112" s="90"/>
      <x:c r="F112" s="95"/>
      <x:c r="G112" s="95"/>
      <x:c r="H112" s="95"/>
      <x:c r="I112" s="90"/>
      <x:c r="J112" s="90"/>
      <x:c r="K112" s="95"/>
      <x:c r="L112" s="95"/>
      <x:c r="M112" s="95"/>
      <x:c r="N112" s="95"/>
      <x:c r="O112" s="95"/>
      <x:c r="P112" s="95"/>
      <x:c r="Q112" s="95"/>
    </x:row>
    <x:row r="113">
      <x:c r="A113" s="90"/>
      <x:c r="B113" s="90"/>
      <x:c r="C113" s="90"/>
      <x:c r="D113" s="90"/>
      <x:c r="E113" s="90"/>
      <x:c r="F113" s="95"/>
      <x:c r="G113" s="95"/>
      <x:c r="H113" s="95"/>
      <x:c r="I113" s="90"/>
      <x:c r="J113" s="90"/>
      <x:c r="K113" s="95"/>
      <x:c r="L113" s="95"/>
      <x:c r="M113" s="95"/>
      <x:c r="N113" s="95"/>
      <x:c r="O113" s="95"/>
      <x:c r="P113" s="95"/>
      <x:c r="Q113" s="95"/>
    </x:row>
    <x:row r="114">
      <x:c r="A114" s="90"/>
      <x:c r="B114" s="90"/>
      <x:c r="C114" s="90"/>
      <x:c r="D114" s="90"/>
      <x:c r="E114" s="90"/>
      <x:c r="F114" s="95"/>
      <x:c r="G114" s="95"/>
      <x:c r="H114" s="95"/>
      <x:c r="I114" s="90"/>
      <x:c r="J114" s="90"/>
      <x:c r="K114" s="95"/>
      <x:c r="L114" s="95"/>
      <x:c r="M114" s="95"/>
      <x:c r="N114" s="95"/>
      <x:c r="O114" s="95"/>
      <x:c r="P114" s="95"/>
      <x:c r="Q114" s="95"/>
    </x:row>
    <x:row r="115">
      <x:c r="A115" s="90"/>
      <x:c r="B115" s="90"/>
      <x:c r="C115" s="90"/>
      <x:c r="D115" s="90"/>
      <x:c r="E115" s="90"/>
      <x:c r="F115" s="95"/>
      <x:c r="G115" s="95"/>
      <x:c r="H115" s="95"/>
      <x:c r="I115" s="90"/>
      <x:c r="J115" s="90"/>
      <x:c r="K115" s="95"/>
      <x:c r="L115" s="95"/>
      <x:c r="M115" s="95"/>
      <x:c r="N115" s="95"/>
      <x:c r="O115" s="95"/>
      <x:c r="P115" s="95"/>
      <x:c r="Q115" s="95"/>
    </x:row>
    <x:row r="116">
      <x:c r="A116" s="90"/>
      <x:c r="B116" s="90"/>
      <x:c r="C116" s="90"/>
      <x:c r="D116" s="90"/>
      <x:c r="E116" s="90"/>
      <x:c r="F116" s="95"/>
      <x:c r="G116" s="95"/>
      <x:c r="H116" s="95"/>
      <x:c r="I116" s="90"/>
      <x:c r="J116" s="90"/>
      <x:c r="K116" s="95"/>
      <x:c r="L116" s="95"/>
      <x:c r="M116" s="95"/>
      <x:c r="N116" s="95"/>
      <x:c r="O116" s="95"/>
      <x:c r="P116" s="95"/>
      <x:c r="Q116" s="95"/>
    </x:row>
    <x:row r="117">
      <x:c r="A117" s="90"/>
      <x:c r="B117" s="90"/>
      <x:c r="C117" s="90"/>
      <x:c r="D117" s="90"/>
      <x:c r="E117" s="90"/>
      <x:c r="F117" s="95"/>
      <x:c r="G117" s="95"/>
      <x:c r="H117" s="95"/>
      <x:c r="I117" s="90"/>
      <x:c r="J117" s="90"/>
      <x:c r="K117" s="95"/>
      <x:c r="L117" s="95"/>
      <x:c r="M117" s="95"/>
      <x:c r="N117" s="95"/>
      <x:c r="O117" s="95"/>
      <x:c r="P117" s="95"/>
      <x:c r="Q117" s="95"/>
    </x:row>
    <x:row r="118">
      <x:c r="A118" s="90"/>
      <x:c r="B118" s="90"/>
      <x:c r="C118" s="90"/>
      <x:c r="D118" s="90"/>
      <x:c r="E118" s="90"/>
      <x:c r="F118" s="95"/>
      <x:c r="G118" s="95"/>
      <x:c r="H118" s="95"/>
      <x:c r="I118" s="90"/>
      <x:c r="J118" s="90"/>
      <x:c r="K118" s="95"/>
      <x:c r="L118" s="95"/>
      <x:c r="M118" s="95"/>
      <x:c r="N118" s="95"/>
      <x:c r="O118" s="95"/>
      <x:c r="P118" s="95"/>
      <x:c r="Q118" s="95"/>
    </x:row>
    <x:row r="119">
      <x:c r="A119" s="90"/>
      <x:c r="B119" s="90"/>
      <x:c r="C119" s="90"/>
      <x:c r="D119" s="90"/>
      <x:c r="E119" s="90"/>
      <x:c r="F119" s="95"/>
      <x:c r="G119" s="95"/>
      <x:c r="H119" s="95"/>
      <x:c r="I119" s="90"/>
      <x:c r="J119" s="90"/>
      <x:c r="K119" s="95"/>
      <x:c r="L119" s="95"/>
      <x:c r="M119" s="95"/>
      <x:c r="N119" s="95"/>
      <x:c r="O119" s="95"/>
      <x:c r="P119" s="95"/>
      <x:c r="Q119" s="95"/>
    </x:row>
    <x:row r="120">
      <x:c r="A120" s="90"/>
      <x:c r="B120" s="90"/>
      <x:c r="C120" s="90"/>
      <x:c r="D120" s="90"/>
      <x:c r="E120" s="90"/>
      <x:c r="F120" s="95"/>
      <x:c r="G120" s="95"/>
      <x:c r="H120" s="95"/>
      <x:c r="I120" s="90"/>
      <x:c r="J120" s="90"/>
      <x:c r="K120" s="95"/>
      <x:c r="L120" s="95"/>
      <x:c r="M120" s="95"/>
      <x:c r="N120" s="95"/>
      <x:c r="O120" s="95"/>
      <x:c r="P120" s="95"/>
      <x:c r="Q120" s="95"/>
    </x:row>
    <x:row r="121">
      <x:c r="A121" s="90"/>
      <x:c r="B121" s="90"/>
      <x:c r="C121" s="90"/>
      <x:c r="D121" s="90"/>
      <x:c r="E121" s="90"/>
      <x:c r="F121" s="95"/>
      <x:c r="G121" s="95"/>
      <x:c r="H121" s="95"/>
      <x:c r="I121" s="90"/>
      <x:c r="J121" s="90"/>
      <x:c r="K121" s="95"/>
      <x:c r="L121" s="95"/>
      <x:c r="M121" s="95"/>
      <x:c r="N121" s="95"/>
      <x:c r="O121" s="95"/>
      <x:c r="P121" s="95"/>
      <x:c r="Q121" s="95"/>
    </x:row>
    <x:row r="122">
      <x:c r="A122" s="90"/>
      <x:c r="B122" s="90"/>
      <x:c r="C122" s="90"/>
      <x:c r="D122" s="90"/>
      <x:c r="E122" s="90"/>
      <x:c r="F122" s="95"/>
      <x:c r="G122" s="95"/>
      <x:c r="H122" s="95"/>
      <x:c r="I122" s="90"/>
      <x:c r="J122" s="90"/>
      <x:c r="K122" s="95"/>
      <x:c r="L122" s="95"/>
      <x:c r="M122" s="95"/>
      <x:c r="N122" s="95"/>
      <x:c r="O122" s="95"/>
      <x:c r="P122" s="95"/>
      <x:c r="Q122" s="95"/>
    </x:row>
    <x:row r="123">
      <x:c r="A123" s="90"/>
      <x:c r="B123" s="90"/>
      <x:c r="C123" s="90"/>
      <x:c r="D123" s="90"/>
      <x:c r="E123" s="90"/>
      <x:c r="F123" s="95"/>
      <x:c r="G123" s="95"/>
      <x:c r="H123" s="95"/>
      <x:c r="I123" s="90"/>
      <x:c r="J123" s="90"/>
      <x:c r="K123" s="95"/>
      <x:c r="L123" s="95"/>
      <x:c r="M123" s="95"/>
      <x:c r="N123" s="95"/>
      <x:c r="O123" s="95"/>
      <x:c r="P123" s="95"/>
      <x:c r="Q123" s="95"/>
    </x:row>
    <x:row r="124">
      <x:c r="A124" s="90"/>
      <x:c r="B124" s="90"/>
      <x:c r="C124" s="90"/>
      <x:c r="D124" s="90"/>
      <x:c r="E124" s="90"/>
      <x:c r="F124" s="95"/>
      <x:c r="G124" s="95"/>
      <x:c r="H124" s="95"/>
      <x:c r="I124" s="90"/>
      <x:c r="J124" s="90"/>
      <x:c r="K124" s="95"/>
      <x:c r="L124" s="95"/>
      <x:c r="M124" s="95"/>
      <x:c r="N124" s="95"/>
      <x:c r="O124" s="95"/>
      <x:c r="P124" s="95"/>
      <x:c r="Q124" s="95"/>
    </x:row>
    <x:row r="125">
      <x:c r="A125" s="90"/>
      <x:c r="B125" s="90"/>
      <x:c r="C125" s="90"/>
      <x:c r="D125" s="90"/>
      <x:c r="E125" s="90"/>
      <x:c r="F125" s="95"/>
      <x:c r="G125" s="95"/>
      <x:c r="H125" s="95"/>
      <x:c r="I125" s="90"/>
      <x:c r="J125" s="90"/>
      <x:c r="K125" s="95"/>
      <x:c r="L125" s="95"/>
      <x:c r="M125" s="95"/>
      <x:c r="N125" s="95"/>
      <x:c r="O125" s="95"/>
      <x:c r="P125" s="95"/>
      <x:c r="Q125" s="95"/>
    </x:row>
    <x:row r="126">
      <x:c r="A126" s="90"/>
      <x:c r="B126" s="90"/>
      <x:c r="C126" s="90"/>
      <x:c r="D126" s="90"/>
      <x:c r="E126" s="90"/>
      <x:c r="F126" s="95"/>
      <x:c r="G126" s="95"/>
      <x:c r="H126" s="95"/>
      <x:c r="I126" s="90"/>
      <x:c r="J126" s="90"/>
      <x:c r="K126" s="95"/>
      <x:c r="L126" s="95"/>
      <x:c r="M126" s="95"/>
      <x:c r="N126" s="95"/>
      <x:c r="O126" s="95"/>
      <x:c r="P126" s="95"/>
      <x:c r="Q126" s="95"/>
    </x:row>
    <x:row r="127">
      <x:c r="A127" s="90"/>
      <x:c r="B127" s="90"/>
      <x:c r="C127" s="90"/>
      <x:c r="D127" s="90"/>
      <x:c r="E127" s="90"/>
      <x:c r="F127" s="95"/>
      <x:c r="G127" s="95"/>
      <x:c r="H127" s="95"/>
      <x:c r="I127" s="90"/>
      <x:c r="J127" s="90"/>
      <x:c r="K127" s="95"/>
      <x:c r="L127" s="95"/>
      <x:c r="M127" s="95"/>
      <x:c r="N127" s="95"/>
      <x:c r="O127" s="95"/>
      <x:c r="P127" s="95"/>
      <x:c r="Q127" s="95"/>
    </x:row>
    <x:row r="128">
      <x:c r="A128" s="90"/>
      <x:c r="B128" s="90"/>
      <x:c r="C128" s="90"/>
      <x:c r="D128" s="90"/>
      <x:c r="E128" s="90"/>
      <x:c r="F128" s="95"/>
      <x:c r="G128" s="95"/>
      <x:c r="H128" s="95"/>
      <x:c r="I128" s="90"/>
      <x:c r="J128" s="90"/>
      <x:c r="K128" s="95"/>
      <x:c r="L128" s="95"/>
      <x:c r="M128" s="95"/>
      <x:c r="N128" s="95"/>
      <x:c r="O128" s="95"/>
      <x:c r="P128" s="95"/>
      <x:c r="Q128" s="95"/>
    </x:row>
    <x:row r="129">
      <x:c r="A129" s="90"/>
      <x:c r="B129" s="90"/>
      <x:c r="C129" s="90"/>
      <x:c r="D129" s="90"/>
      <x:c r="E129" s="90"/>
      <x:c r="F129" s="95"/>
      <x:c r="G129" s="95"/>
      <x:c r="H129" s="95"/>
      <x:c r="I129" s="90"/>
      <x:c r="J129" s="90"/>
      <x:c r="K129" s="95"/>
      <x:c r="L129" s="95"/>
      <x:c r="M129" s="95"/>
      <x:c r="N129" s="95"/>
      <x:c r="O129" s="95"/>
      <x:c r="P129" s="95"/>
      <x:c r="Q129" s="95"/>
    </x:row>
    <x:row r="130">
      <x:c r="A130" s="90"/>
      <x:c r="B130" s="90"/>
      <x:c r="C130" s="90"/>
      <x:c r="D130" s="90"/>
      <x:c r="E130" s="90"/>
      <x:c r="F130" s="95"/>
      <x:c r="G130" s="95"/>
      <x:c r="H130" s="95"/>
      <x:c r="I130" s="90"/>
      <x:c r="J130" s="90"/>
      <x:c r="K130" s="95"/>
      <x:c r="L130" s="95"/>
      <x:c r="M130" s="95"/>
      <x:c r="N130" s="95"/>
      <x:c r="O130" s="95"/>
      <x:c r="P130" s="95"/>
      <x:c r="Q130" s="95"/>
    </x:row>
    <x:row r="131">
      <x:c r="A131" s="90"/>
      <x:c r="B131" s="90"/>
      <x:c r="C131" s="90"/>
      <x:c r="D131" s="90"/>
      <x:c r="E131" s="90"/>
      <x:c r="F131" s="95"/>
      <x:c r="G131" s="95"/>
      <x:c r="H131" s="95"/>
      <x:c r="I131" s="90"/>
      <x:c r="J131" s="90"/>
      <x:c r="K131" s="95"/>
      <x:c r="L131" s="95"/>
      <x:c r="M131" s="95"/>
      <x:c r="N131" s="95"/>
      <x:c r="O131" s="95"/>
      <x:c r="P131" s="95"/>
      <x:c r="Q131" s="95"/>
    </x:row>
    <x:row r="132">
      <x:c r="A132" s="90"/>
      <x:c r="B132" s="90"/>
      <x:c r="C132" s="90"/>
      <x:c r="D132" s="90"/>
      <x:c r="E132" s="90"/>
      <x:c r="F132" s="95"/>
      <x:c r="G132" s="95"/>
      <x:c r="H132" s="95"/>
      <x:c r="I132" s="90"/>
      <x:c r="J132" s="90"/>
      <x:c r="K132" s="95"/>
      <x:c r="L132" s="95"/>
      <x:c r="M132" s="95"/>
      <x:c r="N132" s="95"/>
      <x:c r="O132" s="95"/>
      <x:c r="P132" s="95"/>
      <x:c r="Q132" s="95"/>
    </x:row>
    <x:row r="133">
      <x:c r="A133" s="90"/>
      <x:c r="B133" s="90"/>
      <x:c r="C133" s="90"/>
      <x:c r="D133" s="90"/>
      <x:c r="E133" s="90"/>
      <x:c r="F133" s="95"/>
      <x:c r="G133" s="95"/>
      <x:c r="H133" s="95"/>
      <x:c r="I133" s="90"/>
      <x:c r="J133" s="90"/>
      <x:c r="K133" s="95"/>
      <x:c r="L133" s="95"/>
      <x:c r="M133" s="95"/>
      <x:c r="N133" s="95"/>
      <x:c r="O133" s="95"/>
      <x:c r="P133" s="95"/>
      <x:c r="Q133" s="95"/>
    </x:row>
    <x:row r="134">
      <x:c r="A134" s="90"/>
      <x:c r="B134" s="90"/>
      <x:c r="C134" s="90"/>
      <x:c r="D134" s="90"/>
      <x:c r="E134" s="90"/>
      <x:c r="F134" s="95"/>
      <x:c r="G134" s="95"/>
      <x:c r="H134" s="95"/>
      <x:c r="I134" s="90"/>
      <x:c r="J134" s="90"/>
      <x:c r="K134" s="95"/>
      <x:c r="L134" s="95"/>
      <x:c r="M134" s="95"/>
      <x:c r="N134" s="95"/>
      <x:c r="O134" s="95"/>
      <x:c r="P134" s="95"/>
      <x:c r="Q134" s="95"/>
    </x:row>
    <x:row r="135">
      <x:c r="A135" s="90"/>
      <x:c r="B135" s="90"/>
      <x:c r="C135" s="90"/>
      <x:c r="D135" s="90"/>
      <x:c r="E135" s="90"/>
      <x:c r="F135" s="95"/>
      <x:c r="G135" s="95"/>
      <x:c r="H135" s="95"/>
      <x:c r="I135" s="90"/>
      <x:c r="J135" s="90"/>
      <x:c r="K135" s="95"/>
      <x:c r="L135" s="95"/>
      <x:c r="M135" s="95"/>
      <x:c r="N135" s="95"/>
      <x:c r="O135" s="95"/>
      <x:c r="P135" s="95"/>
      <x:c r="Q135" s="95"/>
    </x:row>
    <x:row r="136">
      <x:c r="A136" s="90"/>
      <x:c r="B136" s="90"/>
      <x:c r="C136" s="90"/>
      <x:c r="D136" s="90"/>
      <x:c r="E136" s="90"/>
      <x:c r="F136" s="95"/>
      <x:c r="G136" s="95"/>
      <x:c r="H136" s="95"/>
      <x:c r="I136" s="90"/>
      <x:c r="J136" s="90"/>
      <x:c r="K136" s="95"/>
      <x:c r="L136" s="95"/>
      <x:c r="M136" s="95"/>
      <x:c r="N136" s="95"/>
      <x:c r="O136" s="95"/>
      <x:c r="P136" s="95"/>
      <x:c r="Q136" s="95"/>
    </x:row>
    <x:row r="137">
      <x:c r="A137" s="90"/>
      <x:c r="B137" s="90"/>
      <x:c r="C137" s="90"/>
      <x:c r="D137" s="90"/>
      <x:c r="E137" s="90"/>
      <x:c r="F137" s="95"/>
      <x:c r="G137" s="95"/>
      <x:c r="H137" s="95"/>
      <x:c r="I137" s="90"/>
      <x:c r="J137" s="90"/>
      <x:c r="K137" s="95"/>
      <x:c r="L137" s="95"/>
      <x:c r="M137" s="95"/>
      <x:c r="N137" s="95"/>
      <x:c r="O137" s="95"/>
      <x:c r="P137" s="95"/>
      <x:c r="Q137" s="95"/>
    </x:row>
    <x:row r="138">
      <x:c r="A138" s="90"/>
      <x:c r="B138" s="90"/>
      <x:c r="C138" s="90"/>
      <x:c r="D138" s="90"/>
      <x:c r="E138" s="90"/>
      <x:c r="F138" s="95"/>
      <x:c r="G138" s="95"/>
      <x:c r="H138" s="95"/>
      <x:c r="I138" s="90"/>
      <x:c r="J138" s="90"/>
      <x:c r="K138" s="95"/>
      <x:c r="L138" s="95"/>
      <x:c r="M138" s="95"/>
      <x:c r="N138" s="95"/>
      <x:c r="O138" s="95"/>
      <x:c r="P138" s="95"/>
      <x:c r="Q138" s="95"/>
    </x:row>
    <x:row r="139">
      <x:c r="A139" s="90"/>
      <x:c r="B139" s="90"/>
      <x:c r="C139" s="90"/>
      <x:c r="D139" s="90"/>
      <x:c r="E139" s="90"/>
      <x:c r="F139" s="95"/>
      <x:c r="G139" s="95"/>
      <x:c r="H139" s="95"/>
      <x:c r="I139" s="90"/>
      <x:c r="J139" s="90"/>
      <x:c r="K139" s="95"/>
      <x:c r="L139" s="95"/>
      <x:c r="M139" s="95"/>
      <x:c r="N139" s="95"/>
      <x:c r="O139" s="95"/>
      <x:c r="P139" s="95"/>
      <x:c r="Q139" s="95"/>
    </x:row>
    <x:row r="140">
      <x:c r="A140" s="90"/>
      <x:c r="B140" s="90"/>
      <x:c r="C140" s="90"/>
      <x:c r="D140" s="90"/>
      <x:c r="E140" s="90"/>
      <x:c r="F140" s="95"/>
      <x:c r="G140" s="95"/>
      <x:c r="H140" s="95"/>
      <x:c r="I140" s="90"/>
      <x:c r="J140" s="90"/>
      <x:c r="K140" s="95"/>
      <x:c r="L140" s="95"/>
      <x:c r="M140" s="95"/>
      <x:c r="N140" s="95"/>
      <x:c r="O140" s="95"/>
      <x:c r="P140" s="95"/>
      <x:c r="Q140" s="95"/>
    </x:row>
    <x:row r="141">
      <x:c r="A141" s="90"/>
      <x:c r="B141" s="90"/>
      <x:c r="C141" s="90"/>
      <x:c r="D141" s="90"/>
      <x:c r="E141" s="90"/>
      <x:c r="F141" s="95"/>
      <x:c r="G141" s="95"/>
      <x:c r="H141" s="95"/>
      <x:c r="I141" s="90"/>
      <x:c r="J141" s="90"/>
      <x:c r="K141" s="95"/>
      <x:c r="L141" s="95"/>
      <x:c r="M141" s="95"/>
      <x:c r="N141" s="95"/>
      <x:c r="O141" s="95"/>
      <x:c r="P141" s="95"/>
      <x:c r="Q141" s="95"/>
    </x:row>
    <x:row r="142">
      <x:c r="A142" s="90"/>
      <x:c r="B142" s="90"/>
      <x:c r="C142" s="90"/>
      <x:c r="D142" s="90"/>
      <x:c r="E142" s="90"/>
      <x:c r="F142" s="95"/>
      <x:c r="G142" s="95"/>
      <x:c r="H142" s="95"/>
      <x:c r="I142" s="90"/>
      <x:c r="J142" s="90"/>
      <x:c r="K142" s="95"/>
      <x:c r="L142" s="95"/>
      <x:c r="M142" s="95"/>
      <x:c r="N142" s="95"/>
      <x:c r="O142" s="95"/>
      <x:c r="P142" s="95"/>
      <x:c r="Q142" s="95"/>
    </x:row>
    <x:row r="143">
      <x:c r="A143" s="90"/>
      <x:c r="B143" s="90"/>
      <x:c r="C143" s="90"/>
      <x:c r="D143" s="90"/>
      <x:c r="E143" s="90"/>
      <x:c r="F143" s="95"/>
      <x:c r="G143" s="95"/>
      <x:c r="H143" s="95"/>
      <x:c r="I143" s="90"/>
      <x:c r="J143" s="90"/>
      <x:c r="K143" s="95"/>
      <x:c r="L143" s="95"/>
      <x:c r="M143" s="95"/>
      <x:c r="N143" s="95"/>
      <x:c r="O143" s="95"/>
      <x:c r="P143" s="95"/>
      <x:c r="Q143" s="95"/>
    </x:row>
    <x:row r="144">
      <x:c r="A144" s="90"/>
      <x:c r="B144" s="90"/>
      <x:c r="C144" s="90"/>
      <x:c r="D144" s="90"/>
      <x:c r="E144" s="90"/>
      <x:c r="F144" s="95"/>
      <x:c r="G144" s="95"/>
      <x:c r="H144" s="95"/>
      <x:c r="I144" s="90"/>
      <x:c r="J144" s="90"/>
      <x:c r="K144" s="95"/>
      <x:c r="L144" s="95"/>
      <x:c r="M144" s="95"/>
      <x:c r="N144" s="95"/>
      <x:c r="O144" s="95"/>
      <x:c r="P144" s="95"/>
      <x:c r="Q144" s="95"/>
    </x:row>
    <x:row r="145">
      <x:c r="A145" s="90"/>
      <x:c r="B145" s="90"/>
      <x:c r="C145" s="90"/>
      <x:c r="D145" s="90"/>
      <x:c r="E145" s="90"/>
      <x:c r="F145" s="95"/>
      <x:c r="G145" s="95"/>
      <x:c r="H145" s="95"/>
      <x:c r="I145" s="90"/>
      <x:c r="J145" s="90"/>
      <x:c r="K145" s="95"/>
      <x:c r="L145" s="95"/>
      <x:c r="M145" s="95"/>
      <x:c r="N145" s="95"/>
      <x:c r="O145" s="95"/>
      <x:c r="P145" s="95"/>
      <x:c r="Q145" s="95"/>
    </x:row>
    <x:row r="146">
      <x:c r="A146" s="90"/>
      <x:c r="B146" s="90"/>
      <x:c r="C146" s="90"/>
      <x:c r="D146" s="90"/>
      <x:c r="E146" s="90"/>
      <x:c r="F146" s="95"/>
      <x:c r="G146" s="95"/>
      <x:c r="H146" s="95"/>
      <x:c r="I146" s="90"/>
      <x:c r="J146" s="90"/>
      <x:c r="K146" s="95"/>
      <x:c r="L146" s="95"/>
      <x:c r="M146" s="95"/>
      <x:c r="N146" s="95"/>
      <x:c r="O146" s="95"/>
      <x:c r="P146" s="95"/>
      <x:c r="Q146" s="95"/>
    </x:row>
    <x:row r="147">
      <x:c r="A147" s="90"/>
      <x:c r="B147" s="90"/>
      <x:c r="C147" s="90"/>
      <x:c r="D147" s="90"/>
      <x:c r="E147" s="90"/>
      <x:c r="F147" s="95"/>
      <x:c r="G147" s="95"/>
      <x:c r="H147" s="95"/>
      <x:c r="I147" s="90"/>
      <x:c r="J147" s="90"/>
      <x:c r="K147" s="95"/>
      <x:c r="L147" s="95"/>
      <x:c r="M147" s="95"/>
      <x:c r="N147" s="95"/>
      <x:c r="O147" s="95"/>
      <x:c r="P147" s="95"/>
      <x:c r="Q147" s="95"/>
    </x:row>
    <x:row r="148">
      <x:c r="A148" s="90"/>
      <x:c r="B148" s="90"/>
      <x:c r="C148" s="90"/>
      <x:c r="D148" s="90"/>
      <x:c r="E148" s="90"/>
      <x:c r="F148" s="95"/>
      <x:c r="G148" s="95"/>
      <x:c r="H148" s="95"/>
      <x:c r="I148" s="90"/>
      <x:c r="J148" s="90"/>
      <x:c r="K148" s="95"/>
      <x:c r="L148" s="95"/>
      <x:c r="M148" s="95"/>
      <x:c r="N148" s="95"/>
      <x:c r="O148" s="95"/>
      <x:c r="P148" s="95"/>
      <x:c r="Q148" s="95"/>
    </x:row>
    <x:row r="149">
      <x:c r="A149" s="90"/>
      <x:c r="B149" s="90"/>
      <x:c r="C149" s="90"/>
      <x:c r="D149" s="90"/>
      <x:c r="E149" s="90"/>
      <x:c r="F149" s="95"/>
      <x:c r="G149" s="95"/>
      <x:c r="H149" s="95"/>
      <x:c r="I149" s="90"/>
      <x:c r="J149" s="90"/>
      <x:c r="K149" s="95"/>
      <x:c r="L149" s="95"/>
      <x:c r="M149" s="95"/>
      <x:c r="N149" s="95"/>
      <x:c r="O149" s="95"/>
      <x:c r="P149" s="95"/>
      <x:c r="Q149" s="95"/>
    </x:row>
    <x:row r="150">
      <x:c r="A150" s="90"/>
      <x:c r="B150" s="90"/>
      <x:c r="C150" s="90"/>
      <x:c r="D150" s="90"/>
      <x:c r="E150" s="90"/>
      <x:c r="F150" s="95"/>
      <x:c r="G150" s="95"/>
      <x:c r="H150" s="95"/>
      <x:c r="I150" s="90"/>
      <x:c r="J150" s="90"/>
      <x:c r="K150" s="95"/>
      <x:c r="L150" s="95"/>
      <x:c r="M150" s="95"/>
      <x:c r="N150" s="95"/>
      <x:c r="O150" s="95"/>
      <x:c r="P150" s="95"/>
      <x:c r="Q150" s="95"/>
    </x:row>
    <x:row r="151">
      <x:c r="A151" s="90"/>
      <x:c r="B151" s="90"/>
      <x:c r="C151" s="90"/>
      <x:c r="D151" s="90"/>
      <x:c r="E151" s="90"/>
      <x:c r="F151" s="95"/>
      <x:c r="G151" s="95"/>
      <x:c r="H151" s="95"/>
      <x:c r="I151" s="90"/>
      <x:c r="J151" s="90"/>
      <x:c r="K151" s="95"/>
      <x:c r="L151" s="95"/>
      <x:c r="M151" s="95"/>
      <x:c r="N151" s="95"/>
      <x:c r="O151" s="95"/>
      <x:c r="P151" s="95"/>
      <x:c r="Q151" s="95"/>
    </x:row>
    <x:row r="152">
      <x:c r="A152" s="90"/>
      <x:c r="B152" s="90"/>
      <x:c r="C152" s="90"/>
      <x:c r="D152" s="90"/>
      <x:c r="E152" s="90"/>
      <x:c r="F152" s="95"/>
      <x:c r="G152" s="95"/>
      <x:c r="H152" s="95"/>
      <x:c r="I152" s="90"/>
      <x:c r="J152" s="90"/>
      <x:c r="K152" s="95"/>
      <x:c r="L152" s="95"/>
      <x:c r="M152" s="95"/>
      <x:c r="N152" s="95"/>
      <x:c r="O152" s="95"/>
      <x:c r="P152" s="95"/>
      <x:c r="Q152" s="95"/>
    </x:row>
    <x:row r="153">
      <x:c r="A153" s="90"/>
      <x:c r="B153" s="90"/>
      <x:c r="C153" s="90"/>
      <x:c r="D153" s="90"/>
      <x:c r="E153" s="90"/>
      <x:c r="F153" s="95"/>
      <x:c r="G153" s="95"/>
      <x:c r="H153" s="95"/>
      <x:c r="I153" s="90"/>
      <x:c r="J153" s="90"/>
      <x:c r="K153" s="95"/>
      <x:c r="L153" s="95"/>
      <x:c r="M153" s="95"/>
      <x:c r="N153" s="95"/>
      <x:c r="O153" s="95"/>
      <x:c r="P153" s="95"/>
      <x:c r="Q153" s="95"/>
    </x:row>
    <x:row r="154">
      <x:c r="A154" s="90"/>
      <x:c r="B154" s="90"/>
      <x:c r="C154" s="90"/>
      <x:c r="D154" s="90"/>
      <x:c r="E154" s="90"/>
      <x:c r="F154" s="95"/>
      <x:c r="G154" s="95"/>
      <x:c r="H154" s="95"/>
      <x:c r="I154" s="90"/>
      <x:c r="J154" s="90"/>
      <x:c r="K154" s="95"/>
      <x:c r="L154" s="95"/>
      <x:c r="M154" s="95"/>
      <x:c r="N154" s="95"/>
      <x:c r="O154" s="95"/>
      <x:c r="P154" s="95"/>
      <x:c r="Q154" s="95"/>
    </x:row>
    <x:row r="155">
      <x:c r="A155" s="90"/>
      <x:c r="B155" s="90"/>
      <x:c r="C155" s="90"/>
      <x:c r="D155" s="90"/>
      <x:c r="E155" s="90"/>
      <x:c r="F155" s="95"/>
      <x:c r="G155" s="95"/>
      <x:c r="H155" s="95"/>
      <x:c r="I155" s="90"/>
      <x:c r="J155" s="90"/>
      <x:c r="K155" s="95"/>
      <x:c r="L155" s="95"/>
      <x:c r="M155" s="95"/>
      <x:c r="N155" s="95"/>
      <x:c r="O155" s="95"/>
      <x:c r="P155" s="95"/>
      <x:c r="Q155" s="95"/>
    </x:row>
    <x:row r="156">
      <x:c r="A156" s="90"/>
      <x:c r="B156" s="90"/>
      <x:c r="C156" s="90"/>
      <x:c r="D156" s="90"/>
      <x:c r="E156" s="90"/>
      <x:c r="F156" s="95"/>
      <x:c r="G156" s="95"/>
      <x:c r="H156" s="95"/>
      <x:c r="I156" s="90"/>
      <x:c r="J156" s="90"/>
      <x:c r="K156" s="95"/>
      <x:c r="L156" s="95"/>
      <x:c r="M156" s="95"/>
      <x:c r="N156" s="95"/>
      <x:c r="O156" s="95"/>
      <x:c r="P156" s="95"/>
      <x:c r="Q156" s="95"/>
    </x:row>
    <x:row r="157">
      <x:c r="A157" s="90"/>
      <x:c r="B157" s="90"/>
      <x:c r="C157" s="90"/>
      <x:c r="D157" s="90"/>
      <x:c r="E157" s="90"/>
      <x:c r="F157" s="95"/>
      <x:c r="G157" s="95"/>
      <x:c r="H157" s="95"/>
      <x:c r="I157" s="90"/>
      <x:c r="J157" s="90"/>
      <x:c r="K157" s="95"/>
      <x:c r="L157" s="95"/>
      <x:c r="M157" s="95"/>
      <x:c r="N157" s="95"/>
      <x:c r="O157" s="95"/>
      <x:c r="P157" s="95"/>
      <x:c r="Q157" s="95"/>
    </x:row>
    <x:row r="158">
      <x:c r="A158" s="90"/>
      <x:c r="B158" s="90"/>
      <x:c r="C158" s="90"/>
      <x:c r="D158" s="90"/>
      <x:c r="E158" s="90"/>
      <x:c r="F158" s="95"/>
      <x:c r="G158" s="95"/>
      <x:c r="H158" s="95"/>
      <x:c r="I158" s="90"/>
      <x:c r="J158" s="90"/>
      <x:c r="K158" s="95"/>
      <x:c r="L158" s="95"/>
      <x:c r="M158" s="95"/>
      <x:c r="N158" s="95"/>
      <x:c r="O158" s="95"/>
      <x:c r="P158" s="95"/>
      <x:c r="Q158" s="95"/>
    </x:row>
    <x:row r="159">
      <x:c r="A159" s="90"/>
      <x:c r="B159" s="90"/>
      <x:c r="C159" s="90"/>
      <x:c r="D159" s="90"/>
      <x:c r="E159" s="90"/>
      <x:c r="F159" s="95"/>
      <x:c r="G159" s="95"/>
      <x:c r="H159" s="95"/>
      <x:c r="I159" s="90"/>
      <x:c r="J159" s="90"/>
      <x:c r="K159" s="95"/>
      <x:c r="L159" s="95"/>
      <x:c r="M159" s="95"/>
      <x:c r="N159" s="95"/>
      <x:c r="O159" s="95"/>
      <x:c r="P159" s="95"/>
      <x:c r="Q159" s="95"/>
    </x:row>
    <x:row r="160">
      <x:c r="A160" s="90"/>
      <x:c r="B160" s="90"/>
      <x:c r="C160" s="90"/>
      <x:c r="D160" s="90"/>
      <x:c r="E160" s="90"/>
      <x:c r="F160" s="95"/>
      <x:c r="G160" s="95"/>
      <x:c r="H160" s="95"/>
      <x:c r="I160" s="90"/>
      <x:c r="J160" s="90"/>
      <x:c r="K160" s="95"/>
      <x:c r="L160" s="95"/>
      <x:c r="M160" s="95"/>
      <x:c r="N160" s="95"/>
      <x:c r="O160" s="95"/>
      <x:c r="P160" s="95"/>
      <x:c r="Q160" s="95"/>
    </x:row>
    <x:row r="161">
      <x:c r="A161" s="90"/>
      <x:c r="B161" s="90"/>
      <x:c r="C161" s="90"/>
      <x:c r="D161" s="90"/>
      <x:c r="E161" s="90"/>
      <x:c r="F161" s="95"/>
      <x:c r="G161" s="95"/>
      <x:c r="H161" s="95"/>
      <x:c r="I161" s="90"/>
      <x:c r="J161" s="90"/>
      <x:c r="K161" s="95"/>
      <x:c r="L161" s="95"/>
      <x:c r="M161" s="95"/>
      <x:c r="N161" s="95"/>
      <x:c r="O161" s="95"/>
      <x:c r="P161" s="95"/>
      <x:c r="Q161" s="95"/>
    </x:row>
    <x:row r="162">
      <x:c r="A162" s="90"/>
      <x:c r="B162" s="90"/>
      <x:c r="C162" s="90"/>
      <x:c r="D162" s="90"/>
      <x:c r="E162" s="90"/>
      <x:c r="F162" s="95"/>
      <x:c r="G162" s="95"/>
      <x:c r="H162" s="95"/>
      <x:c r="I162" s="90"/>
      <x:c r="J162" s="90"/>
      <x:c r="K162" s="95"/>
      <x:c r="L162" s="95"/>
      <x:c r="M162" s="95"/>
      <x:c r="N162" s="95"/>
      <x:c r="O162" s="95"/>
      <x:c r="P162" s="95"/>
      <x:c r="Q162" s="95"/>
    </x:row>
    <x:row r="163">
      <x:c r="A163" s="90"/>
      <x:c r="B163" s="90"/>
      <x:c r="C163" s="90"/>
      <x:c r="D163" s="90"/>
      <x:c r="E163" s="90"/>
      <x:c r="F163" s="95"/>
      <x:c r="G163" s="95"/>
      <x:c r="H163" s="95"/>
      <x:c r="I163" s="90"/>
      <x:c r="J163" s="90"/>
      <x:c r="K163" s="95"/>
      <x:c r="L163" s="95"/>
      <x:c r="M163" s="95"/>
      <x:c r="N163" s="95"/>
      <x:c r="O163" s="95"/>
      <x:c r="P163" s="95"/>
      <x:c r="Q163" s="95"/>
    </x:row>
    <x:row r="164">
      <x:c r="A164" s="90"/>
      <x:c r="B164" s="90"/>
      <x:c r="C164" s="90"/>
      <x:c r="D164" s="90"/>
      <x:c r="E164" s="90"/>
      <x:c r="F164" s="95"/>
      <x:c r="G164" s="95"/>
      <x:c r="H164" s="95"/>
      <x:c r="I164" s="90"/>
      <x:c r="J164" s="90"/>
      <x:c r="K164" s="95"/>
      <x:c r="L164" s="95"/>
      <x:c r="M164" s="95"/>
      <x:c r="N164" s="95"/>
      <x:c r="O164" s="95"/>
      <x:c r="P164" s="95"/>
      <x:c r="Q164" s="95"/>
    </x:row>
    <x:row r="165">
      <x:c r="A165" s="90"/>
      <x:c r="B165" s="90"/>
      <x:c r="C165" s="90"/>
      <x:c r="D165" s="90"/>
      <x:c r="E165" s="90"/>
      <x:c r="F165" s="95"/>
      <x:c r="G165" s="95"/>
      <x:c r="H165" s="95"/>
      <x:c r="I165" s="90"/>
      <x:c r="J165" s="90"/>
      <x:c r="K165" s="95"/>
      <x:c r="L165" s="95"/>
      <x:c r="M165" s="95"/>
      <x:c r="N165" s="95"/>
      <x:c r="O165" s="95"/>
      <x:c r="P165" s="95"/>
      <x:c r="Q165" s="95"/>
    </x:row>
    <x:row r="166">
      <x:c r="A166" s="90"/>
      <x:c r="B166" s="90"/>
      <x:c r="C166" s="90"/>
      <x:c r="D166" s="90"/>
      <x:c r="E166" s="90"/>
      <x:c r="F166" s="95"/>
      <x:c r="G166" s="95"/>
      <x:c r="H166" s="95"/>
      <x:c r="I166" s="90"/>
      <x:c r="J166" s="90"/>
      <x:c r="K166" s="95"/>
      <x:c r="L166" s="95"/>
      <x:c r="M166" s="95"/>
      <x:c r="N166" s="95"/>
      <x:c r="O166" s="95"/>
      <x:c r="P166" s="95"/>
      <x:c r="Q166" s="95"/>
    </x:row>
    <x:row r="167">
      <x:c r="A167" s="90"/>
      <x:c r="B167" s="90"/>
      <x:c r="C167" s="90"/>
      <x:c r="D167" s="90"/>
      <x:c r="E167" s="90"/>
      <x:c r="F167" s="95"/>
      <x:c r="G167" s="95"/>
      <x:c r="H167" s="95"/>
      <x:c r="I167" s="90"/>
      <x:c r="J167" s="90"/>
      <x:c r="K167" s="95"/>
      <x:c r="L167" s="95"/>
      <x:c r="M167" s="95"/>
      <x:c r="N167" s="95"/>
      <x:c r="O167" s="95"/>
      <x:c r="P167" s="95"/>
      <x:c r="Q167" s="95"/>
    </x:row>
    <x:row r="168">
      <x:c r="A168" s="90"/>
      <x:c r="B168" s="90"/>
      <x:c r="C168" s="90"/>
      <x:c r="D168" s="90"/>
      <x:c r="E168" s="90"/>
      <x:c r="F168" s="95"/>
      <x:c r="G168" s="95"/>
      <x:c r="H168" s="95"/>
      <x:c r="I168" s="90"/>
      <x:c r="J168" s="90"/>
      <x:c r="K168" s="95"/>
      <x:c r="L168" s="95"/>
      <x:c r="M168" s="95"/>
      <x:c r="N168" s="95"/>
      <x:c r="O168" s="95"/>
      <x:c r="P168" s="95"/>
      <x:c r="Q168" s="95"/>
    </x:row>
    <x:row r="169">
      <x:c r="A169" s="90"/>
      <x:c r="B169" s="90"/>
      <x:c r="C169" s="90"/>
      <x:c r="D169" s="90"/>
      <x:c r="E169" s="90"/>
      <x:c r="F169" s="95"/>
      <x:c r="G169" s="95"/>
      <x:c r="H169" s="95"/>
      <x:c r="I169" s="90"/>
      <x:c r="J169" s="90"/>
      <x:c r="K169" s="95"/>
      <x:c r="L169" s="95"/>
      <x:c r="M169" s="95"/>
      <x:c r="N169" s="95"/>
      <x:c r="O169" s="95"/>
      <x:c r="P169" s="95"/>
      <x:c r="Q169" s="95"/>
    </x:row>
    <x:row r="170">
      <x:c r="A170" s="90"/>
      <x:c r="B170" s="90"/>
      <x:c r="C170" s="90"/>
      <x:c r="D170" s="90"/>
      <x:c r="E170" s="90"/>
      <x:c r="F170" s="95"/>
      <x:c r="G170" s="95"/>
      <x:c r="H170" s="95"/>
      <x:c r="I170" s="90"/>
      <x:c r="J170" s="90"/>
      <x:c r="K170" s="95"/>
      <x:c r="L170" s="95"/>
      <x:c r="M170" s="95"/>
      <x:c r="N170" s="95"/>
      <x:c r="O170" s="95"/>
      <x:c r="P170" s="95"/>
      <x:c r="Q170" s="95"/>
    </x:row>
    <x:row r="171">
      <x:c r="A171" s="90"/>
      <x:c r="B171" s="90"/>
      <x:c r="C171" s="90"/>
      <x:c r="D171" s="90"/>
      <x:c r="E171" s="90"/>
      <x:c r="F171" s="95"/>
      <x:c r="G171" s="95"/>
      <x:c r="H171" s="95"/>
      <x:c r="I171" s="90"/>
      <x:c r="J171" s="90"/>
      <x:c r="K171" s="95"/>
      <x:c r="L171" s="95"/>
      <x:c r="M171" s="95"/>
      <x:c r="N171" s="95"/>
      <x:c r="O171" s="95"/>
      <x:c r="P171" s="95"/>
      <x:c r="Q171" s="95"/>
    </x:row>
    <x:row r="172">
      <x:c r="A172" s="90"/>
      <x:c r="B172" s="90"/>
      <x:c r="C172" s="90"/>
      <x:c r="D172" s="90"/>
      <x:c r="E172" s="90"/>
      <x:c r="F172" s="95"/>
      <x:c r="G172" s="95"/>
      <x:c r="H172" s="95"/>
      <x:c r="I172" s="90"/>
      <x:c r="J172" s="90"/>
      <x:c r="K172" s="95"/>
      <x:c r="L172" s="95"/>
      <x:c r="M172" s="95"/>
      <x:c r="N172" s="95"/>
      <x:c r="O172" s="95"/>
      <x:c r="P172" s="95"/>
      <x:c r="Q172" s="95"/>
    </x:row>
    <x:row r="173">
      <x:c r="A173" s="90"/>
      <x:c r="B173" s="90"/>
      <x:c r="C173" s="90"/>
      <x:c r="D173" s="90"/>
      <x:c r="E173" s="90"/>
      <x:c r="F173" s="95"/>
      <x:c r="G173" s="95"/>
      <x:c r="H173" s="95"/>
      <x:c r="I173" s="90"/>
      <x:c r="J173" s="90"/>
      <x:c r="K173" s="95"/>
      <x:c r="L173" s="95"/>
      <x:c r="M173" s="95"/>
      <x:c r="N173" s="95"/>
      <x:c r="O173" s="95"/>
      <x:c r="P173" s="95"/>
      <x:c r="Q173" s="95"/>
    </x:row>
    <x:row r="174">
      <x:c r="A174" s="90"/>
      <x:c r="B174" s="90"/>
      <x:c r="C174" s="90"/>
      <x:c r="D174" s="90"/>
      <x:c r="E174" s="90"/>
      <x:c r="F174" s="95"/>
      <x:c r="G174" s="95"/>
      <x:c r="H174" s="95"/>
      <x:c r="I174" s="90"/>
      <x:c r="J174" s="90"/>
      <x:c r="K174" s="95"/>
      <x:c r="L174" s="95"/>
      <x:c r="M174" s="95"/>
      <x:c r="N174" s="95"/>
      <x:c r="O174" s="95"/>
      <x:c r="P174" s="95"/>
      <x:c r="Q174" s="95"/>
    </x:row>
    <x:row r="175">
      <x:c r="A175" s="90"/>
      <x:c r="B175" s="90"/>
      <x:c r="C175" s="90"/>
      <x:c r="D175" s="90"/>
      <x:c r="E175" s="90"/>
      <x:c r="F175" s="95"/>
      <x:c r="G175" s="95"/>
      <x:c r="H175" s="95"/>
      <x:c r="I175" s="90"/>
      <x:c r="J175" s="90"/>
      <x:c r="K175" s="95"/>
      <x:c r="L175" s="95"/>
      <x:c r="M175" s="95"/>
      <x:c r="N175" s="95"/>
      <x:c r="O175" s="95"/>
      <x:c r="P175" s="95"/>
      <x:c r="Q175" s="95"/>
    </x:row>
    <x:row r="176">
      <x:c r="A176" s="90"/>
      <x:c r="B176" s="90"/>
      <x:c r="C176" s="90"/>
      <x:c r="D176" s="90"/>
      <x:c r="E176" s="90"/>
      <x:c r="F176" s="95"/>
      <x:c r="G176" s="95"/>
      <x:c r="H176" s="95"/>
      <x:c r="I176" s="90"/>
      <x:c r="J176" s="90"/>
      <x:c r="K176" s="95"/>
      <x:c r="L176" s="95"/>
      <x:c r="M176" s="95"/>
      <x:c r="N176" s="95"/>
      <x:c r="O176" s="95"/>
      <x:c r="P176" s="95"/>
      <x:c r="Q176" s="95"/>
    </x:row>
    <x:row r="177">
      <x:c r="A177" s="90"/>
      <x:c r="B177" s="90"/>
      <x:c r="C177" s="90"/>
      <x:c r="D177" s="90"/>
      <x:c r="E177" s="90"/>
      <x:c r="F177" s="95"/>
      <x:c r="G177" s="95"/>
      <x:c r="H177" s="95"/>
      <x:c r="I177" s="90"/>
      <x:c r="J177" s="90"/>
      <x:c r="K177" s="95"/>
      <x:c r="L177" s="95"/>
      <x:c r="M177" s="95"/>
      <x:c r="N177" s="95"/>
      <x:c r="O177" s="95"/>
      <x:c r="P177" s="95"/>
      <x:c r="Q177" s="95"/>
    </x:row>
    <x:row r="178">
      <x:c r="A178" s="90"/>
      <x:c r="B178" s="90"/>
      <x:c r="C178" s="90"/>
      <x:c r="D178" s="90"/>
      <x:c r="E178" s="90"/>
      <x:c r="F178" s="95"/>
      <x:c r="G178" s="95"/>
      <x:c r="H178" s="95"/>
      <x:c r="I178" s="90"/>
      <x:c r="J178" s="90"/>
      <x:c r="K178" s="95"/>
      <x:c r="L178" s="95"/>
      <x:c r="M178" s="95"/>
      <x:c r="N178" s="95"/>
      <x:c r="O178" s="95"/>
      <x:c r="P178" s="95"/>
      <x:c r="Q178" s="95"/>
    </x:row>
    <x:row r="179">
      <x:c r="A179" s="90"/>
      <x:c r="B179" s="90"/>
      <x:c r="C179" s="90"/>
      <x:c r="D179" s="90"/>
      <x:c r="E179" s="90"/>
      <x:c r="F179" s="95"/>
      <x:c r="G179" s="95"/>
      <x:c r="H179" s="95"/>
      <x:c r="I179" s="90"/>
      <x:c r="J179" s="90"/>
      <x:c r="K179" s="95"/>
      <x:c r="L179" s="95"/>
      <x:c r="M179" s="95"/>
      <x:c r="N179" s="95"/>
      <x:c r="O179" s="95"/>
      <x:c r="P179" s="95"/>
      <x:c r="Q179" s="95"/>
    </x:row>
    <x:row r="180">
      <x:c r="A180" s="90"/>
      <x:c r="B180" s="90"/>
      <x:c r="C180" s="90"/>
      <x:c r="D180" s="90"/>
      <x:c r="E180" s="90"/>
      <x:c r="F180" s="95"/>
      <x:c r="G180" s="95"/>
      <x:c r="H180" s="95"/>
      <x:c r="I180" s="90"/>
      <x:c r="J180" s="90"/>
      <x:c r="K180" s="95"/>
      <x:c r="L180" s="95"/>
      <x:c r="M180" s="95"/>
      <x:c r="N180" s="95"/>
      <x:c r="O180" s="95"/>
      <x:c r="P180" s="95"/>
      <x:c r="Q180" s="95"/>
    </x:row>
    <x:row r="181">
      <x:c r="A181" s="90"/>
      <x:c r="B181" s="90"/>
      <x:c r="C181" s="90"/>
      <x:c r="D181" s="90"/>
      <x:c r="E181" s="90"/>
      <x:c r="F181" s="95"/>
      <x:c r="G181" s="95"/>
      <x:c r="H181" s="95"/>
      <x:c r="I181" s="90"/>
      <x:c r="J181" s="90"/>
      <x:c r="K181" s="95"/>
      <x:c r="L181" s="95"/>
      <x:c r="M181" s="95"/>
      <x:c r="N181" s="95"/>
      <x:c r="O181" s="95"/>
      <x:c r="P181" s="95"/>
      <x:c r="Q181" s="95"/>
    </x:row>
    <x:row r="182">
      <x:c r="A182" s="90"/>
      <x:c r="B182" s="90"/>
      <x:c r="C182" s="90"/>
      <x:c r="D182" s="90"/>
      <x:c r="E182" s="90"/>
      <x:c r="F182" s="95"/>
      <x:c r="G182" s="95"/>
      <x:c r="H182" s="95"/>
      <x:c r="I182" s="90"/>
      <x:c r="J182" s="90"/>
      <x:c r="K182" s="95"/>
      <x:c r="L182" s="95"/>
      <x:c r="M182" s="95"/>
      <x:c r="N182" s="95"/>
      <x:c r="O182" s="95"/>
      <x:c r="P182" s="95"/>
      <x:c r="Q182" s="95"/>
    </x:row>
    <x:row r="183">
      <x:c r="A183" s="90"/>
      <x:c r="B183" s="90"/>
      <x:c r="C183" s="90"/>
      <x:c r="D183" s="90"/>
      <x:c r="E183" s="90"/>
      <x:c r="F183" s="95"/>
      <x:c r="G183" s="95"/>
      <x:c r="H183" s="95"/>
      <x:c r="I183" s="90"/>
      <x:c r="J183" s="90"/>
      <x:c r="K183" s="95"/>
      <x:c r="L183" s="95"/>
      <x:c r="M183" s="95"/>
      <x:c r="N183" s="95"/>
      <x:c r="O183" s="95"/>
      <x:c r="P183" s="95"/>
      <x:c r="Q183" s="95"/>
    </x:row>
    <x:row r="184">
      <x:c r="A184" s="90"/>
      <x:c r="B184" s="90"/>
      <x:c r="C184" s="90"/>
      <x:c r="D184" s="90"/>
      <x:c r="E184" s="90"/>
      <x:c r="F184" s="95"/>
      <x:c r="G184" s="95"/>
      <x:c r="H184" s="95"/>
      <x:c r="I184" s="90"/>
      <x:c r="J184" s="90"/>
      <x:c r="K184" s="95"/>
      <x:c r="L184" s="95"/>
      <x:c r="M184" s="95"/>
      <x:c r="N184" s="95"/>
      <x:c r="O184" s="95"/>
      <x:c r="P184" s="95"/>
      <x:c r="Q184" s="95"/>
    </x:row>
    <x:row r="185">
      <x:c r="A185" s="90"/>
      <x:c r="B185" s="90"/>
      <x:c r="C185" s="90"/>
      <x:c r="D185" s="90"/>
      <x:c r="E185" s="90"/>
      <x:c r="F185" s="95"/>
      <x:c r="G185" s="95"/>
      <x:c r="H185" s="95"/>
      <x:c r="I185" s="90"/>
      <x:c r="J185" s="90"/>
      <x:c r="K185" s="95"/>
      <x:c r="L185" s="95"/>
      <x:c r="M185" s="95"/>
      <x:c r="N185" s="95"/>
      <x:c r="O185" s="95"/>
      <x:c r="P185" s="95"/>
      <x:c r="Q185" s="95"/>
    </x:row>
    <x:row r="186">
      <x:c r="A186" s="90"/>
      <x:c r="B186" s="90"/>
      <x:c r="C186" s="90"/>
      <x:c r="D186" s="90"/>
      <x:c r="E186" s="90"/>
      <x:c r="F186" s="95"/>
      <x:c r="G186" s="95"/>
      <x:c r="H186" s="95"/>
      <x:c r="I186" s="90"/>
      <x:c r="J186" s="90"/>
      <x:c r="K186" s="95"/>
      <x:c r="L186" s="95"/>
      <x:c r="M186" s="95"/>
      <x:c r="N186" s="95"/>
      <x:c r="O186" s="95"/>
      <x:c r="P186" s="95"/>
      <x:c r="Q186" s="95"/>
    </x:row>
    <x:row r="187">
      <x:c r="A187" s="90"/>
      <x:c r="B187" s="90"/>
      <x:c r="C187" s="90"/>
      <x:c r="D187" s="90"/>
      <x:c r="E187" s="90"/>
      <x:c r="F187" s="95"/>
      <x:c r="G187" s="95"/>
      <x:c r="H187" s="95"/>
      <x:c r="I187" s="90"/>
      <x:c r="J187" s="90"/>
      <x:c r="K187" s="95"/>
      <x:c r="L187" s="95"/>
      <x:c r="M187" s="95"/>
      <x:c r="N187" s="95"/>
      <x:c r="O187" s="95"/>
      <x:c r="P187" s="95"/>
      <x:c r="Q187" s="95"/>
    </x:row>
    <x:row r="188">
      <x:c r="A188" s="90"/>
      <x:c r="B188" s="90"/>
      <x:c r="C188" s="90"/>
      <x:c r="D188" s="90"/>
      <x:c r="E188" s="90"/>
      <x:c r="F188" s="95"/>
      <x:c r="G188" s="95"/>
      <x:c r="H188" s="95"/>
      <x:c r="I188" s="90"/>
      <x:c r="J188" s="90"/>
      <x:c r="K188" s="95"/>
      <x:c r="L188" s="95"/>
      <x:c r="M188" s="95"/>
      <x:c r="N188" s="95"/>
      <x:c r="O188" s="95"/>
      <x:c r="P188" s="95"/>
      <x:c r="Q188" s="95"/>
    </x:row>
    <x:row r="189">
      <x:c r="A189" s="90"/>
      <x:c r="B189" s="90"/>
      <x:c r="C189" s="90"/>
      <x:c r="D189" s="90"/>
      <x:c r="E189" s="90"/>
      <x:c r="F189" s="95"/>
      <x:c r="G189" s="95"/>
      <x:c r="H189" s="95"/>
      <x:c r="I189" s="90"/>
      <x:c r="J189" s="90"/>
      <x:c r="K189" s="95"/>
      <x:c r="L189" s="95"/>
      <x:c r="M189" s="95"/>
      <x:c r="N189" s="95"/>
      <x:c r="O189" s="95"/>
      <x:c r="P189" s="95"/>
      <x:c r="Q189" s="95"/>
    </x:row>
    <x:row r="190">
      <x:c r="A190" s="90"/>
      <x:c r="B190" s="90"/>
      <x:c r="C190" s="90"/>
      <x:c r="D190" s="90"/>
      <x:c r="E190" s="90"/>
      <x:c r="F190" s="95"/>
      <x:c r="G190" s="95"/>
      <x:c r="H190" s="95"/>
      <x:c r="I190" s="90"/>
      <x:c r="J190" s="90"/>
      <x:c r="K190" s="95"/>
      <x:c r="L190" s="95"/>
      <x:c r="M190" s="95"/>
      <x:c r="N190" s="95"/>
      <x:c r="O190" s="95"/>
      <x:c r="P190" s="95"/>
      <x:c r="Q190" s="95"/>
    </x:row>
    <x:row r="191">
      <x:c r="A191" s="90"/>
      <x:c r="B191" s="90"/>
      <x:c r="C191" s="90"/>
      <x:c r="D191" s="90"/>
      <x:c r="E191" s="90"/>
      <x:c r="F191" s="95"/>
      <x:c r="G191" s="95"/>
      <x:c r="H191" s="95"/>
      <x:c r="I191" s="90"/>
      <x:c r="J191" s="90"/>
      <x:c r="K191" s="95"/>
      <x:c r="L191" s="95"/>
      <x:c r="M191" s="95"/>
      <x:c r="N191" s="95"/>
      <x:c r="O191" s="95"/>
      <x:c r="P191" s="95"/>
      <x:c r="Q191" s="95"/>
    </x:row>
    <x:row r="192">
      <x:c r="A192" s="90"/>
      <x:c r="B192" s="90"/>
      <x:c r="C192" s="90"/>
      <x:c r="D192" s="90"/>
      <x:c r="E192" s="90"/>
      <x:c r="F192" s="95"/>
      <x:c r="G192" s="95"/>
      <x:c r="H192" s="95"/>
      <x:c r="I192" s="90"/>
      <x:c r="J192" s="90"/>
      <x:c r="K192" s="95"/>
      <x:c r="L192" s="95"/>
      <x:c r="M192" s="95"/>
      <x:c r="N192" s="95"/>
      <x:c r="O192" s="95"/>
      <x:c r="P192" s="95"/>
      <x:c r="Q192" s="95"/>
    </x:row>
    <x:row r="193">
      <x:c r="A193" s="90"/>
      <x:c r="B193" s="90"/>
      <x:c r="C193" s="90"/>
      <x:c r="D193" s="90"/>
      <x:c r="E193" s="90"/>
      <x:c r="F193" s="95"/>
      <x:c r="G193" s="95"/>
      <x:c r="H193" s="95"/>
      <x:c r="I193" s="90"/>
      <x:c r="J193" s="90"/>
      <x:c r="K193" s="95"/>
      <x:c r="L193" s="95"/>
      <x:c r="M193" s="95"/>
      <x:c r="N193" s="95"/>
      <x:c r="O193" s="95"/>
      <x:c r="P193" s="95"/>
      <x:c r="Q193" s="95"/>
    </x:row>
    <x:row r="194">
      <x:c r="A194" s="90"/>
      <x:c r="B194" s="90"/>
      <x:c r="C194" s="90"/>
      <x:c r="D194" s="90"/>
      <x:c r="E194" s="90"/>
      <x:c r="F194" s="95"/>
      <x:c r="G194" s="95"/>
      <x:c r="H194" s="95"/>
      <x:c r="I194" s="90"/>
      <x:c r="J194" s="90"/>
      <x:c r="K194" s="95"/>
      <x:c r="L194" s="95"/>
      <x:c r="M194" s="95"/>
      <x:c r="N194" s="95"/>
      <x:c r="O194" s="95"/>
      <x:c r="P194" s="95"/>
      <x:c r="Q194" s="95"/>
    </x:row>
    <x:row r="195">
      <x:c r="A195" s="90"/>
      <x:c r="B195" s="90"/>
      <x:c r="C195" s="90"/>
      <x:c r="D195" s="90"/>
      <x:c r="E195" s="90"/>
      <x:c r="F195" s="95"/>
      <x:c r="G195" s="95"/>
      <x:c r="H195" s="95"/>
      <x:c r="I195" s="90"/>
      <x:c r="J195" s="90"/>
      <x:c r="K195" s="95"/>
      <x:c r="L195" s="95"/>
      <x:c r="M195" s="95"/>
      <x:c r="N195" s="95"/>
      <x:c r="O195" s="95"/>
      <x:c r="P195" s="95"/>
      <x:c r="Q195" s="95"/>
    </x:row>
    <x:row r="196">
      <x:c r="A196" s="90"/>
      <x:c r="B196" s="90"/>
      <x:c r="C196" s="90"/>
      <x:c r="D196" s="90"/>
      <x:c r="E196" s="90"/>
      <x:c r="F196" s="95"/>
      <x:c r="G196" s="95"/>
      <x:c r="H196" s="95"/>
      <x:c r="I196" s="90"/>
      <x:c r="J196" s="90"/>
      <x:c r="K196" s="95"/>
      <x:c r="L196" s="95"/>
      <x:c r="M196" s="95"/>
      <x:c r="N196" s="95"/>
      <x:c r="O196" s="95"/>
      <x:c r="P196" s="95"/>
      <x:c r="Q196" s="95"/>
    </x:row>
    <x:row r="197">
      <x:c r="A197" s="90"/>
      <x:c r="B197" s="90"/>
      <x:c r="C197" s="90"/>
      <x:c r="D197" s="90"/>
      <x:c r="E197" s="90"/>
      <x:c r="F197" s="95"/>
      <x:c r="G197" s="95"/>
      <x:c r="H197" s="95"/>
      <x:c r="I197" s="90"/>
      <x:c r="J197" s="90"/>
      <x:c r="K197" s="95"/>
      <x:c r="L197" s="95"/>
      <x:c r="M197" s="95"/>
      <x:c r="N197" s="95"/>
      <x:c r="O197" s="95"/>
      <x:c r="P197" s="95"/>
      <x:c r="Q197" s="95"/>
    </x:row>
    <x:row r="198">
      <x:c r="A198" s="90"/>
      <x:c r="B198" s="90"/>
      <x:c r="C198" s="90"/>
      <x:c r="D198" s="90"/>
      <x:c r="E198" s="90"/>
      <x:c r="F198" s="95"/>
      <x:c r="G198" s="95"/>
      <x:c r="H198" s="95"/>
      <x:c r="I198" s="90"/>
      <x:c r="J198" s="90"/>
      <x:c r="K198" s="95"/>
      <x:c r="L198" s="95"/>
      <x:c r="M198" s="95"/>
      <x:c r="N198" s="95"/>
      <x:c r="O198" s="95"/>
      <x:c r="P198" s="95"/>
      <x:c r="Q198" s="95"/>
    </x:row>
    <x:row r="199">
      <x:c r="A199" s="90"/>
      <x:c r="B199" s="90"/>
      <x:c r="C199" s="90"/>
      <x:c r="D199" s="90"/>
      <x:c r="E199" s="90"/>
      <x:c r="F199" s="95"/>
      <x:c r="G199" s="95"/>
      <x:c r="H199" s="95"/>
      <x:c r="I199" s="90"/>
      <x:c r="J199" s="90"/>
      <x:c r="K199" s="95"/>
      <x:c r="L199" s="95"/>
      <x:c r="M199" s="95"/>
      <x:c r="N199" s="95"/>
      <x:c r="O199" s="95"/>
      <x:c r="P199" s="95"/>
      <x:c r="Q199" s="95"/>
    </x:row>
    <x:row r="200">
      <x:c r="A200" s="90"/>
      <x:c r="B200" s="90"/>
      <x:c r="C200" s="90"/>
      <x:c r="D200" s="90"/>
      <x:c r="E200" s="90"/>
      <x:c r="F200" s="95"/>
      <x:c r="G200" s="95"/>
      <x:c r="H200" s="95"/>
      <x:c r="I200" s="90"/>
      <x:c r="J200" s="90"/>
      <x:c r="K200" s="95"/>
      <x:c r="L200" s="95"/>
      <x:c r="M200" s="95"/>
      <x:c r="N200" s="95"/>
      <x:c r="O200" s="95"/>
      <x:c r="P200" s="95"/>
      <x:c r="Q200" s="95"/>
    </x:row>
  </x:sheetData>
  <x:mergeCells>
    <x:mergeCell ref="A1:Q1"/>
    <x:mergeCell ref="A2:Q2"/>
  </x:mergeCells>
  <x:conditionalFormatting sqref="N5:N200">
    <x:cfRule type="containsText" dxfId="4" priority="1" operator="containsText" text="Confirmed"/>
    <x:cfRule type="containsText" dxfId="5" priority="2" operator="containsText" text="Waiting BA"/>
    <x:cfRule type="containsText" dxfId="6" priority="3" operator="containsText" text="Blocked"/>
    <x:cfRule type="containsText" dxfId="7" priority="4" operator="containsText" text="In Progress"/>
  </x:conditionalFormatting>
  <x:dataValidations count="6">
    <x:dataValidation type="list" sqref="I5:I200">
      <x:formula1>"Functional,Business Rule,Navigation,UI/UX,Data,Permission,Validation,Performance"</x:formula1>
    </x:dataValidation>
    <x:dataValidation type="list" sqref="J5:J200">
      <x:formula1>"P0,P1,P2"</x:formula1>
    </x:dataValidation>
    <x:dataValidation type="list" sqref="L5:L200">
      <x:formula1>"Pending,Gap Confirmed,Fix Direction Approved,Accepted Difference,Not a Gap"</x:formula1>
    </x:dataValidation>
    <x:dataValidation type="list" sqref="M5:M200">
      <x:formula1>"FE,Business Rule,Data / Config,Backend / API,Out of Scope"</x:formula1>
    </x:dataValidation>
    <x:dataValidation type="list" sqref="N5:N200">
      <x:formula1>"Not Started,In Progress,Ready for Retest,Fixed,Deferred,Rejected"</x:formula1>
    </x:dataValidation>
    <x:dataValidation type="list" sqref="O5:O200">
      <x:formula1>"Not Run,Pass,Fail,Blocked"</x:formula1>
    </x:dataValidation>
  </x:dataValidations>
  <x:pageMargins left="0.7" right="0.7" top="0.75" bottom="0.75" header="0.3" footer="0.3"/>
  <x:tableParts count="1">
    <x:tablePart xmlns:r="http://schemas.openxmlformats.org/officeDocument/2006/relationships" r:id="R6185f40c074c4a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3" hidden="0" customWidth="1"/>
    <x:col min="4" max="4" width="12" hidden="0" customWidth="1"/>
    <x:col min="5" max="5" width="24" hidden="0" customWidth="1"/>
    <x:col min="6" max="6" width="36" hidden="0" customWidth="1"/>
    <x:col min="7" max="7" width="48" hidden="0" customWidth="1"/>
    <x:col min="8" max="8" width="44" hidden="0" customWidth="1"/>
    <x:col min="9" max="9" width="48" hidden="0" customWidth="1"/>
    <x:col min="10" max="10" width="12" hidden="0" customWidth="1"/>
    <x:col min="11" max="11" width="36" hidden="0" customWidth="1"/>
    <x:col min="12" max="12" width="14" hidden="0" customWidth="1"/>
    <x:col min="13" max="13" width="40" hidden="0" customWidth="1"/>
  </x:cols>
  <x:sheetData>
    <x:row r="1" ht="28" customHeight="1">
      <x:c r="A1" s="94" t="str">
        <x:v>Execution Evidence Log</x:v>
      </x:c>
      <x:c r="B1" s="88"/>
      <x:c r="C1" s="88"/>
      <x:c r="D1" s="88"/>
      <x:c r="E1" s="88"/>
      <x:c r="F1" s="88"/>
      <x:c r="G1" s="88"/>
      <x:c r="H1" s="88"/>
      <x:c r="I1" s="88"/>
      <x:c r="J1" s="88"/>
      <x:c r="K1" s="88"/>
      <x:c r="L1" s="88"/>
      <x:c r="M1" s="88"/>
    </x:row>
    <x:row r="2" ht="32" customHeight="1">
      <x:c r="A2" s="89" t="str">
        <x:v>Record observable steps and actual results. Do not store passwords, tokens or sensitive session details.</x:v>
      </x:c>
      <x:c r="B2" s="89"/>
      <x:c r="C2" s="89"/>
      <x:c r="D2" s="89"/>
      <x:c r="E2" s="89"/>
      <x:c r="F2" s="89"/>
      <x:c r="G2" s="89"/>
      <x:c r="H2" s="89"/>
      <x:c r="I2" s="89"/>
      <x:c r="J2" s="89"/>
      <x:c r="K2" s="89"/>
      <x:c r="L2" s="89"/>
      <x:c r="M2" s="89"/>
    </x:row>
    <x:row r="3">
      <x:c r="A3" s="90"/>
      <x:c r="B3" s="90"/>
      <x:c r="C3" s="90"/>
      <x:c r="D3" s="90"/>
      <x:c r="E3" s="90"/>
      <x:c r="F3" s="90"/>
      <x:c r="G3" s="90"/>
      <x:c r="H3" s="90"/>
      <x:c r="I3" s="90"/>
      <x:c r="J3" s="90"/>
      <x:c r="K3" s="90"/>
      <x:c r="L3" s="90"/>
      <x:c r="M3" s="90"/>
    </x:row>
    <x:row r="4" ht="34" customHeight="1">
      <x:c r="A4" s="67" t="str">
        <x:v>Execution ID</x:v>
      </x:c>
      <x:c r="B4" s="67" t="str">
        <x:v>Audit ID</x:v>
      </x:c>
      <x:c r="C4" s="67" t="str">
        <x:v>Date</x:v>
      </x:c>
      <x:c r="D4" s="67" t="str">
        <x:v>Environment</x:v>
      </x:c>
      <x:c r="E4" s="67" t="str">
        <x:v>Account</x:v>
      </x:c>
      <x:c r="F4" s="67" t="str">
        <x:v>Precondition</x:v>
      </x:c>
      <x:c r="G4" s="67" t="str">
        <x:v>Step / Action</x:v>
      </x:c>
      <x:c r="H4" s="67" t="str">
        <x:v>Expected</x:v>
      </x:c>
      <x:c r="I4" s="67" t="str">
        <x:v>Actual</x:v>
      </x:c>
      <x:c r="J4" s="67" t="str">
        <x:v>Result</x:v>
      </x:c>
      <x:c r="K4" s="67" t="str">
        <x:v>Evidence</x:v>
      </x:c>
      <x:c r="L4" s="67" t="str">
        <x:v>Retest Of</x:v>
      </x:c>
      <x:c r="M4" s="67" t="str">
        <x:v>Tester Notes</x:v>
      </x:c>
    </x:row>
    <x:row r="5">
      <x:c r="A5" s="91" t="str">
        <x:v>EXE-P0-AUTH-001</x:v>
      </x:c>
      <x:c r="B5" s="91" t="str">
        <x:v>P0-AUTH-01</x:v>
      </x:c>
      <x:c r="C5" s="93" t="n">
        <x:v>46222</x:v>
      </x:c>
      <x:c r="D5" s="91" t="str">
        <x:v>DevInt</x:v>
      </x:c>
      <x:c r="E5" s="91" t="str">
        <x:v>hieuvbm@qnsc.vn</x:v>
      </x:c>
      <x:c r="F5" s="92" t="str">
        <x:v>Signed out at https://rally-dev.qnsc.vn/login</x:v>
      </x:c>
      <x:c r="G5" s="92" t="str">
        <x:v>Open /login; select Sign in with Microsoft; enter the organizational account; complete Microsoft sign-in.</x:v>
      </x:c>
      <x:c r="H5" s="92" t="str">
        <x:v>Authorized user signs in and reaches authenticated Home/App Shell without exposing credentials.</x:v>
      </x:c>
      <x:c r="I5" s="92" t="str">
        <x:v>SSO succeeded and redirected to /. Authenticated Home/App Shell rendered. DevInt has no local email/password form described by current SRS/mockup.</x:v>
      </x:c>
      <x:c r="J5" s="91" t="str">
        <x:v>Partial</x:v>
      </x:c>
      <x:c r="K5" s="92" t="str">
        <x:v>notes/P0-AUTH-01.md</x:v>
      </x:c>
      <x:c r="L5" s="92" t="str"/>
      <x:c r="M5" s="92" t="str">
        <x:v>Positive SSO path passed. Business/model alignment remains pending BA confirmation.</x:v>
      </x:c>
    </x:row>
    <x:row r="6">
      <x:c r="A6" s="90" t="str">
        <x:v>EXE-P0-AUTH-002</x:v>
      </x:c>
      <x:c r="B6" s="90" t="str">
        <x:v>P0-AUTH-02</x:v>
      </x:c>
      <x:c r="C6" s="96" t="n">
        <x:v>46222</x:v>
      </x:c>
      <x:c r="D6" s="90" t="str">
        <x:v>DevInt</x:v>
      </x:c>
      <x:c r="E6" s="90" t="str">
        <x:v>hieuvbm@qnsc.vn</x:v>
      </x:c>
      <x:c r="F6" s="95" t="str">
        <x:v>Authenticated Microsoft SSO session exists</x:v>
      </x:c>
      <x:c r="G6" s="95" t="str">
        <x:v>Open /projects directly; confirm session restore. Sign out. Open /projects while signed out. Sign in again with Microsoft.</x:v>
      </x:c>
      <x:c r="H6" s="95" t="str">
        <x:v>Protected deep link remains available during a valid session; logout ends app access; anonymous protected access redirects to login and returns to the original safe route after sign-in.</x:v>
      </x:c>
      <x:c r="I6" s="95" t="str">
        <x:v>Direct /projects access succeeded. Sign out redirected to /login with a Signed out notification. Anonymous /projects redirected to /login?returnTo=%2Fprojects. Microsoft SSO returned to /projects.</x:v>
      </x:c>
      <x:c r="J6" s="90" t="str">
        <x:v>Pass</x:v>
      </x:c>
      <x:c r="K6" s="95" t="str">
        <x:v>notes/P0-AUTH-02.md</x:v>
      </x:c>
      <x:c r="L6" s="95" t="str"/>
      <x:c r="M6" s="95" t="str">
        <x:v>App session restore, logout protection and safe returnTo all matched the confirmed business expectation.</x:v>
      </x:c>
    </x:row>
    <x:row r="7">
      <x:c r="A7" s="90" t="str">
        <x:v>EXE-P0-SHELL-001</x:v>
      </x:c>
      <x:c r="B7" s="90" t="str">
        <x:v>P0-SHELL-01</x:v>
      </x:c>
      <x:c r="C7" s="96" t="n">
        <x:v>46222</x:v>
      </x:c>
      <x:c r="D7" s="90" t="str">
        <x:v>DevInt</x:v>
      </x:c>
      <x:c r="E7" s="90" t="str">
        <x:v>hieuvbm@qnsc.vn</x:v>
      </x:c>
      <x:c r="F7" s="95" t="str">
        <x:v>Authenticated session; LEG / All Teams context</x:v>
      </x:c>
      <x:c r="G7" s="95" t="str">
        <x:v>Inspect top navigation and each dropdown. Navigate Home &gt; Plan/Backlog &gt; Track/Iteration Status. Use browser Back and Forward and compare active styling and routes.</x:v>
      </x:c>
      <x:c r="H7" s="95" t="str">
        <x:v>Only confirmed Phase 0–4 navigation is exposed; parent/child labels and routes match business; active state follows URL and browser history.</x:v>
      </x:c>
      <x:c r="I7" s="95" t="str">
        <x:v>Routing and active styling passed: /backlog activates Plan, /iteration-status activates Track, Back/Forward restores both. Navigation IA differs on Releases, Portfolio, direct Milestones and the Iteration label.</x:v>
      </x:c>
      <x:c r="J7" s="90" t="str">
        <x:v>Partial</x:v>
      </x:c>
      <x:c r="K7" s="95" t="str">
        <x:v>notes/P0-SHELL-01.md</x:v>
      </x:c>
      <x:c r="L7" s="95" t="str"/>
      <x:c r="M7" s="95" t="str">
        <x:v>No Team Board item was visible, which matches confirmed future-backlog scope.</x:v>
      </x:c>
    </x:row>
    <x:row r="8">
      <x:c r="A8" s="90" t="str">
        <x:v>EXE-P0-SHELL-002</x:v>
      </x:c>
      <x:c r="B8" s="90" t="str">
        <x:v>P0-SHELL-02</x:v>
      </x:c>
      <x:c r="C8" s="96" t="n">
        <x:v>46222</x:v>
      </x:c>
      <x:c r="D8" s="90" t="str">
        <x:v>DevInt</x:v>
      </x:c>
      <x:c r="E8" s="90" t="str">
        <x:v>hieuvbm@qnsc.vn</x:v>
      </x:c>
      <x:c r="F8" s="95" t="str">
        <x:v>Authenticated session; Backlog route</x:v>
      </x:c>
      <x:c r="G8" s="95" t="str">
        <x:v>Open Company/Project/Team selector. Switch LEG &gt; NXP &gt; MOB; compare All Teams data. Select Team Alpha/Team Beta. Refresh and confirm selected context persists.</x:v>
      </x:c>
      <x:c r="H8" s="95" t="str">
        <x:v>Company is fixed; Project and Team are explicit; switching Project reloads scoped data; All Teams aggregates only the current Project; Team selection filters that Project and persists safely.</x:v>
      </x:c>
      <x:c r="I8" s="95" t="str">
        <x:v>Fixed ACME Corp root and Project/Team controls rendered. NXP All Teams showed 12 items; MOB All Teams showed 10 project-specific items. Team Alpha and Team Beta showed 0 items. MOB / Team Beta persisted after refresh. Context was restored to NXP / All Teams after the test.</x:v>
      </x:c>
      <x:c r="J8" s="90" t="str">
        <x:v>Partial</x:v>
      </x:c>
      <x:c r="K8" s="95" t="str">
        <x:v>notes/P0-SHELL-02.md</x:v>
      </x:c>
      <x:c r="L8" s="95" t="str"/>
      <x:c r="M8" s="95" t="str">
        <x:v>Team selection control passed; Team filter is NOT TESTED. Project switch, All Teams scope and persistence passed. Positive Team inclusion is deferred until a controlled team-linked Work Item exists.</x:v>
      </x:c>
    </x:row>
    <x:row r="9">
      <x:c r="A9" s="90" t="str">
        <x:v>EXE-P0-SHELL-003</x:v>
      </x:c>
      <x:c r="B9" s="90" t="str">
        <x:v>P0-SHELL-03</x:v>
      </x:c>
      <x:c r="C9" s="96" t="n">
        <x:v>46222</x:v>
      </x:c>
      <x:c r="D9" s="90" t="str">
        <x:v>DevInt</x:v>
      </x:c>
      <x:c r="E9" s="90" t="str">
        <x:v>hieuvbm@qnsc.vn</x:v>
      </x:c>
      <x:c r="F9" s="95" t="str">
        <x:v>Authenticated session; NXP / All Teams; Backlog contains DE-1</x:v>
      </x:c>
      <x:c r="G9" s="95" t="str">
        <x:v>Enter DE-1 in Global Search and wait; press Enter; enter DEVINT-NO-MATCH-999 and wait; inspect overlay/listbox/dialog and route; clear the input.</x:v>
      </x:c>
      <x:c r="H9" s="95" t="str">
        <x:v>For a contract-only Phase 0 entry, the input may be visual only. For functional scope, known ID returns a permitted result, no-match shows an empty state, and opening preserves Work Item identity.</x:v>
      </x:c>
      <x:c r="I9" s="95" t="str">
        <x:v>Input accepted both queries. No dialog, listbox, search overlay, result, empty state, or navigation appeared; Enter left the route at /backlog. Input was cleared after testing.</x:v>
      </x:c>
      <x:c r="J9" s="90" t="str">
        <x:v>Pass</x:v>
      </x:c>
      <x:c r="K9" s="95" t="str">
        <x:v>notes/P0-SHELL-03.md</x:v>
      </x:c>
      <x:c r="L9" s="95" t="str"/>
      <x:c r="M9" s="95" t="str">
        <x:v>BA confirmed functional Global Search is Future Backlog. DevInt matches the Phase 0-3 contract-only scope.</x:v>
      </x:c>
    </x:row>
    <x:row r="10">
      <x:c r="A10" s="90" t="str">
        <x:v>EXE-P0-WS-001</x:v>
      </x:c>
      <x:c r="B10" s="90" t="str">
        <x:v>P0-WS-01</x:v>
      </x:c>
      <x:c r="C10" s="96" t="n">
        <x:v>46222</x:v>
      </x:c>
      <x:c r="D10" s="90" t="str">
        <x:v>DevInt + Mockup</x:v>
      </x:c>
      <x:c r="E10" s="90" t="str">
        <x:v>hieuvbm@qnsc.vn</x:v>
      </x:c>
      <x:c r="F10" s="95" t="str">
        <x:v>Authenticated session; NXP / All Teams</x:v>
      </x:c>
      <x:c r="G10" s="95" t="str">
        <x:v>Inspect the fixed header root and available context actions. Open Settings &gt; Workspace Settings. Compare Company identity, visible terminology, create/switch affordances, Teams placement and name editability with SRS and mockup.</x:v>
      </x:c>
      <x:c r="H10" s="95" t="str">
        <x:v>One fixed Workspace is clear; there is no Workspace create/switch/archive; Workspace Admin may edit Workspace name; all visible terminology uses Workspace.</x:v>
      </x:c>
      <x:c r="I10" s="95" t="str">
        <x:v>DevInt has one ACME Corp root and no workspace CRUD/switch. Teams is correctly under Settings. DevInt uses Organization/Workspace labels and exposes editable Workspace name. Mockup uses ACME Space Inc., Company / Workspace and Workspace Settings; the Settings button does not open a working Company settings form.</x:v>
      </x:c>
      <x:c r="J10" s="90" t="str">
        <x:v>Partial</x:v>
      </x:c>
      <x:c r="K10" s="95" t="str">
        <x:v>notes/P0-WS-01.md</x:v>
      </x:c>
      <x:c r="L10" s="95" t="str"/>
      <x:c r="M10" s="95" t="str">
        <x:v>BA confirmed ACME Corp versus ACME Space Inc. is environment data; authoritative visible term is Workspace; Workspace Admin may edit Workspace name. Execution remains Partial only because DevInt still labels the selector Organization and docs/mockup still mix Company terminology.</x:v>
      </x:c>
    </x:row>
    <x:row r="11">
      <x:c r="A11" s="90" t="str">
        <x:v>EXE-P0-PRJ-001</x:v>
      </x:c>
      <x:c r="B11" s="90" t="str">
        <x:v>P0-PRJ-01</x:v>
      </x:c>
      <x:c r="C11" s="96" t="n">
        <x:v>46222</x:v>
      </x:c>
      <x:c r="D11" s="90" t="str">
        <x:v>DevInt + Mockup</x:v>
      </x:c>
      <x:c r="E11" s="90" t="str">
        <x:v>hieuvbm@qnsc.vn</x:v>
      </x:c>
      <x:c r="F11" s="95" t="str">
        <x:v>Authenticated Workspace Admin; five active DevInt Projects; zero archived Projects</x:v>
      </x:c>
      <x:c r="G11" s="95" t="str">
        <x:v>Open /projects; verify aggregates and row identity. Search MOB by key, Infrastructure by name and NO-PROJECT-999. Test Archived and Active filters. Open first row actions. Compare columns and labels with mockup/SRS.</x:v>
      </x:c>
      <x:c r="H11" s="95" t="str">
        <x:v>Permitted Projects have stable key/name/status/owner identity; counts are consistent; search/filter/empty state and actions work; columns align with approved mockup/SRS.</x:v>
      </x:c>
      <x:c r="I11" s="95" t="str">
        <x:v>DevInt loaded five active Projects. Total=5, Active=5, Archived=0 and Linked Teams=4 matched rows/counts. Key and name search returned the correct single row; no-match showed an explicit empty state. Archived showed empty state; Active restored five rows. Each row exposed Edit project and Archive project actions. Labels and fields differ from mockup/SRS as logged.</x:v>
      </x:c>
      <x:c r="J11" s="90" t="str">
        <x:v>Partial</x:v>
      </x:c>
      <x:c r="K11" s="95" t="str">
        <x:v>notes/P0-PRJ-01.md</x:v>
      </x:c>
      <x:c r="L11" s="95" t="str"/>
      <x:c r="M11" s="95" t="str">
        <x:v>BA-confirmed NOT TESTED: linked Team display until Team code is finished; permission exclusion with a restricted account; positive Archived inclusion; and pagination with more than one page.</x:v>
      </x:c>
    </x:row>
    <x:row r="12">
      <x:c r="A12" s="90" t="str">
        <x:v>EXE-P0-PRJ-002</x:v>
      </x:c>
      <x:c r="B12" s="90" t="str">
        <x:v>P0-PRJ-02</x:v>
      </x:c>
      <x:c r="C12" s="96" t="n">
        <x:v>46222</x:v>
      </x:c>
      <x:c r="D12" s="90" t="str">
        <x:v>DevInt + Mockup</x:v>
      </x:c>
      <x:c r="E12" s="90" t="str">
        <x:v>hieuvbm@qnsc.vn</x:v>
      </x:c>
      <x:c r="F12" s="95" t="str">
        <x:v>Authenticated Workspace Admin; Project key AUD719 unused</x:v>
      </x:c>
      <x:c r="G12" s="95" t="str">
        <x:v>Inspect Create form and mockup. Exercise Name/Key inputs, duplicate NXP, Owner and Team loading. Create AUD719 with compliant name, current user, Team Alpha and description. Verify list counts, identity, notification and immutable key. Attempt Start Date entry and reopen Edit for persistence evidence.</x:v>
      </x:c>
      <x:c r="H12" s="95" t="str">
        <x:v>Required fields and validation match SRS; duplicate key is rejected; valid Project persists with correct Owner/Team/description/start date and immutable key; list aggregates update.</x:v>
      </x:c>
      <x:c r="I12" s="95" t="str">
        <x:v>Duplicate NXP was rejected. AUD719 was created Active with correct name, description, Hieu Vu Minh Bui Owner and Team count 1 after selecting Team Alpha. Total/Active increased 5 to 6 and Linked Teams 4 to 5. Key is immutable in Edit. Name min-length and Key max/helper differ from SRS. Start Date persistence was inconclusive and is NOT TESTED.</x:v>
      </x:c>
      <x:c r="J12" s="90" t="str">
        <x:v>Partial</x:v>
      </x:c>
      <x:c r="K12" s="95" t="str">
        <x:v>notes/P0-PRJ-02.md</x:v>
      </x:c>
      <x:c r="L12" s="95" t="str"/>
      <x:c r="M12" s="95" t="str">
        <x:v>Controlled data retained for P0-PRJ-03 Archive/Restore. Do not delete or archive until that checkpoint.</x:v>
      </x:c>
    </x:row>
    <x:row r="13">
      <x:c r="A13" s="90" t="str">
        <x:v>EXE-P0-PRJ-003</x:v>
      </x:c>
      <x:c r="B13" s="90" t="str">
        <x:v>P0-PRJ-02</x:v>
      </x:c>
      <x:c r="C13" s="96" t="n">
        <x:v>46222</x:v>
      </x:c>
      <x:c r="D13" s="90" t="str">
        <x:v>DevInt</x:v>
      </x:c>
      <x:c r="E13" s="90" t="str">
        <x:v>hieuvbm@qnsc.vn</x:v>
      </x:c>
      <x:c r="F13" s="95" t="str">
        <x:v>Authenticated Workspace Admin; AUD719 is the last visible Project row</x:v>
      </x:c>
      <x:c r="G13" s="95" t="str">
        <x:v>Open /projects, scroll to the final visible row AUD719 and open its row-action/Edit control.</x:v>
      </x:c>
      <x:c r="H13" s="95" t="str">
        <x:v>The row-action menu and Edit Project option remain fully visible, stay inside the viewport and can be selected.</x:v>
      </x:c>
      <x:c r="I13" s="95" t="str">
        <x:v>The bottom-row action/Edit surface is clipped by the lower table/viewport boundary.</x:v>
      </x:c>
      <x:c r="J13" s="90" t="str">
        <x:v>Fail</x:v>
      </x:c>
      <x:c r="K13" s="95" t="str">
        <x:v>evidence/P0-PRJ-02/GAP-P0-PRJ-007-bottom-row-edit-clipped.png</x:v>
      </x:c>
      <x:c r="L13" s="95" t="str"/>
      <x:c r="M13" s="95" t="str">
        <x:v>BA supplied screenshot evidence. Retest after FE applies collision-aware popup placement.</x:v>
      </x:c>
    </x:row>
    <x:row r="14">
      <x:c r="A14" s="90" t="str">
        <x:v>EXE-P0-PRJ-004</x:v>
      </x:c>
      <x:c r="B14" s="90" t="str">
        <x:v>P0-PRJ-03</x:v>
      </x:c>
      <x:c r="C14" s="96" t="n">
        <x:v>46222</x:v>
      </x:c>
      <x:c r="D14" s="90" t="str">
        <x:v>DevInt + Mockup</x:v>
      </x:c>
      <x:c r="E14" s="90" t="str">
        <x:v>hieuvbm@qnsc.vn</x:v>
      </x:c>
      <x:c r="F14" s="95" t="str">
        <x:v>Authenticated Workspace Admin; controlled Project AUD719 is Active and visible in the selector</x:v>
      </x:c>
      <x:c r="G14" s="95" t="str">
        <x:v>Archive AUD719 using the typed-key confirmation. Verify counts, Active/Archived filters, preserved row data, selector exclusion and archived update guard. Restore AUD719 and verify counts, Active filter and selector inclusion. Compare row actions and confirmation dialogs with mockup/SRS.</x:v>
      </x:c>
      <x:c r="H14" s="95" t="str">
        <x:v>Archive is a confirmed soft state; data remains visible/read-only, the Project leaves Active selectors, and Restore returns it to Active without data loss.</x:v>
      </x:c>
      <x:c r="I14" s="95" t="str">
        <x:v>Archive required AUD719 and passed: Total stayed 6, Active changed 6 to 5, Archived 0 to 1, row data remained visible, and selector projects changed 6 to 5. Archived Save was rejected as read-only. Restore returned counts to 6/0 and selector to 6. DevInt still exposed Edit while archived and Restore had no confirmation; mockup shows only Restore plus a confirmation dialog.</x:v>
      </x:c>
      <x:c r="J14" s="90" t="str">
        <x:v>Pass</x:v>
      </x:c>
      <x:c r="K14" s="95" t="str">
        <x:v>notes/P0-PRJ-03.md</x:v>
      </x:c>
      <x:c r="L14" s="95" t="str"/>
      <x:c r="M14" s="95" t="str">
        <x:v>BA passed the current Archive/Restore behavior on 2026-07-19. AUD719 was restored to Active after testing. Remaining NOT TESTED coverage: child Work Item/Iteration/Release mutation blocking, audit event visibility, and restricted-role Archive/Restore permissions.</x:v>
      </x:c>
    </x:row>
    <x:row r="15">
      <x:c r="A15" s="90" t="str">
        <x:v>EXE-P1-USER-001</x:v>
      </x:c>
      <x:c r="B15" s="90" t="str">
        <x:v>P1-USER-01</x:v>
      </x:c>
      <x:c r="C15" s="96" t="n">
        <x:v>46222</x:v>
      </x:c>
      <x:c r="D15" s="90" t="str">
        <x:v>DevInt + Mockup</x:v>
      </x:c>
      <x:c r="E15" s="90" t="str">
        <x:v>hieuvbm@qnsc.vn</x:v>
      </x:c>
      <x:c r="F15" s="95" t="str">
        <x:v>Authenticated Workspace Admin; Settings &gt; User Management contains 12 workspace members</x:v>
      </x:c>
      <x:c r="G15" s="95" t="str">
        <x:v>Open User Management in DevInt and mockup. Compare list fields, search/filter controls and role values. Open current-user detail. Click Invite without submitting data. Open both Admin User duplicate rows and compare account identity.</x:v>
      </x:c>
      <x:c r="H15" s="95" t="str">
        <x:v>List/search/detail follows the SRS and one role catalog; Invite opens its form without sending until submitted; each account appears once.</x:v>
      </x:c>
      <x:c r="I15" s="95" t="str">
        <x:v>Settings location, list loading and member detail opening work. DevInt has no User search/filters; columns differ from SRS; Invite member has no effect; edit and role models conflict across artifacts. Both Admin User rows resolve to admin@acme.dev.</x:v>
      </x:c>
      <x:c r="J15" s="90" t="str">
        <x:v>Partial</x:v>
      </x:c>
      <x:c r="K15" s="95" t="str">
        <x:v>notes/P1-USER-01.md</x:v>
      </x:c>
      <x:c r="L15" s="95" t="str"/>
      <x:c r="M15" s="95" t="str">
        <x:v>BA approved the fixes for list columns, search/filter and Edit User. Invite is NOT TESTED pending dev design; role catalog is NOT TESTED until Phase 4; duplicate admin@acme.dev requires dev investigation. No invitation, access removal or role mutation was performed.</x:v>
      </x:c>
    </x:row>
    <x:row r="16">
      <x:c r="A16" s="90" t="str">
        <x:v>EXE-P1-BL-001</x:v>
      </x:c>
      <x:c r="B16" s="90" t="str">
        <x:v>P1-BL-01</x:v>
      </x:c>
      <x:c r="C16" s="96" t="n">
        <x:v>46222</x:v>
      </x:c>
      <x:c r="D16" s="90" t="str">
        <x:v>DevInt + Mockup</x:v>
      </x:c>
      <x:c r="E16" s="90" t="str">
        <x:v>hieuvbm@qnsc.vn</x:v>
      </x:c>
      <x:c r="F16" s="95" t="str">
        <x:v>Authenticated Workspace Admin; NXP / All Teams; Backlog contains US and DE records</x:v>
      </x:c>
      <x:c r="G16" s="95" t="str">
        <x:v>Compare list/columns and filter/sort controls. Search US-7 and a no-match value. Test Type, Schedule State, Owner, Release and Iteration filters and reset. Change page size 25 to 10, navigate Page 2, repeat, then restore 25. Open US-7 Detail and return without editing.</x:v>
      </x:c>
      <x:c r="H16" s="95" t="str">
        <x:v>Backlog shows only scoped US/DE items; search, filters, pagination, sorting and Detail navigation follow mockup/SRS over one stable total.</x:v>
      </x:c>
      <x:c r="I16" s="95" t="str">
        <x:v>US/DE-only scope, search US-7, no-result state, Type/Schedule State/Owner/Release/Iteration filters, Type header sorting and /item/US-7 navigation passed. BA accepted the fixed DevInt filter model and deferred configurable filters. Priority and pagination fixes are approved. BA also confirmed separate Flow State six-box and Schedule State dropdown controls, the exact six-state catalog, synchronized values and Task-driven Completed/In-Progress automation.</x:v>
      </x:c>
      <x:c r="J16" s="90" t="str">
        <x:v>Partial</x:v>
      </x:c>
      <x:c r="K16" s="95" t="str">
        <x:v>notes/P1-BL-01.md</x:v>
      </x:c>
      <x:c r="L16" s="95" t="str"/>
      <x:c r="M16" s="95" t="str">
        <x:v>No Work Item field or rank was mutated. The initial filter-failure and missing-sort findings were invalidated by direct user-equivalent retest. All P1-BL-01 BA decisions were completed on 2026-07-19; remaining work is implementation, mockup/SRS reconciliation and retest.</x:v>
      </x:c>
    </x:row>
    <x:row r="17">
      <x:c r="A17" s="90" t="str">
        <x:v>EXE-P1-BL-002</x:v>
      </x:c>
      <x:c r="B17" s="90" t="str">
        <x:v>P1-BL-02</x:v>
      </x:c>
      <x:c r="C17" s="96" t="n">
        <x:v>46222</x:v>
      </x:c>
      <x:c r="D17" s="90" t="str">
        <x:v>DevInt + Mockup</x:v>
      </x:c>
      <x:c r="E17" s="90" t="str">
        <x:v>hieuvbm@qnsc.vn</x:v>
      </x:c>
      <x:c r="F17" s="95" t="str">
        <x:v>Authenticated Workspace Admin; NXP / All Teams; US-7 Plan Estimate 5; top rank order DE-1, DE-4, DE-5</x:v>
      </x:c>
      <x:c r="G17" s="95" t="str">
        <x:v>Compare inline fields and rank controls. Clear bulk selection. Change US-7 Plan Estimate 5 to 6, leave field and reload; restore to 5 and reload. Drag DE-4 above DE-1, reload; drag DE-1 back and reload. Compare editable title and rank interactions with mockup.</x:v>
      </x:c>
      <x:c r="H17" s="95" t="str">
        <x:v>Inline edits persist on the same item; rank persists in scope; all controlled changes can be restored; UI interaction follows the BA-approved model.</x:v>
      </x:c>
      <x:c r="I17" s="95" t="str">
        <x:v>Plan Estimate autosave passed and was restored to 5. Rank drag persisted and original DE-1, DE-4, DE-5 order was restored. Title editing is available, but after blur the row displays the old value until reload; reload proves the backend saved it. US-1 was restored to its original title. BA accepted drag-first rank; keyboard accessibility and Team-scoped rank remain unverified.</x:v>
      </x:c>
      <x:c r="J17" s="90" t="str">
        <x:v>Partial</x:v>
      </x:c>
      <x:c r="K17" s="95" t="str">
        <x:v>notes/P1-BL-02.md</x:v>
      </x:c>
      <x:c r="L17" s="95" t="str">
        <x:v>evidence/P1-BL-02/P1-BL-02-devint-inline-rank-restored.png</x:v>
      </x:c>
      <x:c r="M17" s="95" t="str">
        <x:v>No residual mutation: US-7 Plan Estimate is 5, US-1 Title is 'Upgrade NX workspace to v21', and initial rank order was verified after reload. All P1-BL-02 BA directions are confirmed; implementation and retest remain.</x:v>
      </x:c>
    </x:row>
    <x:row r="18">
      <x:c r="A18" s="90" t="str">
        <x:v>EXE-P1-CREATE-001</x:v>
      </x:c>
      <x:c r="B18" s="90" t="str">
        <x:v>P1-CREATE-01</x:v>
      </x:c>
      <x:c r="C18" s="96" t="n">
        <x:v>46222</x:v>
      </x:c>
      <x:c r="D18" s="90" t="str">
        <x:v>DevInt + Mockup</x:v>
      </x:c>
      <x:c r="E18" s="90" t="str">
        <x:v>hieuvbm@qnsc.vn</x:v>
      </x:c>
      <x:c r="F18" s="95" t="str">
        <x:v>Authenticated Workspace Admin; NXP / All Teams; Backlog route</x:v>
      </x:c>
      <x:c r="G18" s="95" t="str">
        <x:v>Open New Work Item in mockup and DevInt. Compare fields. Enter a cancel-only title and click Cancel, then search for it. Open Create again, enter a controlled Story title and Plan Estimate 2; submit with No team. Retry with Team Alpha.</x:v>
      </x:c>
      <x:c r="H18" s="95" t="str">
        <x:v>Cancel creates no record. Create Item creates exactly one Story/Defect with valid project/team context and defaults Schedule State and Flow State to Idea.</x:v>
      </x:c>
      <x:c r="I18" s="95" t="str">
        <x:v>Cancel passed and no record was created. DevInt modal lacks visible Project context, defaults Owner to Unassigned, and offers No team plus Team Alpha. Create failed with No team using a generic unexpected-error reference; retrying with Team Alpha failed with Team is not linked to this project. Submit buttons correctly enabled after Title was entered. Because create failed, default state and one-record creation were not testable.</x:v>
      </x:c>
      <x:c r="J18" s="90" t="str">
        <x:v>Partial</x:v>
      </x:c>
      <x:c r="K18" s="95" t="str">
        <x:v>notes/P1-CREATE-01.md</x:v>
      </x:c>
      <x:c r="L18" s="95" t="str">
        <x:v>evidence/P1-CREATE-01/P1-CREATE-01-devint-create-error.png</x:v>
      </x:c>
      <x:c r="M18" s="95" t="str">
        <x:v>BA confirmed required Project, required linked Team with no No team, and Owner defaulting to the authenticated user while allowing a manual Unassigned choice. Dev fix/retest is required before positive create/default-state checks. Clarify SRS WIC-FR-005/WIC-FR-006 during final document reconciliation.</x:v>
      </x:c>
    </x:row>
    <x:row r="19">
      <x:c r="A19" s="90" t="str">
        <x:v>EXE-P1-CREATE-002</x:v>
      </x:c>
      <x:c r="B19" s="90" t="str">
        <x:v>P1-CREATE-02</x:v>
      </x:c>
      <x:c r="C19" s="96" t="n">
        <x:v>46222</x:v>
      </x:c>
      <x:c r="D19" s="90" t="str">
        <x:v>DevInt + Mockup</x:v>
      </x:c>
      <x:c r="E19" s="90" t="str">
        <x:v>hieuvbm@qnsc.vn</x:v>
      </x:c>
      <x:c r="F19" s="95" t="str">
        <x:v>Authenticated Workspace Admin; NXP / All Teams; Backlog Quick Create</x:v>
      </x:c>
      <x:c r="G19" s="95" t="str">
        <x:v>In mockup, enter a controlled Story title and click Create with details; verify Detail ID/defaults, return to Backlog and verify one matching row. In DevInt, click Create with details on the controlled failed-create Story, then close and search the title to verify whether any record was created.</x:v>
      </x:c>
      <x:c r="H19" s="95" t="str">
        <x:v>Exactly one Work Item is created; the same ID opens in Detail and appears once in Backlog with Quick Create values plus Schedule State/Flow State Idea.</x:v>
      </x:c>
      <x:c r="I19" s="95" t="str">
        <x:v>Mockup passed with one US-4822 record and same-ID Detail; all checked fields/defaults matched. DevInt remained on the modal with Team is not linked to this project, did not navigate, and Backlog search found no record.</x:v>
      </x:c>
      <x:c r="J19" s="90" t="str">
        <x:v>Blocked</x:v>
      </x:c>
      <x:c r="K19" s="95" t="str">
        <x:v>notes/P1-CREATE-02.md</x:v>
      </x:c>
      <x:c r="L19" s="95" t="str"/>
      <x:c r="M19" s="95" t="str">
        <x:v>Dev fix is already approved under P1-CREATE-01. Retest P1-CREATE-02 after required Project/linked Team/current Owner create behavior is implemented.</x:v>
      </x:c>
    </x:row>
    <x:row r="20">
      <x:c r="A20" s="90" t="str">
        <x:v>EXE-P1-WID-001</x:v>
      </x:c>
      <x:c r="B20" s="90" t="str">
        <x:v>P1-WID-01</x:v>
      </x:c>
      <x:c r="C20" s="96" t="n">
        <x:v>46222</x:v>
      </x:c>
      <x:c r="D20" s="90" t="str">
        <x:v>DevInt + Mockup</x:v>
      </x:c>
      <x:c r="E20" s="90" t="str">
        <x:v>hieuvbm@qnsc.vn</x:v>
      </x:c>
      <x:c r="F20" s="95" t="str">
        <x:v>Authenticated Workspace Admin; mockup US-4822; DevInt US-7; NXP / All Teams</x:v>
      </x:c>
      <x:c r="G20" s="95" t="str">
        <x:v>Open Work Item Detail in mockup and DevInt; compare tabs, content, sidebar fields and option catalogs. Record original DevInt Schedule In Progress / Flow Accepted. Change Schedule to Completed and observe Flow; change Flow to Defined and observe Schedule; restore original values. Reload /item/US-7.</x:v>
      </x:c>
      <x:c r="H20" s="95" t="str">
        <x:v>Detail matches the approved mockup/reconciliation; state controls share the exact six-value catalog and mirror both ways; direct URL/reload preserves the same item.</x:v>
      </x:c>
      <x:c r="I20" s="95" t="str">
        <x:v>Direct /item/US-7 and reload passed. Detail structure, Project, Release/Milestone cardinality, state catalog/control and required Team have confirmed gaps. Both mirror directions failed. Owner Unassigned is approved, but the authenticated user remains the default for new Work Items. Controlled changes were restored.</x:v>
      </x:c>
      <x:c r="J20" s="90" t="str">
        <x:v>Partial</x:v>
      </x:c>
      <x:c r="K20" s="95" t="str">
        <x:v>notes/P1-WID-01.md</x:v>
      </x:c>
      <x:c r="L20" s="95" t="str"/>
      <x:c r="M20" s="95" t="str">
        <x:v>BA confirmed all fix directions on 2026-07-19. Retest after Dev and BA/mockup updates; no residual test mutation remains beyond the original DevInt Schedule/Flow mismatch.</x:v>
      </x:c>
    </x:row>
    <x:row r="21">
      <x:c r="A21" s="90" t="str">
        <x:v>EXE-P2-IS-001</x:v>
      </x:c>
      <x:c r="B21" s="90" t="str">
        <x:v>P2-IS-03</x:v>
      </x:c>
      <x:c r="C21" s="96" t="n">
        <x:v>46222</x:v>
      </x:c>
      <x:c r="D21" s="90" t="str">
        <x:v>DevInt + Mockup</x:v>
      </x:c>
      <x:c r="E21" s="90" t="str">
        <x:v>hieuvbm@qnsc.vn</x:v>
      </x:c>
      <x:c r="F21" s="95" t="str">
        <x:v>Authenticated Workspace Admin; NXP / All Teams; existing mockup US-4822 and DevInt US-1; DevInt Timeboxes contains Sprint 26.1 and Sprint 26.2</x:v>
      </x:c>
      <x:c r="G21" s="95" t="str">
        <x:v>Assign mockup US-4822 from Unscheduled to Sprint 24.5 on Backlog and verify the same ID in Sprint 24.5 Iteration Status. Assign DevInt US-1 from — to Sprint 26.2, observe immediate UI, reload Backlog, inspect Timeboxes status, open Iteration Status in the same context, select Sprint 26.2, and open US-1 Detail.</x:v>
      </x:c>
      <x:c r="H21" s="95" t="str">
        <x:v>The existing Work Item keeps one identity, the selected Iteration remains visible and persists across Backlog/Detail/Iteration Status, and assignment does not auto-Commit the Iteration.</x:v>
      </x:c>
      <x:c r="I21" s="95" t="str">
        <x:v>Mockup passed the full assignment chain and Sprint 24.5 remained Planning. DevInt persisted US-1 -&gt; Sprint 26.2; reload, Sprint 26.2 Iteration Status and /item/US-1 all showed the same assignment, and Timeboxes kept Sprint 26.2 Planning. The Backlog dropdown showed stale — until reload. The first direct Iteration Status visit also rendered a false no-Iterations empty state; after Timeboxes initialized data, the selector and assigned rows loaded correctly.</x:v>
      </x:c>
      <x:c r="J21" s="90" t="str">
        <x:v>Partial</x:v>
      </x:c>
      <x:c r="K21" s="95" t="str">
        <x:v>notes/P2-IS-03.md</x:v>
      </x:c>
      <x:c r="L21" s="95" t="str"/>
      <x:c r="M21" s="95" t="str">
        <x:v>BA confirmed the core flow and approved both UI fix directions on 2026-07-19. P1-TASK-01 resumed against the assigned DevInt US-1 / Sprint 26.2 and mockup US-4822 / Sprint 24.5.</x:v>
      </x:c>
    </x:row>
    <x:row r="22">
      <x:c r="A22" s="90" t="str">
        <x:v>EXE-P1-TASK-001</x:v>
      </x:c>
      <x:c r="B22" s="90" t="str">
        <x:v>P1-TASK-01</x:v>
      </x:c>
      <x:c r="C22" s="96" t="n">
        <x:v>46222</x:v>
      </x:c>
      <x:c r="D22" s="90" t="str">
        <x:v>DevInt + Mockup</x:v>
      </x:c>
      <x:c r="E22" s="90" t="str">
        <x:v>hieuvbm@qnsc.vn</x:v>
      </x:c>
      <x:c r="F22" s="95" t="str">
        <x:v>Authenticated Workspace Admin; DevInt US-1 / Sprint 26.2; mockup US-4822 / Sprint 24.5; existing child Tasks</x:v>
      </x:c>
      <x:c r="G22" s="95" t="str">
        <x:v>Open the Tasks tab on both parents; compare count, rows, totals and inline controls. Execute and restore mockup Name inline edit. Attempt DevInt Task create with Estimate 2 using Unassigned and Admin User. Open an existing Task ID on each surface.</x:v>
      </x:c>
      <x:c r="H22" s="95" t="str">
        <x:v>The Task badge matches rows; create produces one inherited child; Dashboard fields inline-save; totals reconcile; the same Task ID opens in Task Detail; State uses Defined/In-Progress/Completed.</x:v>
      </x:c>
      <x:c r="I22" s="95" t="str">
        <x:v>Raw DevInt column totals reconcile stored values (4h To Do, 3h Actuals, 10h Estimate), but the BA-confirmed formula Estimate = To Do + Actuals fails because expected Total Estimate is 7h. Seven Task Dashboard gaps and one dependent Task Time calculation gap are approved for correction.</x:v>
      </x:c>
      <x:c r="J22" s="90" t="str">
        <x:v>Fail</x:v>
      </x:c>
      <x:c r="K22" s="95" t="str">
        <x:v>notes/P1-TASK-01.md</x:v>
      </x:c>
      <x:c r="L22" s="95" t="str">
        <x:v>evidence/P1-TASK-01/devint-US-1-task-dashboard.png; evidence/P1-TASK-01/mockup-US-4822-task-dashboard.png</x:v>
      </x:c>
      <x:c r="M22" s="95" t="str">
        <x:v>BA confirmed all seven Task Dashboard fix directions and the Estimate formula on 2026-07-20. No Task was created by the failed DevInt attempts; mockup Name edit was restored. P1-TASK-02 and dynamic P1-TIME-01 testing remain blocked until a Task mutation surface exists.</x:v>
      </x:c>
    </x:row>
    <x:row r="23">
      <x:c r="A23" s="90" t="str">
        <x:v>EXE-P3-TS-001</x:v>
      </x:c>
      <x:c r="B23" s="90" t="str">
        <x:v>P3-TS-01</x:v>
      </x:c>
      <x:c r="C23" s="96" t="n">
        <x:v>46227</x:v>
      </x:c>
      <x:c r="D23" s="90" t="str">
        <x:v>DevInt + Mockup/SRS</x:v>
      </x:c>
      <x:c r="E23" s="90" t="str">
        <x:v>hieuvbm@qnsc.vn</x:v>
      </x:c>
      <x:c r="F23" s="95" t="str">
        <x:v>Authenticated session; controlled parent/Task data US-8/TA-6 and US-11/TA-8 available.</x:v>
      </x:c>
      <x:c r="G23" s="95" t="str">
        <x:v>Open Team Status for the selected Iteration; inspect grouping, breadcrumb, controls and time values. Complete/reopen child Tasks and observe the parent state.</x:v>
      </x:c>
      <x:c r="H23" s="95" t="str">
        <x:v>Tasks derive through parent US/DE; exact Task state catalog and zero defaults display; all Completed auto-completes parent; reopening also returns an Accepted parent to In-Progress.</x:v>
      </x:c>
      <x:c r="I23" s="95" t="str">
        <x:v>Auto-complete and normal reopen passed on US-8/TA-6. Reopening TA-8 while US-11 was Accepted left the parent Accepted. Extra local controls, wrong breadcrumb, icon state control, dash time defaults and non-canonical labels were observed.</x:v>
      </x:c>
      <x:c r="J23" s="90" t="str">
        <x:v>Partial</x:v>
      </x:c>
      <x:c r="K23" s="95" t="str">
        <x:v>notes/P3-TS-01.md</x:v>
      </x:c>
      <x:c r="L23" s="95"/>
      <x:c r="M23" s="95" t="str">
        <x:v>GAP-P3-TS-001..007 confirmed. BA approved that Accepted is not exempt from reopen roll-up.</x:v>
      </x:c>
    </x:row>
    <x:row r="24">
      <x:c r="A24" s="90" t="str">
        <x:v>EXE-P3-REL-001</x:v>
      </x:c>
      <x:c r="B24" s="90" t="str">
        <x:v>P3-REL-01</x:v>
      </x:c>
      <x:c r="C24" s="96" t="n">
        <x:v>46227</x:v>
      </x:c>
      <x:c r="D24" s="90" t="str">
        <x:v>DevInt + Mockup/SRS</x:v>
      </x:c>
      <x:c r="E24" s="90" t="str">
        <x:v>hieuvbm@qnsc.vn</x:v>
      </x:c>
      <x:c r="F24" s="95" t="str">
        <x:v>Authenticated session; Release create permission.</x:v>
      </x:c>
      <x:c r="G24" s="95" t="str">
        <x:v>Open Plan &gt; Timeboxes &gt; Releases; create RE-2; inspect list, create modal and Release Detail fields.</x:v>
      </x:c>
      <x:c r="H24" s="95" t="str">
        <x:v>Release can be independently created/edited with the approved state catalog; Release progress is not delivered in Phase 3.</x:v>
      </x:c>
      <x:c r="I24" s="95" t="str">
        <x:v>RE-2 create and detail fields worked. A Burndown widget appeared on Release Detail even though Release progress is Phase 5 scope.</x:v>
      </x:c>
      <x:c r="J24" s="90" t="str">
        <x:v>Partial</x:v>
      </x:c>
      <x:c r="K24" s="95" t="str">
        <x:v>notes/P3-REL-01.md</x:v>
      </x:c>
      <x:c r="L24" s="95"/>
      <x:c r="M24" s="95" t="str">
        <x:v>GAP-P3-REL-001 confirmed; remove/defer Release Burndown to Phase 5 Release Tracking.</x:v>
      </x:c>
    </x:row>
    <x:row r="25">
      <x:c r="A25" s="90" t="str">
        <x:v>EXE-P3-REL-002</x:v>
      </x:c>
      <x:c r="B25" s="90" t="str">
        <x:v>P3-REL-02</x:v>
      </x:c>
      <x:c r="C25" s="96" t="n">
        <x:v>46227</x:v>
      </x:c>
      <x:c r="D25" s="90" t="str">
        <x:v>DevInt + Mockup/SRS</x:v>
      </x:c>
      <x:c r="E25" s="90" t="str">
        <x:v>hieuvbm@qnsc.vn</x:v>
      </x:c>
      <x:c r="F25" s="95" t="str">
        <x:v>RE-2 exists; US-11 is available in Backlog.</x:v>
      </x:c>
      <x:c r="G25" s="95" t="str">
        <x:v>Assign US-11 to RE-2 from Backlog; verify Release column, Task Estimate roll-up and RE-2 Artifacts before and after hard reload.</x:v>
      </x:c>
      <x:c r="H25" s="95" t="str">
        <x:v>The same Work Item identity appears under Release Artifacts and can be reassigned; Release roll-ups refresh from assigned Work Items.</x:v>
      </x:c>
      <x:c r="I25" s="95" t="str">
        <x:v>Backlog assignment and 6h roll-up updated, but RE-2 Artifacts stayed empty after hard reload. Reassignment-refresh testing was blocked.</x:v>
      </x:c>
      <x:c r="J25" s="90" t="str">
        <x:v>Fail</x:v>
      </x:c>
      <x:c r="K25" s="95" t="str">
        <x:v>notes/P3-REL-02.md</x:v>
      </x:c>
      <x:c r="L25" s="95"/>
      <x:c r="M25" s="95" t="str">
        <x:v>P0 GAP-P3-REL-002 confirmed. US-11 was restored to unassigned/Accepted.</x:v>
      </x:c>
    </x:row>
    <x:row r="26">
      <x:c r="A26" s="90" t="str">
        <x:v>EXE-P3-MS-001</x:v>
      </x:c>
      <x:c r="B26" s="90" t="str">
        <x:v>P3-MS-01</x:v>
      </x:c>
      <x:c r="C26" s="96" t="n">
        <x:v>46227</x:v>
      </x:c>
      <x:c r="D26" s="90" t="str">
        <x:v>DevInt + Mockup/SRS</x:v>
      </x:c>
      <x:c r="E26" s="90" t="str">
        <x:v>hieuvbm@qnsc.vn</x:v>
      </x:c>
      <x:c r="F26" s="95" t="str">
        <x:v>Authenticated session; Milestone create permission.</x:v>
      </x:c>
      <x:c r="G26" s="95" t="str">
        <x:v>Open Timeboxes &gt; Milestones; create MS-2; inspect state catalog, detail fields and relationship controls; save a Project selection.</x:v>
      </x:c>
      <x:c r="H26" s="95" t="str">
        <x:v>Milestone is independently creatable; Projects/Teams/Releases use persistent multi-select relationships; Release relation is many-to-many.</x:v>
      </x:c>
      <x:c r="I26" s="95" t="str">
        <x:v>Create/detail and Project multi-select persistence passed. The Releases-link control was not independently reopened in this execution and needs a quick regression click-through.</x:v>
      </x:c>
      <x:c r="J26" s="90" t="str">
        <x:v>Partial</x:v>
      </x:c>
      <x:c r="K26" s="95" t="str">
        <x:v>notes/P3-MS-01.md</x:v>
      </x:c>
      <x:c r="L26" s="95"/>
      <x:c r="M26" s="95" t="str">
        <x:v>No business gap confirmed; explicit Releases multi-select coverage remains for regression evidence.</x:v>
      </x:c>
    </x:row>
    <x:row r="27">
      <x:c r="A27" s="90" t="str">
        <x:v>EXE-P3-MS-002</x:v>
      </x:c>
      <x:c r="B27" s="90" t="str">
        <x:v>P3-MS-02</x:v>
      </x:c>
      <x:c r="C27" s="96" t="n">
        <x:v>46227</x:v>
      </x:c>
      <x:c r="D27" s="90" t="str">
        <x:v>DevInt + Mockup/SRS</x:v>
      </x:c>
      <x:c r="E27" s="90" t="str">
        <x:v>hieuvbm@qnsc.vn</x:v>
      </x:c>
      <x:c r="F27" s="95" t="str">
        <x:v>MS-2 exists; RE-1 dates are 2026-07-01 to 2026-07-31.</x:v>
      </x:c>
      <x:c r="G27" s="95" t="str">
        <x:v>Link RE-1 to MS-2; save; inspect Target dates/read-only state. Remove the link and inspect manual editing.</x:v>
      </x:c>
      <x:c r="H27" s="95" t="str">
        <x:v>Target Start is the earliest linked Release start; Target End is the latest linked Release end; unlink restores manual editing.</x:v>
      </x:c>
      <x:c r="I27" s="95" t="str">
        <x:v>Dates derived to 2026-07-01 and 2026-07-31, became read-only with a derived label, and became editable after unlink. Recalculation occurred on Save.</x:v>
      </x:c>
      <x:c r="J27" s="90" t="str">
        <x:v>Pass</x:v>
      </x:c>
      <x:c r="K27" s="95" t="str">
        <x:v>notes/P3-MS-02.md</x:v>
      </x:c>
      <x:c r="L27" s="95"/>
      <x:c r="M27" s="95" t="str">
        <x:v>Match confirmed. Release link was removed after testing.</x:v>
      </x:c>
    </x:row>
    <x:row r="28">
      <x:c r="A28" s="90" t="str">
        <x:v>EXE-P3-MS-003</x:v>
      </x:c>
      <x:c r="B28" s="90" t="str">
        <x:v>P3-MS-03</x:v>
      </x:c>
      <x:c r="C28" s="96" t="n">
        <x:v>46227</x:v>
      </x:c>
      <x:c r="D28" s="90" t="str">
        <x:v>DevInt + Mockup/SRS</x:v>
      </x:c>
      <x:c r="E28" s="90" t="str">
        <x:v>hieuvbm@qnsc.vn</x:v>
      </x:c>
      <x:c r="F28" s="95" t="str">
        <x:v>MS-2 and US-8 exist.</x:v>
      </x:c>
      <x:c r="G28" s="95" t="str">
        <x:v>Open MS-2 Artifacts and US-8 Work Item Detail; locate controls to add the Work Item/Milestone relationship from both directions.</x:v>
      </x:c>
      <x:c r="H28" s="95" t="str">
        <x:v>Milestone Artifacts exposes Add Artifact; Work Item Detail exposes a Milestone multi-select and preserves existing selections.</x:v>
      </x:c>
      <x:c r="I28" s="95" t="str">
        <x:v>Milestone Artifacts had no Add Artifact control. Work Item Detail showed static No milestones with no interactive control. Assignment was unreachable from both directions.</x:v>
      </x:c>
      <x:c r="J28" s="90" t="str">
        <x:v>Fail</x:v>
      </x:c>
      <x:c r="K28" s="95" t="str">
        <x:v>notes/P3-MS-03.md</x:v>
      </x:c>
      <x:c r="L28" s="95"/>
      <x:c r="M28" s="95" t="str">
        <x:v>P0 GAP-P3-MS-001 and GAP-P3-MS-002 confirmed.</x:v>
      </x:c>
    </x:row>
    <x:row r="29">
      <x:c r="A29" s="90" t="str">
        <x:v>EXE-P3-QA-001</x:v>
      </x:c>
      <x:c r="B29" s="90" t="str">
        <x:v>P3-QA-01</x:v>
      </x:c>
      <x:c r="C29" s="96" t="n">
        <x:v>46227</x:v>
      </x:c>
      <x:c r="D29" s="90" t="str">
        <x:v>DevInt + Mockup/SRS</x:v>
      </x:c>
      <x:c r="E29" s="90" t="str">
        <x:v>hieuvbm@qnsc.vn</x:v>
      </x:c>
      <x:c r="F29" s="95" t="str">
        <x:v>Authenticated session; Quality contains DE-1/DE-2/DE-3.</x:v>
      </x:c>
      <x:c r="G29" s="95" t="str">
        <x:v>Inspect Quality columns, Defect State transitions, Flow State, Severity and Priority. Submit Create Defect twice with valid visible fields.</x:v>
      </x:c>
      <x:c r="H29" s="95" t="str">
        <x:v>List/detail fields and independent Defect State match the SRS; Create Defect persists one new Defect or returns actionable validation.</x:v>
      </x:c>
      <x:c r="I29" s="95" t="str">
        <x:v>List/detail controls and catalogs matched. Both create submissions closed without error, created no row and left Open Defects at 3.</x:v>
      </x:c>
      <x:c r="J29" s="90" t="str">
        <x:v>Partial</x:v>
      </x:c>
      <x:c r="K29" s="95" t="str">
        <x:v>notes/P3-QA-01.md</x:v>
      </x:c>
      <x:c r="L29" s="95"/>
      <x:c r="M29" s="95" t="str">
        <x:v>P0 GAP-P3-QA-001 confirmed. No Defect was retained.</x:v>
      </x:c>
    </x:row>
    <x:row r="30">
      <x:c r="A30" s="90" t="str">
        <x:v>EXE-P3-QA-002</x:v>
      </x:c>
      <x:c r="B30" s="90" t="str">
        <x:v>P3-QA-02</x:v>
      </x:c>
      <x:c r="C30" s="96" t="n">
        <x:v>46227</x:v>
      </x:c>
      <x:c r="D30" s="90" t="str">
        <x:v>DevInt + Mockup/SRS</x:v>
      </x:c>
      <x:c r="E30" s="90" t="str">
        <x:v>hieuvbm@qnsc.vn</x:v>
      </x:c>
      <x:c r="F30" s="95" t="str">
        <x:v>DE-2 exists with Schedule/Flow Defined and Defect State Submitted.</x:v>
      </x:c>
      <x:c r="G30" s="95" t="str">
        <x:v>Change Flow State on Quality and verify Detail Schedule State; change Schedule State on Detail and verify Quality Flow State; observe Defect State.</x:v>
      </x:c>
      <x:c r="H30" s="95" t="str">
        <x:v>Schedule and Flow mirror two ways using the six-state catalog; Defect State remains independent.</x:v>
      </x:c>
      <x:c r="I30" s="95" t="str">
        <x:v>Defined to In-Progress mirrored from Quality to Detail; In-Progress to Completed mirrored from Detail to Quality. Defect State remained Submitted.</x:v>
      </x:c>
      <x:c r="J30" s="90" t="str">
        <x:v>Pass</x:v>
      </x:c>
      <x:c r="K30" s="95" t="str">
        <x:v>notes/P3-QA-02.md</x:v>
      </x:c>
      <x:c r="L30" s="95"/>
      <x:c r="M30" s="95" t="str">
        <x:v>Match confirmed. DE-2 was restored to Schedule/Flow Defined and Defect State Submitted.</x:v>
      </x:c>
    </x:row>
    <x:row r="31">
      <x:c r="A31" s="90" t="str">
        <x:v>EXE-RETEST-20260724-P0</x:v>
      </x:c>
      <x:c r="B31" s="90" t="str">
        <x:v>P0-RETEST</x:v>
      </x:c>
      <x:c r="C31" s="96" t="n">
        <x:v>46227</x:v>
      </x:c>
      <x:c r="D31" s="90" t="str">
        <x:v>DevInt + Mockup</x:v>
      </x:c>
      <x:c r="E31" s="90" t="str">
        <x:v>hieuvbm@qnsc.vn</x:v>
      </x:c>
      <x:c r="F31" s="95" t="str">
        <x:v>Authenticated in-app browser; current deployment available</x:v>
      </x:c>
      <x:c r="G31" s="95" t="str">
        <x:v>Regression all Phase 0 gap checkpoints</x:v>
      </x:c>
      <x:c r="H31" s="95" t="str">
        <x:v>Current build matches confirmed Phase 0 rules or exposes precise remaining gaps</x:v>
      </x:c>
      <x:c r="I31" s="95" t="str">
        <x:v>8 passed, 1 partial, 4 still open, 6 not required. Remaining: login contract, Portfolio dropdown, Iteration Status label, Project name/key validation copy.</x:v>
      </x:c>
      <x:c r="J31" s="90" t="str">
        <x:v>Partial</x:v>
      </x:c>
      <x:c r="K31" s="95" t="str">
        <x:v>evidence/retest_2026-07-24/</x:v>
      </x:c>
      <x:c r="L31" s="95" t="str">
        <x:v>Phase 0 prior gap set</x:v>
      </x:c>
      <x:c r="M31" s="95" t="str">
        <x:v>Current fields overwritten with BA-authorized retest; historical executions retained.</x:v>
      </x:c>
    </x:row>
    <x:row r="32">
      <x:c r="A32" s="90" t="str">
        <x:v>EXE-RETEST-20260724-P1</x:v>
      </x:c>
      <x:c r="B32" s="90" t="str">
        <x:v>P1-RETEST</x:v>
      </x:c>
      <x:c r="C32" s="96" t="n">
        <x:v>46227</x:v>
      </x:c>
      <x:c r="D32" s="90" t="str">
        <x:v>DevInt + Mockup</x:v>
      </x:c>
      <x:c r="E32" s="90" t="str">
        <x:v>hieuvbm@qnsc.vn</x:v>
      </x:c>
      <x:c r="F32" s="95" t="str">
        <x:v>Phase 1 test data US-13, US-14 and TA-11 created with DEVINT-AUDIT prefix</x:v>
      </x:c>
      <x:c r="G32" s="95" t="str">
        <x:v>Regression all Phase 1 gap checkpoints</x:v>
      </x:c>
      <x:c r="H32" s="95" t="str">
        <x:v>Backlog, Work Item and Task lifecycle match confirmed business rules</x:v>
      </x:c>
      <x:c r="I32" s="95" t="str">
        <x:v>16 passed, 10 partial, 13 still open, 5 not required. Task roll-up works; state mirroring, Team/Owner defaults, history and inline fields remain gaps.</x:v>
      </x:c>
      <x:c r="J32" s="90" t="str">
        <x:v>Partial</x:v>
      </x:c>
      <x:c r="K32" s="95" t="str">
        <x:v>evidence/retest_2026-07-24/</x:v>
      </x:c>
      <x:c r="L32" s="95" t="str">
        <x:v>Phase 1 prior gap set</x:v>
      </x:c>
      <x:c r="M32" s="95" t="str">
        <x:v>US-13/TA-11 retained as controlled audit data; transient assignments restored.</x:v>
      </x:c>
    </x:row>
    <x:row r="33">
      <x:c r="A33" s="90" t="str">
        <x:v>EXE-RETEST-20260724-P2</x:v>
      </x:c>
      <x:c r="B33" s="90" t="str">
        <x:v>P2-RETEST</x:v>
      </x:c>
      <x:c r="C33" s="96" t="n">
        <x:v>46227</x:v>
      </x:c>
      <x:c r="D33" s="90" t="str">
        <x:v>DevInt + Mockup</x:v>
      </x:c>
      <x:c r="E33" s="90" t="str">
        <x:v>hieuvbm@qnsc.vn</x:v>
      </x:c>
      <x:c r="F33" s="95" t="str">
        <x:v>NXP / Team Alpha; Iterations available</x:v>
      </x:c>
      <x:c r="G33" s="95" t="str">
        <x:v>Regression all Phase 2 gap checkpoints</x:v>
      </x:c>
      <x:c r="H33" s="95" t="str">
        <x:v>Iteration assignment and Iteration Status UI match approved contract</x:v>
      </x:c>
      <x:c r="I33" s="95" t="str">
        <x:v>2 passed, 5 still open. Inline Iteration assignment now persists; list columns, Board toggle and bulk assign actions remain gaps.</x:v>
      </x:c>
      <x:c r="J33" s="90" t="str">
        <x:v>Fail</x:v>
      </x:c>
      <x:c r="K33" s="95" t="str">
        <x:v>evidence/retest_2026-07-24/</x:v>
      </x:c>
      <x:c r="L33" s="95" t="str">
        <x:v>Phase 2 prior gap set</x:v>
      </x:c>
      <x:c r="M33" s="95" t="str">
        <x:v>US-13 Iteration assignment was restored to none.</x:v>
      </x:c>
    </x:row>
    <x:row r="34">
      <x:c r="A34" s="90" t="str">
        <x:v>EXE-RETEST-20260724-P3</x:v>
      </x:c>
      <x:c r="B34" s="90" t="str">
        <x:v>P3-RETEST</x:v>
      </x:c>
      <x:c r="C34" s="96" t="n">
        <x:v>46227</x:v>
      </x:c>
      <x:c r="D34" s="90" t="str">
        <x:v>DevInt + Mockup</x:v>
      </x:c>
      <x:c r="E34" s="90" t="str">
        <x:v>hieuvbm@qnsc.vn</x:v>
      </x:c>
      <x:c r="F34" s="95" t="str">
        <x:v>Team Status, RE-2, MS-2 and Quality available</x:v>
      </x:c>
      <x:c r="G34" s="95" t="str">
        <x:v>Regression all Phase 3 gap checkpoints</x:v>
      </x:c>
      <x:c r="H34" s="95" t="str">
        <x:v>Team Status, Release, Milestone and Quality behavior match confirmed SRS</x:v>
      </x:c>
      <x:c r="I34" s="95" t="str">
        <x:v>1 passed, 11 still open. Work Item Milestone multi-select fixed; other Phase 3 gaps reproduced.</x:v>
      </x:c>
      <x:c r="J34" s="90" t="str">
        <x:v>Fail</x:v>
      </x:c>
      <x:c r="K34" s="95" t="str">
        <x:v>evidence/retest_2026-07-24/</x:v>
      </x:c>
      <x:c r="L34" s="95" t="str">
        <x:v>Phase 3 prior gap set</x:v>
      </x:c>
      <x:c r="M34" s="95" t="str">
        <x:v>Release/Milestone/Iteration temporary relationships restored; no Defect created.</x:v>
      </x:c>
    </x:row>
    <x:row r="35">
      <x:c r="A35" s="90" t="str">
        <x:v>EXE-RETEST-20260724-ALL</x:v>
      </x:c>
      <x:c r="B35" s="90" t="str">
        <x:v>P0-P3-RETEST</x:v>
      </x:c>
      <x:c r="C35" s="96" t="n">
        <x:v>46227</x:v>
      </x:c>
      <x:c r="D35" s="90" t="str">
        <x:v>DevInt + Mockup</x:v>
      </x:c>
      <x:c r="E35" s="90" t="str">
        <x:v>hieuvbm@qnsc.vn</x:v>
      </x:c>
      <x:c r="F35" s="95" t="str">
        <x:v>82 current-scope gaps inventoried</x:v>
      </x:c>
      <x:c r="G35" s="95" t="str">
        <x:v>Complete Phase 0–3 current-build regression and reconcile tracker</x:v>
      </x:c>
      <x:c r="H35" s="95" t="str">
        <x:v>Every current-scope gap has one current status and evidence reference</x:v>
      </x:c>
      <x:c r="I35" s="95" t="str">
        <x:v>82/82 covered: 27 passed, 11 partial, 33 still open, 11 not required.</x:v>
      </x:c>
      <x:c r="J35" s="90" t="str">
        <x:v>Partial</x:v>
      </x:c>
      <x:c r="K35" s="95" t="str">
        <x:v>evidence/retest_2026-07-24/</x:v>
      </x:c>
      <x:c r="L35" s="95" t="str">
        <x:v>All Phase 0–3 gaps</x:v>
      </x:c>
      <x:c r="M35" s="95" t="str">
        <x:v>Next gate: BA confirms current results; then align SRS/mockup and prepare dev handoff.</x:v>
      </x:c>
    </x:row>
    <x:row r="36">
      <x:c r="A36" s="90"/>
      <x:c r="B36" s="90"/>
      <x:c r="C36" s="96"/>
      <x:c r="D36" s="90"/>
      <x:c r="E36" s="90"/>
      <x:c r="F36" s="95"/>
      <x:c r="G36" s="95"/>
      <x:c r="H36" s="95"/>
      <x:c r="I36" s="95"/>
      <x:c r="J36" s="90"/>
      <x:c r="K36" s="95"/>
      <x:c r="L36" s="95"/>
      <x:c r="M36" s="95"/>
    </x:row>
    <x:row r="37">
      <x:c r="A37" s="90"/>
      <x:c r="B37" s="90"/>
      <x:c r="C37" s="96"/>
      <x:c r="D37" s="90"/>
      <x:c r="E37" s="90"/>
      <x:c r="F37" s="95"/>
      <x:c r="G37" s="95"/>
      <x:c r="H37" s="95"/>
      <x:c r="I37" s="95"/>
      <x:c r="J37" s="90"/>
      <x:c r="K37" s="95"/>
      <x:c r="L37" s="95"/>
      <x:c r="M37" s="95"/>
    </x:row>
    <x:row r="38">
      <x:c r="A38" s="90"/>
      <x:c r="B38" s="90"/>
      <x:c r="C38" s="96"/>
      <x:c r="D38" s="90"/>
      <x:c r="E38" s="90"/>
      <x:c r="F38" s="95"/>
      <x:c r="G38" s="95"/>
      <x:c r="H38" s="95"/>
      <x:c r="I38" s="95"/>
      <x:c r="J38" s="90"/>
      <x:c r="K38" s="95"/>
      <x:c r="L38" s="95"/>
      <x:c r="M38" s="95"/>
    </x:row>
    <x:row r="39">
      <x:c r="A39" s="90"/>
      <x:c r="B39" s="90"/>
      <x:c r="C39" s="96"/>
      <x:c r="D39" s="90"/>
      <x:c r="E39" s="90"/>
      <x:c r="F39" s="95"/>
      <x:c r="G39" s="95"/>
      <x:c r="H39" s="95"/>
      <x:c r="I39" s="95"/>
      <x:c r="J39" s="90"/>
      <x:c r="K39" s="95"/>
      <x:c r="L39" s="95"/>
      <x:c r="M39" s="95"/>
    </x:row>
    <x:row r="40">
      <x:c r="A40" s="90"/>
      <x:c r="B40" s="90"/>
      <x:c r="C40" s="96"/>
      <x:c r="D40" s="90"/>
      <x:c r="E40" s="90"/>
      <x:c r="F40" s="95"/>
      <x:c r="G40" s="95"/>
      <x:c r="H40" s="95"/>
      <x:c r="I40" s="95"/>
      <x:c r="J40" s="90"/>
      <x:c r="K40" s="95"/>
      <x:c r="L40" s="95"/>
      <x:c r="M40" s="95"/>
    </x:row>
    <x:row r="41">
      <x:c r="A41" s="90"/>
      <x:c r="B41" s="90"/>
      <x:c r="C41" s="96"/>
      <x:c r="D41" s="90"/>
      <x:c r="E41" s="90"/>
      <x:c r="F41" s="95"/>
      <x:c r="G41" s="95"/>
      <x:c r="H41" s="95"/>
      <x:c r="I41" s="95"/>
      <x:c r="J41" s="90"/>
      <x:c r="K41" s="95"/>
      <x:c r="L41" s="95"/>
      <x:c r="M41" s="95"/>
    </x:row>
    <x:row r="42">
      <x:c r="A42" s="90"/>
      <x:c r="B42" s="90"/>
      <x:c r="C42" s="96"/>
      <x:c r="D42" s="90"/>
      <x:c r="E42" s="90"/>
      <x:c r="F42" s="95"/>
      <x:c r="G42" s="95"/>
      <x:c r="H42" s="95"/>
      <x:c r="I42" s="95"/>
      <x:c r="J42" s="90"/>
      <x:c r="K42" s="95"/>
      <x:c r="L42" s="95"/>
      <x:c r="M42" s="95"/>
    </x:row>
    <x:row r="43">
      <x:c r="A43" s="90"/>
      <x:c r="B43" s="90"/>
      <x:c r="C43" s="96"/>
      <x:c r="D43" s="90"/>
      <x:c r="E43" s="90"/>
      <x:c r="F43" s="95"/>
      <x:c r="G43" s="95"/>
      <x:c r="H43" s="95"/>
      <x:c r="I43" s="95"/>
      <x:c r="J43" s="90"/>
      <x:c r="K43" s="95"/>
      <x:c r="L43" s="95"/>
      <x:c r="M43" s="95"/>
    </x:row>
    <x:row r="44">
      <x:c r="A44" s="90"/>
      <x:c r="B44" s="90"/>
      <x:c r="C44" s="96"/>
      <x:c r="D44" s="90"/>
      <x:c r="E44" s="90"/>
      <x:c r="F44" s="95"/>
      <x:c r="G44" s="95"/>
      <x:c r="H44" s="95"/>
      <x:c r="I44" s="95"/>
      <x:c r="J44" s="90"/>
      <x:c r="K44" s="95"/>
      <x:c r="L44" s="95"/>
      <x:c r="M44" s="95"/>
    </x:row>
    <x:row r="45">
      <x:c r="A45" s="90"/>
      <x:c r="B45" s="90"/>
      <x:c r="C45" s="96"/>
      <x:c r="D45" s="90"/>
      <x:c r="E45" s="90"/>
      <x:c r="F45" s="95"/>
      <x:c r="G45" s="95"/>
      <x:c r="H45" s="95"/>
      <x:c r="I45" s="95"/>
      <x:c r="J45" s="90"/>
      <x:c r="K45" s="95"/>
      <x:c r="L45" s="95"/>
      <x:c r="M45" s="95"/>
    </x:row>
    <x:row r="46">
      <x:c r="A46" s="90"/>
      <x:c r="B46" s="90"/>
      <x:c r="C46" s="96"/>
      <x:c r="D46" s="90"/>
      <x:c r="E46" s="90"/>
      <x:c r="F46" s="95"/>
      <x:c r="G46" s="95"/>
      <x:c r="H46" s="95"/>
      <x:c r="I46" s="95"/>
      <x:c r="J46" s="90"/>
      <x:c r="K46" s="95"/>
      <x:c r="L46" s="95"/>
      <x:c r="M46" s="95"/>
    </x:row>
    <x:row r="47">
      <x:c r="A47" s="90"/>
      <x:c r="B47" s="90"/>
      <x:c r="C47" s="96"/>
      <x:c r="D47" s="90"/>
      <x:c r="E47" s="90"/>
      <x:c r="F47" s="95"/>
      <x:c r="G47" s="95"/>
      <x:c r="H47" s="95"/>
      <x:c r="I47" s="95"/>
      <x:c r="J47" s="90"/>
      <x:c r="K47" s="95"/>
      <x:c r="L47" s="95"/>
      <x:c r="M47" s="95"/>
    </x:row>
    <x:row r="48">
      <x:c r="A48" s="90"/>
      <x:c r="B48" s="90"/>
      <x:c r="C48" s="96"/>
      <x:c r="D48" s="90"/>
      <x:c r="E48" s="90"/>
      <x:c r="F48" s="95"/>
      <x:c r="G48" s="95"/>
      <x:c r="H48" s="95"/>
      <x:c r="I48" s="95"/>
      <x:c r="J48" s="90"/>
      <x:c r="K48" s="95"/>
      <x:c r="L48" s="95"/>
      <x:c r="M48" s="95"/>
    </x:row>
    <x:row r="49">
      <x:c r="A49" s="90"/>
      <x:c r="B49" s="90"/>
      <x:c r="C49" s="96"/>
      <x:c r="D49" s="90"/>
      <x:c r="E49" s="90"/>
      <x:c r="F49" s="95"/>
      <x:c r="G49" s="95"/>
      <x:c r="H49" s="95"/>
      <x:c r="I49" s="95"/>
      <x:c r="J49" s="90"/>
      <x:c r="K49" s="95"/>
      <x:c r="L49" s="95"/>
      <x:c r="M49" s="95"/>
    </x:row>
    <x:row r="50">
      <x:c r="A50" s="90"/>
      <x:c r="B50" s="90"/>
      <x:c r="C50" s="96"/>
      <x:c r="D50" s="90"/>
      <x:c r="E50" s="90"/>
      <x:c r="F50" s="95"/>
      <x:c r="G50" s="95"/>
      <x:c r="H50" s="95"/>
      <x:c r="I50" s="95"/>
      <x:c r="J50" s="90"/>
      <x:c r="K50" s="95"/>
      <x:c r="L50" s="95"/>
      <x:c r="M50" s="95"/>
    </x:row>
    <x:row r="51">
      <x:c r="A51" s="90"/>
      <x:c r="B51" s="90"/>
      <x:c r="C51" s="96"/>
      <x:c r="D51" s="90"/>
      <x:c r="E51" s="90"/>
      <x:c r="F51" s="95"/>
      <x:c r="G51" s="95"/>
      <x:c r="H51" s="95"/>
      <x:c r="I51" s="95"/>
      <x:c r="J51" s="90"/>
      <x:c r="K51" s="95"/>
      <x:c r="L51" s="95"/>
      <x:c r="M51" s="95"/>
    </x:row>
    <x:row r="52">
      <x:c r="A52" s="90"/>
      <x:c r="B52" s="90"/>
      <x:c r="C52" s="96"/>
      <x:c r="D52" s="90"/>
      <x:c r="E52" s="90"/>
      <x:c r="F52" s="95"/>
      <x:c r="G52" s="95"/>
      <x:c r="H52" s="95"/>
      <x:c r="I52" s="95"/>
      <x:c r="J52" s="90"/>
      <x:c r="K52" s="95"/>
      <x:c r="L52" s="95"/>
      <x:c r="M52" s="95"/>
    </x:row>
    <x:row r="53">
      <x:c r="A53" s="90"/>
      <x:c r="B53" s="90"/>
      <x:c r="C53" s="96"/>
      <x:c r="D53" s="90"/>
      <x:c r="E53" s="90"/>
      <x:c r="F53" s="95"/>
      <x:c r="G53" s="95"/>
      <x:c r="H53" s="95"/>
      <x:c r="I53" s="95"/>
      <x:c r="J53" s="90"/>
      <x:c r="K53" s="95"/>
      <x:c r="L53" s="95"/>
      <x:c r="M53" s="95"/>
    </x:row>
    <x:row r="54">
      <x:c r="A54" s="90"/>
      <x:c r="B54" s="90"/>
      <x:c r="C54" s="96"/>
      <x:c r="D54" s="90"/>
      <x:c r="E54" s="90"/>
      <x:c r="F54" s="95"/>
      <x:c r="G54" s="95"/>
      <x:c r="H54" s="95"/>
      <x:c r="I54" s="95"/>
      <x:c r="J54" s="90"/>
      <x:c r="K54" s="95"/>
      <x:c r="L54" s="95"/>
      <x:c r="M54" s="95"/>
    </x:row>
    <x:row r="55">
      <x:c r="A55" s="90"/>
      <x:c r="B55" s="90"/>
      <x:c r="C55" s="96"/>
      <x:c r="D55" s="90"/>
      <x:c r="E55" s="90"/>
      <x:c r="F55" s="95"/>
      <x:c r="G55" s="95"/>
      <x:c r="H55" s="95"/>
      <x:c r="I55" s="95"/>
      <x:c r="J55" s="90"/>
      <x:c r="K55" s="95"/>
      <x:c r="L55" s="95"/>
      <x:c r="M55" s="95"/>
    </x:row>
    <x:row r="56">
      <x:c r="A56" s="90"/>
      <x:c r="B56" s="90"/>
      <x:c r="C56" s="96"/>
      <x:c r="D56" s="90"/>
      <x:c r="E56" s="90"/>
      <x:c r="F56" s="95"/>
      <x:c r="G56" s="95"/>
      <x:c r="H56" s="95"/>
      <x:c r="I56" s="95"/>
      <x:c r="J56" s="90"/>
      <x:c r="K56" s="95"/>
      <x:c r="L56" s="95"/>
      <x:c r="M56" s="95"/>
    </x:row>
    <x:row r="57">
      <x:c r="A57" s="90"/>
      <x:c r="B57" s="90"/>
      <x:c r="C57" s="96"/>
      <x:c r="D57" s="90"/>
      <x:c r="E57" s="90"/>
      <x:c r="F57" s="95"/>
      <x:c r="G57" s="95"/>
      <x:c r="H57" s="95"/>
      <x:c r="I57" s="95"/>
      <x:c r="J57" s="90"/>
      <x:c r="K57" s="95"/>
      <x:c r="L57" s="95"/>
      <x:c r="M57" s="95"/>
    </x:row>
    <x:row r="58">
      <x:c r="A58" s="90"/>
      <x:c r="B58" s="90"/>
      <x:c r="C58" s="96"/>
      <x:c r="D58" s="90"/>
      <x:c r="E58" s="90"/>
      <x:c r="F58" s="95"/>
      <x:c r="G58" s="95"/>
      <x:c r="H58" s="95"/>
      <x:c r="I58" s="95"/>
      <x:c r="J58" s="90"/>
      <x:c r="K58" s="95"/>
      <x:c r="L58" s="95"/>
      <x:c r="M58" s="95"/>
    </x:row>
    <x:row r="59">
      <x:c r="A59" s="90"/>
      <x:c r="B59" s="90"/>
      <x:c r="C59" s="96"/>
      <x:c r="D59" s="90"/>
      <x:c r="E59" s="90"/>
      <x:c r="F59" s="95"/>
      <x:c r="G59" s="95"/>
      <x:c r="H59" s="95"/>
      <x:c r="I59" s="95"/>
      <x:c r="J59" s="90"/>
      <x:c r="K59" s="95"/>
      <x:c r="L59" s="95"/>
      <x:c r="M59" s="95"/>
    </x:row>
    <x:row r="60">
      <x:c r="A60" s="90"/>
      <x:c r="B60" s="90"/>
      <x:c r="C60" s="96"/>
      <x:c r="D60" s="90"/>
      <x:c r="E60" s="90"/>
      <x:c r="F60" s="95"/>
      <x:c r="G60" s="95"/>
      <x:c r="H60" s="95"/>
      <x:c r="I60" s="95"/>
      <x:c r="J60" s="90"/>
      <x:c r="K60" s="95"/>
      <x:c r="L60" s="95"/>
      <x:c r="M60" s="95"/>
    </x:row>
    <x:row r="61">
      <x:c r="A61" s="90"/>
      <x:c r="B61" s="90"/>
      <x:c r="C61" s="96"/>
      <x:c r="D61" s="90"/>
      <x:c r="E61" s="90"/>
      <x:c r="F61" s="95"/>
      <x:c r="G61" s="95"/>
      <x:c r="H61" s="95"/>
      <x:c r="I61" s="95"/>
      <x:c r="J61" s="90"/>
      <x:c r="K61" s="95"/>
      <x:c r="L61" s="95"/>
      <x:c r="M61" s="95"/>
    </x:row>
    <x:row r="62">
      <x:c r="A62" s="90"/>
      <x:c r="B62" s="90"/>
      <x:c r="C62" s="96"/>
      <x:c r="D62" s="90"/>
      <x:c r="E62" s="90"/>
      <x:c r="F62" s="95"/>
      <x:c r="G62" s="95"/>
      <x:c r="H62" s="95"/>
      <x:c r="I62" s="95"/>
      <x:c r="J62" s="90"/>
      <x:c r="K62" s="95"/>
      <x:c r="L62" s="95"/>
      <x:c r="M62" s="95"/>
    </x:row>
    <x:row r="63">
      <x:c r="A63" s="90"/>
      <x:c r="B63" s="90"/>
      <x:c r="C63" s="96"/>
      <x:c r="D63" s="90"/>
      <x:c r="E63" s="90"/>
      <x:c r="F63" s="95"/>
      <x:c r="G63" s="95"/>
      <x:c r="H63" s="95"/>
      <x:c r="I63" s="95"/>
      <x:c r="J63" s="90"/>
      <x:c r="K63" s="95"/>
      <x:c r="L63" s="95"/>
      <x:c r="M63" s="95"/>
    </x:row>
    <x:row r="64">
      <x:c r="A64" s="90"/>
      <x:c r="B64" s="90"/>
      <x:c r="C64" s="96"/>
      <x:c r="D64" s="90"/>
      <x:c r="E64" s="90"/>
      <x:c r="F64" s="95"/>
      <x:c r="G64" s="95"/>
      <x:c r="H64" s="95"/>
      <x:c r="I64" s="95"/>
      <x:c r="J64" s="90"/>
      <x:c r="K64" s="95"/>
      <x:c r="L64" s="95"/>
      <x:c r="M64" s="95"/>
    </x:row>
    <x:row r="65">
      <x:c r="A65" s="90"/>
      <x:c r="B65" s="90"/>
      <x:c r="C65" s="96"/>
      <x:c r="D65" s="90"/>
      <x:c r="E65" s="90"/>
      <x:c r="F65" s="95"/>
      <x:c r="G65" s="95"/>
      <x:c r="H65" s="95"/>
      <x:c r="I65" s="95"/>
      <x:c r="J65" s="90"/>
      <x:c r="K65" s="95"/>
      <x:c r="L65" s="95"/>
      <x:c r="M65" s="95"/>
    </x:row>
    <x:row r="66">
      <x:c r="A66" s="90"/>
      <x:c r="B66" s="90"/>
      <x:c r="C66" s="96"/>
      <x:c r="D66" s="90"/>
      <x:c r="E66" s="90"/>
      <x:c r="F66" s="95"/>
      <x:c r="G66" s="95"/>
      <x:c r="H66" s="95"/>
      <x:c r="I66" s="95"/>
      <x:c r="J66" s="90"/>
      <x:c r="K66" s="95"/>
      <x:c r="L66" s="95"/>
      <x:c r="M66" s="95"/>
    </x:row>
    <x:row r="67">
      <x:c r="A67" s="90"/>
      <x:c r="B67" s="90"/>
      <x:c r="C67" s="96"/>
      <x:c r="D67" s="90"/>
      <x:c r="E67" s="90"/>
      <x:c r="F67" s="95"/>
      <x:c r="G67" s="95"/>
      <x:c r="H67" s="95"/>
      <x:c r="I67" s="95"/>
      <x:c r="J67" s="90"/>
      <x:c r="K67" s="95"/>
      <x:c r="L67" s="95"/>
      <x:c r="M67" s="95"/>
    </x:row>
    <x:row r="68">
      <x:c r="A68" s="90"/>
      <x:c r="B68" s="90"/>
      <x:c r="C68" s="96"/>
      <x:c r="D68" s="90"/>
      <x:c r="E68" s="90"/>
      <x:c r="F68" s="95"/>
      <x:c r="G68" s="95"/>
      <x:c r="H68" s="95"/>
      <x:c r="I68" s="95"/>
      <x:c r="J68" s="90"/>
      <x:c r="K68" s="95"/>
      <x:c r="L68" s="95"/>
      <x:c r="M68" s="95"/>
    </x:row>
    <x:row r="69">
      <x:c r="A69" s="90"/>
      <x:c r="B69" s="90"/>
      <x:c r="C69" s="96"/>
      <x:c r="D69" s="90"/>
      <x:c r="E69" s="90"/>
      <x:c r="F69" s="95"/>
      <x:c r="G69" s="95"/>
      <x:c r="H69" s="95"/>
      <x:c r="I69" s="95"/>
      <x:c r="J69" s="90"/>
      <x:c r="K69" s="95"/>
      <x:c r="L69" s="95"/>
      <x:c r="M69" s="95"/>
    </x:row>
    <x:row r="70">
      <x:c r="A70" s="90"/>
      <x:c r="B70" s="90"/>
      <x:c r="C70" s="96"/>
      <x:c r="D70" s="90"/>
      <x:c r="E70" s="90"/>
      <x:c r="F70" s="95"/>
      <x:c r="G70" s="95"/>
      <x:c r="H70" s="95"/>
      <x:c r="I70" s="95"/>
      <x:c r="J70" s="90"/>
      <x:c r="K70" s="95"/>
      <x:c r="L70" s="95"/>
      <x:c r="M70" s="95"/>
    </x:row>
    <x:row r="71">
      <x:c r="A71" s="90"/>
      <x:c r="B71" s="90"/>
      <x:c r="C71" s="96"/>
      <x:c r="D71" s="90"/>
      <x:c r="E71" s="90"/>
      <x:c r="F71" s="95"/>
      <x:c r="G71" s="95"/>
      <x:c r="H71" s="95"/>
      <x:c r="I71" s="95"/>
      <x:c r="J71" s="90"/>
      <x:c r="K71" s="95"/>
      <x:c r="L71" s="95"/>
      <x:c r="M71" s="95"/>
    </x:row>
    <x:row r="72">
      <x:c r="A72" s="90"/>
      <x:c r="B72" s="90"/>
      <x:c r="C72" s="96"/>
      <x:c r="D72" s="90"/>
      <x:c r="E72" s="90"/>
      <x:c r="F72" s="95"/>
      <x:c r="G72" s="95"/>
      <x:c r="H72" s="95"/>
      <x:c r="I72" s="95"/>
      <x:c r="J72" s="90"/>
      <x:c r="K72" s="95"/>
      <x:c r="L72" s="95"/>
      <x:c r="M72" s="95"/>
    </x:row>
    <x:row r="73">
      <x:c r="A73" s="90"/>
      <x:c r="B73" s="90"/>
      <x:c r="C73" s="96"/>
      <x:c r="D73" s="90"/>
      <x:c r="E73" s="90"/>
      <x:c r="F73" s="95"/>
      <x:c r="G73" s="95"/>
      <x:c r="H73" s="95"/>
      <x:c r="I73" s="95"/>
      <x:c r="J73" s="90"/>
      <x:c r="K73" s="95"/>
      <x:c r="L73" s="95"/>
      <x:c r="M73" s="95"/>
    </x:row>
    <x:row r="74">
      <x:c r="A74" s="90"/>
      <x:c r="B74" s="90"/>
      <x:c r="C74" s="96"/>
      <x:c r="D74" s="90"/>
      <x:c r="E74" s="90"/>
      <x:c r="F74" s="95"/>
      <x:c r="G74" s="95"/>
      <x:c r="H74" s="95"/>
      <x:c r="I74" s="95"/>
      <x:c r="J74" s="90"/>
      <x:c r="K74" s="95"/>
      <x:c r="L74" s="95"/>
      <x:c r="M74" s="95"/>
    </x:row>
    <x:row r="75">
      <x:c r="A75" s="90"/>
      <x:c r="B75" s="90"/>
      <x:c r="C75" s="96"/>
      <x:c r="D75" s="90"/>
      <x:c r="E75" s="90"/>
      <x:c r="F75" s="95"/>
      <x:c r="G75" s="95"/>
      <x:c r="H75" s="95"/>
      <x:c r="I75" s="95"/>
      <x:c r="J75" s="90"/>
      <x:c r="K75" s="95"/>
      <x:c r="L75" s="95"/>
      <x:c r="M75" s="95"/>
    </x:row>
    <x:row r="76">
      <x:c r="A76" s="90"/>
      <x:c r="B76" s="90"/>
      <x:c r="C76" s="96"/>
      <x:c r="D76" s="90"/>
      <x:c r="E76" s="90"/>
      <x:c r="F76" s="95"/>
      <x:c r="G76" s="95"/>
      <x:c r="H76" s="95"/>
      <x:c r="I76" s="95"/>
      <x:c r="J76" s="90"/>
      <x:c r="K76" s="95"/>
      <x:c r="L76" s="95"/>
      <x:c r="M76" s="95"/>
    </x:row>
    <x:row r="77">
      <x:c r="A77" s="90"/>
      <x:c r="B77" s="90"/>
      <x:c r="C77" s="96"/>
      <x:c r="D77" s="90"/>
      <x:c r="E77" s="90"/>
      <x:c r="F77" s="95"/>
      <x:c r="G77" s="95"/>
      <x:c r="H77" s="95"/>
      <x:c r="I77" s="95"/>
      <x:c r="J77" s="90"/>
      <x:c r="K77" s="95"/>
      <x:c r="L77" s="95"/>
      <x:c r="M77" s="95"/>
    </x:row>
    <x:row r="78">
      <x:c r="A78" s="90"/>
      <x:c r="B78" s="90"/>
      <x:c r="C78" s="96"/>
      <x:c r="D78" s="90"/>
      <x:c r="E78" s="90"/>
      <x:c r="F78" s="95"/>
      <x:c r="G78" s="95"/>
      <x:c r="H78" s="95"/>
      <x:c r="I78" s="95"/>
      <x:c r="J78" s="90"/>
      <x:c r="K78" s="95"/>
      <x:c r="L78" s="95"/>
      <x:c r="M78" s="95"/>
    </x:row>
    <x:row r="79">
      <x:c r="A79" s="90"/>
      <x:c r="B79" s="90"/>
      <x:c r="C79" s="96"/>
      <x:c r="D79" s="90"/>
      <x:c r="E79" s="90"/>
      <x:c r="F79" s="95"/>
      <x:c r="G79" s="95"/>
      <x:c r="H79" s="95"/>
      <x:c r="I79" s="95"/>
      <x:c r="J79" s="90"/>
      <x:c r="K79" s="95"/>
      <x:c r="L79" s="95"/>
      <x:c r="M79" s="95"/>
    </x:row>
    <x:row r="80">
      <x:c r="A80" s="90"/>
      <x:c r="B80" s="90"/>
      <x:c r="C80" s="96"/>
      <x:c r="D80" s="90"/>
      <x:c r="E80" s="90"/>
      <x:c r="F80" s="95"/>
      <x:c r="G80" s="95"/>
      <x:c r="H80" s="95"/>
      <x:c r="I80" s="95"/>
      <x:c r="J80" s="90"/>
      <x:c r="K80" s="95"/>
      <x:c r="L80" s="95"/>
      <x:c r="M80" s="95"/>
    </x:row>
    <x:row r="81">
      <x:c r="A81" s="90"/>
      <x:c r="B81" s="90"/>
      <x:c r="C81" s="96"/>
      <x:c r="D81" s="90"/>
      <x:c r="E81" s="90"/>
      <x:c r="F81" s="95"/>
      <x:c r="G81" s="95"/>
      <x:c r="H81" s="95"/>
      <x:c r="I81" s="95"/>
      <x:c r="J81" s="90"/>
      <x:c r="K81" s="95"/>
      <x:c r="L81" s="95"/>
      <x:c r="M81" s="95"/>
    </x:row>
    <x:row r="82">
      <x:c r="A82" s="90"/>
      <x:c r="B82" s="90"/>
      <x:c r="C82" s="96"/>
      <x:c r="D82" s="90"/>
      <x:c r="E82" s="90"/>
      <x:c r="F82" s="95"/>
      <x:c r="G82" s="95"/>
      <x:c r="H82" s="95"/>
      <x:c r="I82" s="95"/>
      <x:c r="J82" s="90"/>
      <x:c r="K82" s="95"/>
      <x:c r="L82" s="95"/>
      <x:c r="M82" s="95"/>
    </x:row>
    <x:row r="83">
      <x:c r="A83" s="90"/>
      <x:c r="B83" s="90"/>
      <x:c r="C83" s="96"/>
      <x:c r="D83" s="90"/>
      <x:c r="E83" s="90"/>
      <x:c r="F83" s="95"/>
      <x:c r="G83" s="95"/>
      <x:c r="H83" s="95"/>
      <x:c r="I83" s="95"/>
      <x:c r="J83" s="90"/>
      <x:c r="K83" s="95"/>
      <x:c r="L83" s="95"/>
      <x:c r="M83" s="95"/>
    </x:row>
    <x:row r="84">
      <x:c r="A84" s="90"/>
      <x:c r="B84" s="90"/>
      <x:c r="C84" s="96"/>
      <x:c r="D84" s="90"/>
      <x:c r="E84" s="90"/>
      <x:c r="F84" s="95"/>
      <x:c r="G84" s="95"/>
      <x:c r="H84" s="95"/>
      <x:c r="I84" s="95"/>
      <x:c r="J84" s="90"/>
      <x:c r="K84" s="95"/>
      <x:c r="L84" s="95"/>
      <x:c r="M84" s="95"/>
    </x:row>
    <x:row r="85">
      <x:c r="A85" s="90"/>
      <x:c r="B85" s="90"/>
      <x:c r="C85" s="96"/>
      <x:c r="D85" s="90"/>
      <x:c r="E85" s="90"/>
      <x:c r="F85" s="95"/>
      <x:c r="G85" s="95"/>
      <x:c r="H85" s="95"/>
      <x:c r="I85" s="95"/>
      <x:c r="J85" s="90"/>
      <x:c r="K85" s="95"/>
      <x:c r="L85" s="95"/>
      <x:c r="M85" s="95"/>
    </x:row>
    <x:row r="86">
      <x:c r="A86" s="90"/>
      <x:c r="B86" s="90"/>
      <x:c r="C86" s="96"/>
      <x:c r="D86" s="90"/>
      <x:c r="E86" s="90"/>
      <x:c r="F86" s="95"/>
      <x:c r="G86" s="95"/>
      <x:c r="H86" s="95"/>
      <x:c r="I86" s="95"/>
      <x:c r="J86" s="90"/>
      <x:c r="K86" s="95"/>
      <x:c r="L86" s="95"/>
      <x:c r="M86" s="95"/>
    </x:row>
    <x:row r="87">
      <x:c r="A87" s="90"/>
      <x:c r="B87" s="90"/>
      <x:c r="C87" s="96"/>
      <x:c r="D87" s="90"/>
      <x:c r="E87" s="90"/>
      <x:c r="F87" s="95"/>
      <x:c r="G87" s="95"/>
      <x:c r="H87" s="95"/>
      <x:c r="I87" s="95"/>
      <x:c r="J87" s="90"/>
      <x:c r="K87" s="95"/>
      <x:c r="L87" s="95"/>
      <x:c r="M87" s="95"/>
    </x:row>
    <x:row r="88">
      <x:c r="A88" s="90"/>
      <x:c r="B88" s="90"/>
      <x:c r="C88" s="96"/>
      <x:c r="D88" s="90"/>
      <x:c r="E88" s="90"/>
      <x:c r="F88" s="95"/>
      <x:c r="G88" s="95"/>
      <x:c r="H88" s="95"/>
      <x:c r="I88" s="95"/>
      <x:c r="J88" s="90"/>
      <x:c r="K88" s="95"/>
      <x:c r="L88" s="95"/>
      <x:c r="M88" s="95"/>
    </x:row>
    <x:row r="89">
      <x:c r="A89" s="90"/>
      <x:c r="B89" s="90"/>
      <x:c r="C89" s="96"/>
      <x:c r="D89" s="90"/>
      <x:c r="E89" s="90"/>
      <x:c r="F89" s="95"/>
      <x:c r="G89" s="95"/>
      <x:c r="H89" s="95"/>
      <x:c r="I89" s="95"/>
      <x:c r="J89" s="90"/>
      <x:c r="K89" s="95"/>
      <x:c r="L89" s="95"/>
      <x:c r="M89" s="95"/>
    </x:row>
    <x:row r="90">
      <x:c r="A90" s="90"/>
      <x:c r="B90" s="90"/>
      <x:c r="C90" s="96"/>
      <x:c r="D90" s="90"/>
      <x:c r="E90" s="90"/>
      <x:c r="F90" s="95"/>
      <x:c r="G90" s="95"/>
      <x:c r="H90" s="95"/>
      <x:c r="I90" s="95"/>
      <x:c r="J90" s="90"/>
      <x:c r="K90" s="95"/>
      <x:c r="L90" s="95"/>
      <x:c r="M90" s="95"/>
    </x:row>
    <x:row r="91">
      <x:c r="A91" s="90"/>
      <x:c r="B91" s="90"/>
      <x:c r="C91" s="96"/>
      <x:c r="D91" s="90"/>
      <x:c r="E91" s="90"/>
      <x:c r="F91" s="95"/>
      <x:c r="G91" s="95"/>
      <x:c r="H91" s="95"/>
      <x:c r="I91" s="95"/>
      <x:c r="J91" s="90"/>
      <x:c r="K91" s="95"/>
      <x:c r="L91" s="95"/>
      <x:c r="M91" s="95"/>
    </x:row>
    <x:row r="92">
      <x:c r="A92" s="90"/>
      <x:c r="B92" s="90"/>
      <x:c r="C92" s="96"/>
      <x:c r="D92" s="90"/>
      <x:c r="E92" s="90"/>
      <x:c r="F92" s="95"/>
      <x:c r="G92" s="95"/>
      <x:c r="H92" s="95"/>
      <x:c r="I92" s="95"/>
      <x:c r="J92" s="90"/>
      <x:c r="K92" s="95"/>
      <x:c r="L92" s="95"/>
      <x:c r="M92" s="95"/>
    </x:row>
    <x:row r="93">
      <x:c r="A93" s="90"/>
      <x:c r="B93" s="90"/>
      <x:c r="C93" s="96"/>
      <x:c r="D93" s="90"/>
      <x:c r="E93" s="90"/>
      <x:c r="F93" s="95"/>
      <x:c r="G93" s="95"/>
      <x:c r="H93" s="95"/>
      <x:c r="I93" s="95"/>
      <x:c r="J93" s="90"/>
      <x:c r="K93" s="95"/>
      <x:c r="L93" s="95"/>
      <x:c r="M93" s="95"/>
    </x:row>
    <x:row r="94">
      <x:c r="A94" s="90"/>
      <x:c r="B94" s="90"/>
      <x:c r="C94" s="96"/>
      <x:c r="D94" s="90"/>
      <x:c r="E94" s="90"/>
      <x:c r="F94" s="95"/>
      <x:c r="G94" s="95"/>
      <x:c r="H94" s="95"/>
      <x:c r="I94" s="95"/>
      <x:c r="J94" s="90"/>
      <x:c r="K94" s="95"/>
      <x:c r="L94" s="95"/>
      <x:c r="M94" s="95"/>
    </x:row>
    <x:row r="95">
      <x:c r="A95" s="90"/>
      <x:c r="B95" s="90"/>
      <x:c r="C95" s="96"/>
      <x:c r="D95" s="90"/>
      <x:c r="E95" s="90"/>
      <x:c r="F95" s="95"/>
      <x:c r="G95" s="95"/>
      <x:c r="H95" s="95"/>
      <x:c r="I95" s="95"/>
      <x:c r="J95" s="90"/>
      <x:c r="K95" s="95"/>
      <x:c r="L95" s="95"/>
      <x:c r="M95" s="95"/>
    </x:row>
    <x:row r="96">
      <x:c r="A96" s="90"/>
      <x:c r="B96" s="90"/>
      <x:c r="C96" s="96"/>
      <x:c r="D96" s="90"/>
      <x:c r="E96" s="90"/>
      <x:c r="F96" s="95"/>
      <x:c r="G96" s="95"/>
      <x:c r="H96" s="95"/>
      <x:c r="I96" s="95"/>
      <x:c r="J96" s="90"/>
      <x:c r="K96" s="95"/>
      <x:c r="L96" s="95"/>
      <x:c r="M96" s="95"/>
    </x:row>
    <x:row r="97">
      <x:c r="A97" s="90"/>
      <x:c r="B97" s="90"/>
      <x:c r="C97" s="96"/>
      <x:c r="D97" s="90"/>
      <x:c r="E97" s="90"/>
      <x:c r="F97" s="95"/>
      <x:c r="G97" s="95"/>
      <x:c r="H97" s="95"/>
      <x:c r="I97" s="95"/>
      <x:c r="J97" s="90"/>
      <x:c r="K97" s="95"/>
      <x:c r="L97" s="95"/>
      <x:c r="M97" s="95"/>
    </x:row>
    <x:row r="98">
      <x:c r="A98" s="90"/>
      <x:c r="B98" s="90"/>
      <x:c r="C98" s="96"/>
      <x:c r="D98" s="90"/>
      <x:c r="E98" s="90"/>
      <x:c r="F98" s="95"/>
      <x:c r="G98" s="95"/>
      <x:c r="H98" s="95"/>
      <x:c r="I98" s="95"/>
      <x:c r="J98" s="90"/>
      <x:c r="K98" s="95"/>
      <x:c r="L98" s="95"/>
      <x:c r="M98" s="95"/>
    </x:row>
    <x:row r="99">
      <x:c r="A99" s="90"/>
      <x:c r="B99" s="90"/>
      <x:c r="C99" s="96"/>
      <x:c r="D99" s="90"/>
      <x:c r="E99" s="90"/>
      <x:c r="F99" s="95"/>
      <x:c r="G99" s="95"/>
      <x:c r="H99" s="95"/>
      <x:c r="I99" s="95"/>
      <x:c r="J99" s="90"/>
      <x:c r="K99" s="95"/>
      <x:c r="L99" s="95"/>
      <x:c r="M99" s="95"/>
    </x:row>
    <x:row r="100">
      <x:c r="A100" s="90"/>
      <x:c r="B100" s="90"/>
      <x:c r="C100" s="96"/>
      <x:c r="D100" s="90"/>
      <x:c r="E100" s="90"/>
      <x:c r="F100" s="95"/>
      <x:c r="G100" s="95"/>
      <x:c r="H100" s="95"/>
      <x:c r="I100" s="95"/>
      <x:c r="J100" s="90"/>
      <x:c r="K100" s="95"/>
      <x:c r="L100" s="95"/>
      <x:c r="M100" s="95"/>
    </x:row>
    <x:row r="101">
      <x:c r="A101" s="90"/>
      <x:c r="B101" s="90"/>
      <x:c r="C101" s="96"/>
      <x:c r="D101" s="90"/>
      <x:c r="E101" s="90"/>
      <x:c r="F101" s="95"/>
      <x:c r="G101" s="95"/>
      <x:c r="H101" s="95"/>
      <x:c r="I101" s="95"/>
      <x:c r="J101" s="90"/>
      <x:c r="K101" s="95"/>
      <x:c r="L101" s="95"/>
      <x:c r="M101" s="95"/>
    </x:row>
    <x:row r="102">
      <x:c r="A102" s="90"/>
      <x:c r="B102" s="90"/>
      <x:c r="C102" s="96"/>
      <x:c r="D102" s="90"/>
      <x:c r="E102" s="90"/>
      <x:c r="F102" s="95"/>
      <x:c r="G102" s="95"/>
      <x:c r="H102" s="95"/>
      <x:c r="I102" s="95"/>
      <x:c r="J102" s="90"/>
      <x:c r="K102" s="95"/>
      <x:c r="L102" s="95"/>
      <x:c r="M102" s="95"/>
    </x:row>
    <x:row r="103">
      <x:c r="A103" s="90"/>
      <x:c r="B103" s="90"/>
      <x:c r="C103" s="96"/>
      <x:c r="D103" s="90"/>
      <x:c r="E103" s="90"/>
      <x:c r="F103" s="95"/>
      <x:c r="G103" s="95"/>
      <x:c r="H103" s="95"/>
      <x:c r="I103" s="95"/>
      <x:c r="J103" s="90"/>
      <x:c r="K103" s="95"/>
      <x:c r="L103" s="95"/>
      <x:c r="M103" s="95"/>
    </x:row>
    <x:row r="104">
      <x:c r="A104" s="90"/>
      <x:c r="B104" s="90"/>
      <x:c r="C104" s="96"/>
      <x:c r="D104" s="90"/>
      <x:c r="E104" s="90"/>
      <x:c r="F104" s="95"/>
      <x:c r="G104" s="95"/>
      <x:c r="H104" s="95"/>
      <x:c r="I104" s="95"/>
      <x:c r="J104" s="90"/>
      <x:c r="K104" s="95"/>
      <x:c r="L104" s="95"/>
      <x:c r="M104" s="95"/>
    </x:row>
    <x:row r="105">
      <x:c r="A105" s="90"/>
      <x:c r="B105" s="90"/>
      <x:c r="C105" s="96"/>
      <x:c r="D105" s="90"/>
      <x:c r="E105" s="90"/>
      <x:c r="F105" s="95"/>
      <x:c r="G105" s="95"/>
      <x:c r="H105" s="95"/>
      <x:c r="I105" s="95"/>
      <x:c r="J105" s="90"/>
      <x:c r="K105" s="95"/>
      <x:c r="L105" s="95"/>
      <x:c r="M105" s="95"/>
    </x:row>
    <x:row r="106">
      <x:c r="A106" s="90"/>
      <x:c r="B106" s="90"/>
      <x:c r="C106" s="96"/>
      <x:c r="D106" s="90"/>
      <x:c r="E106" s="90"/>
      <x:c r="F106" s="95"/>
      <x:c r="G106" s="95"/>
      <x:c r="H106" s="95"/>
      <x:c r="I106" s="95"/>
      <x:c r="J106" s="90"/>
      <x:c r="K106" s="95"/>
      <x:c r="L106" s="95"/>
      <x:c r="M106" s="95"/>
    </x:row>
    <x:row r="107">
      <x:c r="A107" s="90"/>
      <x:c r="B107" s="90"/>
      <x:c r="C107" s="96"/>
      <x:c r="D107" s="90"/>
      <x:c r="E107" s="90"/>
      <x:c r="F107" s="95"/>
      <x:c r="G107" s="95"/>
      <x:c r="H107" s="95"/>
      <x:c r="I107" s="95"/>
      <x:c r="J107" s="90"/>
      <x:c r="K107" s="95"/>
      <x:c r="L107" s="95"/>
      <x:c r="M107" s="95"/>
    </x:row>
    <x:row r="108">
      <x:c r="A108" s="90"/>
      <x:c r="B108" s="90"/>
      <x:c r="C108" s="96"/>
      <x:c r="D108" s="90"/>
      <x:c r="E108" s="90"/>
      <x:c r="F108" s="95"/>
      <x:c r="G108" s="95"/>
      <x:c r="H108" s="95"/>
      <x:c r="I108" s="95"/>
      <x:c r="J108" s="90"/>
      <x:c r="K108" s="95"/>
      <x:c r="L108" s="95"/>
      <x:c r="M108" s="95"/>
    </x:row>
    <x:row r="109">
      <x:c r="A109" s="90"/>
      <x:c r="B109" s="90"/>
      <x:c r="C109" s="96"/>
      <x:c r="D109" s="90"/>
      <x:c r="E109" s="90"/>
      <x:c r="F109" s="95"/>
      <x:c r="G109" s="95"/>
      <x:c r="H109" s="95"/>
      <x:c r="I109" s="95"/>
      <x:c r="J109" s="90"/>
      <x:c r="K109" s="95"/>
      <x:c r="L109" s="95"/>
      <x:c r="M109" s="95"/>
    </x:row>
    <x:row r="110">
      <x:c r="A110" s="90"/>
      <x:c r="B110" s="90"/>
      <x:c r="C110" s="96"/>
      <x:c r="D110" s="90"/>
      <x:c r="E110" s="90"/>
      <x:c r="F110" s="95"/>
      <x:c r="G110" s="95"/>
      <x:c r="H110" s="95"/>
      <x:c r="I110" s="95"/>
      <x:c r="J110" s="90"/>
      <x:c r="K110" s="95"/>
      <x:c r="L110" s="95"/>
      <x:c r="M110" s="95"/>
    </x:row>
    <x:row r="111">
      <x:c r="A111" s="90"/>
      <x:c r="B111" s="90"/>
      <x:c r="C111" s="96"/>
      <x:c r="D111" s="90"/>
      <x:c r="E111" s="90"/>
      <x:c r="F111" s="95"/>
      <x:c r="G111" s="95"/>
      <x:c r="H111" s="95"/>
      <x:c r="I111" s="95"/>
      <x:c r="J111" s="90"/>
      <x:c r="K111" s="95"/>
      <x:c r="L111" s="95"/>
      <x:c r="M111" s="95"/>
    </x:row>
    <x:row r="112">
      <x:c r="A112" s="90"/>
      <x:c r="B112" s="90"/>
      <x:c r="C112" s="96"/>
      <x:c r="D112" s="90"/>
      <x:c r="E112" s="90"/>
      <x:c r="F112" s="95"/>
      <x:c r="G112" s="95"/>
      <x:c r="H112" s="95"/>
      <x:c r="I112" s="95"/>
      <x:c r="J112" s="90"/>
      <x:c r="K112" s="95"/>
      <x:c r="L112" s="95"/>
      <x:c r="M112" s="95"/>
    </x:row>
    <x:row r="113">
      <x:c r="A113" s="90"/>
      <x:c r="B113" s="90"/>
      <x:c r="C113" s="96"/>
      <x:c r="D113" s="90"/>
      <x:c r="E113" s="90"/>
      <x:c r="F113" s="95"/>
      <x:c r="G113" s="95"/>
      <x:c r="H113" s="95"/>
      <x:c r="I113" s="95"/>
      <x:c r="J113" s="90"/>
      <x:c r="K113" s="95"/>
      <x:c r="L113" s="95"/>
      <x:c r="M113" s="95"/>
    </x:row>
    <x:row r="114">
      <x:c r="A114" s="90"/>
      <x:c r="B114" s="90"/>
      <x:c r="C114" s="96"/>
      <x:c r="D114" s="90"/>
      <x:c r="E114" s="90"/>
      <x:c r="F114" s="95"/>
      <x:c r="G114" s="95"/>
      <x:c r="H114" s="95"/>
      <x:c r="I114" s="95"/>
      <x:c r="J114" s="90"/>
      <x:c r="K114" s="95"/>
      <x:c r="L114" s="95"/>
      <x:c r="M114" s="95"/>
    </x:row>
    <x:row r="115">
      <x:c r="A115" s="90"/>
      <x:c r="B115" s="90"/>
      <x:c r="C115" s="96"/>
      <x:c r="D115" s="90"/>
      <x:c r="E115" s="90"/>
      <x:c r="F115" s="95"/>
      <x:c r="G115" s="95"/>
      <x:c r="H115" s="95"/>
      <x:c r="I115" s="95"/>
      <x:c r="J115" s="90"/>
      <x:c r="K115" s="95"/>
      <x:c r="L115" s="95"/>
      <x:c r="M115" s="95"/>
    </x:row>
    <x:row r="116">
      <x:c r="A116" s="90"/>
      <x:c r="B116" s="90"/>
      <x:c r="C116" s="96"/>
      <x:c r="D116" s="90"/>
      <x:c r="E116" s="90"/>
      <x:c r="F116" s="95"/>
      <x:c r="G116" s="95"/>
      <x:c r="H116" s="95"/>
      <x:c r="I116" s="95"/>
      <x:c r="J116" s="90"/>
      <x:c r="K116" s="95"/>
      <x:c r="L116" s="95"/>
      <x:c r="M116" s="95"/>
    </x:row>
    <x:row r="117">
      <x:c r="A117" s="90"/>
      <x:c r="B117" s="90"/>
      <x:c r="C117" s="96"/>
      <x:c r="D117" s="90"/>
      <x:c r="E117" s="90"/>
      <x:c r="F117" s="95"/>
      <x:c r="G117" s="95"/>
      <x:c r="H117" s="95"/>
      <x:c r="I117" s="95"/>
      <x:c r="J117" s="90"/>
      <x:c r="K117" s="95"/>
      <x:c r="L117" s="95"/>
      <x:c r="M117" s="95"/>
    </x:row>
    <x:row r="118">
      <x:c r="A118" s="90"/>
      <x:c r="B118" s="90"/>
      <x:c r="C118" s="96"/>
      <x:c r="D118" s="90"/>
      <x:c r="E118" s="90"/>
      <x:c r="F118" s="95"/>
      <x:c r="G118" s="95"/>
      <x:c r="H118" s="95"/>
      <x:c r="I118" s="95"/>
      <x:c r="J118" s="90"/>
      <x:c r="K118" s="95"/>
      <x:c r="L118" s="95"/>
      <x:c r="M118" s="95"/>
    </x:row>
    <x:row r="119">
      <x:c r="A119" s="90"/>
      <x:c r="B119" s="90"/>
      <x:c r="C119" s="96"/>
      <x:c r="D119" s="90"/>
      <x:c r="E119" s="90"/>
      <x:c r="F119" s="95"/>
      <x:c r="G119" s="95"/>
      <x:c r="H119" s="95"/>
      <x:c r="I119" s="95"/>
      <x:c r="J119" s="90"/>
      <x:c r="K119" s="95"/>
      <x:c r="L119" s="95"/>
      <x:c r="M119" s="95"/>
    </x:row>
    <x:row r="120">
      <x:c r="A120" s="90"/>
      <x:c r="B120" s="90"/>
      <x:c r="C120" s="96"/>
      <x:c r="D120" s="90"/>
      <x:c r="E120" s="90"/>
      <x:c r="F120" s="95"/>
      <x:c r="G120" s="95"/>
      <x:c r="H120" s="95"/>
      <x:c r="I120" s="95"/>
      <x:c r="J120" s="90"/>
      <x:c r="K120" s="95"/>
      <x:c r="L120" s="95"/>
      <x:c r="M120" s="95"/>
    </x:row>
    <x:row r="121">
      <x:c r="A121" s="90"/>
      <x:c r="B121" s="90"/>
      <x:c r="C121" s="96"/>
      <x:c r="D121" s="90"/>
      <x:c r="E121" s="90"/>
      <x:c r="F121" s="95"/>
      <x:c r="G121" s="95"/>
      <x:c r="H121" s="95"/>
      <x:c r="I121" s="95"/>
      <x:c r="J121" s="90"/>
      <x:c r="K121" s="95"/>
      <x:c r="L121" s="95"/>
      <x:c r="M121" s="95"/>
    </x:row>
    <x:row r="122">
      <x:c r="A122" s="90"/>
      <x:c r="B122" s="90"/>
      <x:c r="C122" s="96"/>
      <x:c r="D122" s="90"/>
      <x:c r="E122" s="90"/>
      <x:c r="F122" s="95"/>
      <x:c r="G122" s="95"/>
      <x:c r="H122" s="95"/>
      <x:c r="I122" s="95"/>
      <x:c r="J122" s="90"/>
      <x:c r="K122" s="95"/>
      <x:c r="L122" s="95"/>
      <x:c r="M122" s="95"/>
    </x:row>
    <x:row r="123">
      <x:c r="A123" s="90"/>
      <x:c r="B123" s="90"/>
      <x:c r="C123" s="96"/>
      <x:c r="D123" s="90"/>
      <x:c r="E123" s="90"/>
      <x:c r="F123" s="95"/>
      <x:c r="G123" s="95"/>
      <x:c r="H123" s="95"/>
      <x:c r="I123" s="95"/>
      <x:c r="J123" s="90"/>
      <x:c r="K123" s="95"/>
      <x:c r="L123" s="95"/>
      <x:c r="M123" s="95"/>
    </x:row>
    <x:row r="124">
      <x:c r="A124" s="90"/>
      <x:c r="B124" s="90"/>
      <x:c r="C124" s="96"/>
      <x:c r="D124" s="90"/>
      <x:c r="E124" s="90"/>
      <x:c r="F124" s="95"/>
      <x:c r="G124" s="95"/>
      <x:c r="H124" s="95"/>
      <x:c r="I124" s="95"/>
      <x:c r="J124" s="90"/>
      <x:c r="K124" s="95"/>
      <x:c r="L124" s="95"/>
      <x:c r="M124" s="95"/>
    </x:row>
    <x:row r="125">
      <x:c r="A125" s="90"/>
      <x:c r="B125" s="90"/>
      <x:c r="C125" s="96"/>
      <x:c r="D125" s="90"/>
      <x:c r="E125" s="90"/>
      <x:c r="F125" s="95"/>
      <x:c r="G125" s="95"/>
      <x:c r="H125" s="95"/>
      <x:c r="I125" s="95"/>
      <x:c r="J125" s="90"/>
      <x:c r="K125" s="95"/>
      <x:c r="L125" s="95"/>
      <x:c r="M125" s="95"/>
    </x:row>
    <x:row r="126">
      <x:c r="A126" s="90"/>
      <x:c r="B126" s="90"/>
      <x:c r="C126" s="96"/>
      <x:c r="D126" s="90"/>
      <x:c r="E126" s="90"/>
      <x:c r="F126" s="95"/>
      <x:c r="G126" s="95"/>
      <x:c r="H126" s="95"/>
      <x:c r="I126" s="95"/>
      <x:c r="J126" s="90"/>
      <x:c r="K126" s="95"/>
      <x:c r="L126" s="95"/>
      <x:c r="M126" s="95"/>
    </x:row>
    <x:row r="127">
      <x:c r="A127" s="90"/>
      <x:c r="B127" s="90"/>
      <x:c r="C127" s="96"/>
      <x:c r="D127" s="90"/>
      <x:c r="E127" s="90"/>
      <x:c r="F127" s="95"/>
      <x:c r="G127" s="95"/>
      <x:c r="H127" s="95"/>
      <x:c r="I127" s="95"/>
      <x:c r="J127" s="90"/>
      <x:c r="K127" s="95"/>
      <x:c r="L127" s="95"/>
      <x:c r="M127" s="95"/>
    </x:row>
    <x:row r="128">
      <x:c r="A128" s="90"/>
      <x:c r="B128" s="90"/>
      <x:c r="C128" s="96"/>
      <x:c r="D128" s="90"/>
      <x:c r="E128" s="90"/>
      <x:c r="F128" s="95"/>
      <x:c r="G128" s="95"/>
      <x:c r="H128" s="95"/>
      <x:c r="I128" s="95"/>
      <x:c r="J128" s="90"/>
      <x:c r="K128" s="95"/>
      <x:c r="L128" s="95"/>
      <x:c r="M128" s="95"/>
    </x:row>
    <x:row r="129">
      <x:c r="A129" s="90"/>
      <x:c r="B129" s="90"/>
      <x:c r="C129" s="96"/>
      <x:c r="D129" s="90"/>
      <x:c r="E129" s="90"/>
      <x:c r="F129" s="95"/>
      <x:c r="G129" s="95"/>
      <x:c r="H129" s="95"/>
      <x:c r="I129" s="95"/>
      <x:c r="J129" s="90"/>
      <x:c r="K129" s="95"/>
      <x:c r="L129" s="95"/>
      <x:c r="M129" s="95"/>
    </x:row>
    <x:row r="130">
      <x:c r="A130" s="90"/>
      <x:c r="B130" s="90"/>
      <x:c r="C130" s="96"/>
      <x:c r="D130" s="90"/>
      <x:c r="E130" s="90"/>
      <x:c r="F130" s="95"/>
      <x:c r="G130" s="95"/>
      <x:c r="H130" s="95"/>
      <x:c r="I130" s="95"/>
      <x:c r="J130" s="90"/>
      <x:c r="K130" s="95"/>
      <x:c r="L130" s="95"/>
      <x:c r="M130" s="95"/>
    </x:row>
    <x:row r="131">
      <x:c r="A131" s="90"/>
      <x:c r="B131" s="90"/>
      <x:c r="C131" s="96"/>
      <x:c r="D131" s="90"/>
      <x:c r="E131" s="90"/>
      <x:c r="F131" s="95"/>
      <x:c r="G131" s="95"/>
      <x:c r="H131" s="95"/>
      <x:c r="I131" s="95"/>
      <x:c r="J131" s="90"/>
      <x:c r="K131" s="95"/>
      <x:c r="L131" s="95"/>
      <x:c r="M131" s="95"/>
    </x:row>
    <x:row r="132">
      <x:c r="A132" s="90"/>
      <x:c r="B132" s="90"/>
      <x:c r="C132" s="96"/>
      <x:c r="D132" s="90"/>
      <x:c r="E132" s="90"/>
      <x:c r="F132" s="95"/>
      <x:c r="G132" s="95"/>
      <x:c r="H132" s="95"/>
      <x:c r="I132" s="95"/>
      <x:c r="J132" s="90"/>
      <x:c r="K132" s="95"/>
      <x:c r="L132" s="95"/>
      <x:c r="M132" s="95"/>
    </x:row>
    <x:row r="133">
      <x:c r="A133" s="90"/>
      <x:c r="B133" s="90"/>
      <x:c r="C133" s="96"/>
      <x:c r="D133" s="90"/>
      <x:c r="E133" s="90"/>
      <x:c r="F133" s="95"/>
      <x:c r="G133" s="95"/>
      <x:c r="H133" s="95"/>
      <x:c r="I133" s="95"/>
      <x:c r="J133" s="90"/>
      <x:c r="K133" s="95"/>
      <x:c r="L133" s="95"/>
      <x:c r="M133" s="95"/>
    </x:row>
    <x:row r="134">
      <x:c r="A134" s="90"/>
      <x:c r="B134" s="90"/>
      <x:c r="C134" s="96"/>
      <x:c r="D134" s="90"/>
      <x:c r="E134" s="90"/>
      <x:c r="F134" s="95"/>
      <x:c r="G134" s="95"/>
      <x:c r="H134" s="95"/>
      <x:c r="I134" s="95"/>
      <x:c r="J134" s="90"/>
      <x:c r="K134" s="95"/>
      <x:c r="L134" s="95"/>
      <x:c r="M134" s="95"/>
    </x:row>
    <x:row r="135">
      <x:c r="A135" s="90"/>
      <x:c r="B135" s="90"/>
      <x:c r="C135" s="96"/>
      <x:c r="D135" s="90"/>
      <x:c r="E135" s="90"/>
      <x:c r="F135" s="95"/>
      <x:c r="G135" s="95"/>
      <x:c r="H135" s="95"/>
      <x:c r="I135" s="95"/>
      <x:c r="J135" s="90"/>
      <x:c r="K135" s="95"/>
      <x:c r="L135" s="95"/>
      <x:c r="M135" s="95"/>
    </x:row>
    <x:row r="136">
      <x:c r="A136" s="90"/>
      <x:c r="B136" s="90"/>
      <x:c r="C136" s="96"/>
      <x:c r="D136" s="90"/>
      <x:c r="E136" s="90"/>
      <x:c r="F136" s="95"/>
      <x:c r="G136" s="95"/>
      <x:c r="H136" s="95"/>
      <x:c r="I136" s="95"/>
      <x:c r="J136" s="90"/>
      <x:c r="K136" s="95"/>
      <x:c r="L136" s="95"/>
      <x:c r="M136" s="95"/>
    </x:row>
    <x:row r="137">
      <x:c r="A137" s="90"/>
      <x:c r="B137" s="90"/>
      <x:c r="C137" s="96"/>
      <x:c r="D137" s="90"/>
      <x:c r="E137" s="90"/>
      <x:c r="F137" s="95"/>
      <x:c r="G137" s="95"/>
      <x:c r="H137" s="95"/>
      <x:c r="I137" s="95"/>
      <x:c r="J137" s="90"/>
      <x:c r="K137" s="95"/>
      <x:c r="L137" s="95"/>
      <x:c r="M137" s="95"/>
    </x:row>
    <x:row r="138">
      <x:c r="A138" s="90"/>
      <x:c r="B138" s="90"/>
      <x:c r="C138" s="96"/>
      <x:c r="D138" s="90"/>
      <x:c r="E138" s="90"/>
      <x:c r="F138" s="95"/>
      <x:c r="G138" s="95"/>
      <x:c r="H138" s="95"/>
      <x:c r="I138" s="95"/>
      <x:c r="J138" s="90"/>
      <x:c r="K138" s="95"/>
      <x:c r="L138" s="95"/>
      <x:c r="M138" s="95"/>
    </x:row>
    <x:row r="139">
      <x:c r="A139" s="90"/>
      <x:c r="B139" s="90"/>
      <x:c r="C139" s="96"/>
      <x:c r="D139" s="90"/>
      <x:c r="E139" s="90"/>
      <x:c r="F139" s="95"/>
      <x:c r="G139" s="95"/>
      <x:c r="H139" s="95"/>
      <x:c r="I139" s="95"/>
      <x:c r="J139" s="90"/>
      <x:c r="K139" s="95"/>
      <x:c r="L139" s="95"/>
      <x:c r="M139" s="95"/>
    </x:row>
    <x:row r="140">
      <x:c r="A140" s="90"/>
      <x:c r="B140" s="90"/>
      <x:c r="C140" s="96"/>
      <x:c r="D140" s="90"/>
      <x:c r="E140" s="90"/>
      <x:c r="F140" s="95"/>
      <x:c r="G140" s="95"/>
      <x:c r="H140" s="95"/>
      <x:c r="I140" s="95"/>
      <x:c r="J140" s="90"/>
      <x:c r="K140" s="95"/>
      <x:c r="L140" s="95"/>
      <x:c r="M140" s="95"/>
    </x:row>
    <x:row r="141">
      <x:c r="A141" s="90"/>
      <x:c r="B141" s="90"/>
      <x:c r="C141" s="96"/>
      <x:c r="D141" s="90"/>
      <x:c r="E141" s="90"/>
      <x:c r="F141" s="95"/>
      <x:c r="G141" s="95"/>
      <x:c r="H141" s="95"/>
      <x:c r="I141" s="95"/>
      <x:c r="J141" s="90"/>
      <x:c r="K141" s="95"/>
      <x:c r="L141" s="95"/>
      <x:c r="M141" s="95"/>
    </x:row>
    <x:row r="142">
      <x:c r="A142" s="90"/>
      <x:c r="B142" s="90"/>
      <x:c r="C142" s="96"/>
      <x:c r="D142" s="90"/>
      <x:c r="E142" s="90"/>
      <x:c r="F142" s="95"/>
      <x:c r="G142" s="95"/>
      <x:c r="H142" s="95"/>
      <x:c r="I142" s="95"/>
      <x:c r="J142" s="90"/>
      <x:c r="K142" s="95"/>
      <x:c r="L142" s="95"/>
      <x:c r="M142" s="95"/>
    </x:row>
    <x:row r="143">
      <x:c r="A143" s="90"/>
      <x:c r="B143" s="90"/>
      <x:c r="C143" s="96"/>
      <x:c r="D143" s="90"/>
      <x:c r="E143" s="90"/>
      <x:c r="F143" s="95"/>
      <x:c r="G143" s="95"/>
      <x:c r="H143" s="95"/>
      <x:c r="I143" s="95"/>
      <x:c r="J143" s="90"/>
      <x:c r="K143" s="95"/>
      <x:c r="L143" s="95"/>
      <x:c r="M143" s="95"/>
    </x:row>
    <x:row r="144">
      <x:c r="A144" s="90"/>
      <x:c r="B144" s="90"/>
      <x:c r="C144" s="96"/>
      <x:c r="D144" s="90"/>
      <x:c r="E144" s="90"/>
      <x:c r="F144" s="95"/>
      <x:c r="G144" s="95"/>
      <x:c r="H144" s="95"/>
      <x:c r="I144" s="95"/>
      <x:c r="J144" s="90"/>
      <x:c r="K144" s="95"/>
      <x:c r="L144" s="95"/>
      <x:c r="M144" s="95"/>
    </x:row>
    <x:row r="145">
      <x:c r="A145" s="90"/>
      <x:c r="B145" s="90"/>
      <x:c r="C145" s="96"/>
      <x:c r="D145" s="90"/>
      <x:c r="E145" s="90"/>
      <x:c r="F145" s="95"/>
      <x:c r="G145" s="95"/>
      <x:c r="H145" s="95"/>
      <x:c r="I145" s="95"/>
      <x:c r="J145" s="90"/>
      <x:c r="K145" s="95"/>
      <x:c r="L145" s="95"/>
      <x:c r="M145" s="95"/>
    </x:row>
    <x:row r="146">
      <x:c r="A146" s="90"/>
      <x:c r="B146" s="90"/>
      <x:c r="C146" s="96"/>
      <x:c r="D146" s="90"/>
      <x:c r="E146" s="90"/>
      <x:c r="F146" s="95"/>
      <x:c r="G146" s="95"/>
      <x:c r="H146" s="95"/>
      <x:c r="I146" s="95"/>
      <x:c r="J146" s="90"/>
      <x:c r="K146" s="95"/>
      <x:c r="L146" s="95"/>
      <x:c r="M146" s="95"/>
    </x:row>
    <x:row r="147">
      <x:c r="A147" s="90"/>
      <x:c r="B147" s="90"/>
      <x:c r="C147" s="96"/>
      <x:c r="D147" s="90"/>
      <x:c r="E147" s="90"/>
      <x:c r="F147" s="95"/>
      <x:c r="G147" s="95"/>
      <x:c r="H147" s="95"/>
      <x:c r="I147" s="95"/>
      <x:c r="J147" s="90"/>
      <x:c r="K147" s="95"/>
      <x:c r="L147" s="95"/>
      <x:c r="M147" s="95"/>
    </x:row>
    <x:row r="148">
      <x:c r="A148" s="90"/>
      <x:c r="B148" s="90"/>
      <x:c r="C148" s="96"/>
      <x:c r="D148" s="90"/>
      <x:c r="E148" s="90"/>
      <x:c r="F148" s="95"/>
      <x:c r="G148" s="95"/>
      <x:c r="H148" s="95"/>
      <x:c r="I148" s="95"/>
      <x:c r="J148" s="90"/>
      <x:c r="K148" s="95"/>
      <x:c r="L148" s="95"/>
      <x:c r="M148" s="95"/>
    </x:row>
    <x:row r="149">
      <x:c r="A149" s="90"/>
      <x:c r="B149" s="90"/>
      <x:c r="C149" s="96"/>
      <x:c r="D149" s="90"/>
      <x:c r="E149" s="90"/>
      <x:c r="F149" s="95"/>
      <x:c r="G149" s="95"/>
      <x:c r="H149" s="95"/>
      <x:c r="I149" s="95"/>
      <x:c r="J149" s="90"/>
      <x:c r="K149" s="95"/>
      <x:c r="L149" s="95"/>
      <x:c r="M149" s="95"/>
    </x:row>
    <x:row r="150">
      <x:c r="A150" s="90"/>
      <x:c r="B150" s="90"/>
      <x:c r="C150" s="96"/>
      <x:c r="D150" s="90"/>
      <x:c r="E150" s="90"/>
      <x:c r="F150" s="95"/>
      <x:c r="G150" s="95"/>
      <x:c r="H150" s="95"/>
      <x:c r="I150" s="95"/>
      <x:c r="J150" s="90"/>
      <x:c r="K150" s="95"/>
      <x:c r="L150" s="95"/>
      <x:c r="M150" s="95"/>
    </x:row>
    <x:row r="151">
      <x:c r="A151" s="90"/>
      <x:c r="B151" s="90"/>
      <x:c r="C151" s="96"/>
      <x:c r="D151" s="90"/>
      <x:c r="E151" s="90"/>
      <x:c r="F151" s="95"/>
      <x:c r="G151" s="95"/>
      <x:c r="H151" s="95"/>
      <x:c r="I151" s="95"/>
      <x:c r="J151" s="90"/>
      <x:c r="K151" s="95"/>
      <x:c r="L151" s="95"/>
      <x:c r="M151" s="95"/>
    </x:row>
    <x:row r="152">
      <x:c r="A152" s="90"/>
      <x:c r="B152" s="90"/>
      <x:c r="C152" s="96"/>
      <x:c r="D152" s="90"/>
      <x:c r="E152" s="90"/>
      <x:c r="F152" s="95"/>
      <x:c r="G152" s="95"/>
      <x:c r="H152" s="95"/>
      <x:c r="I152" s="95"/>
      <x:c r="J152" s="90"/>
      <x:c r="K152" s="95"/>
      <x:c r="L152" s="95"/>
      <x:c r="M152" s="95"/>
    </x:row>
    <x:row r="153">
      <x:c r="A153" s="90"/>
      <x:c r="B153" s="90"/>
      <x:c r="C153" s="96"/>
      <x:c r="D153" s="90"/>
      <x:c r="E153" s="90"/>
      <x:c r="F153" s="95"/>
      <x:c r="G153" s="95"/>
      <x:c r="H153" s="95"/>
      <x:c r="I153" s="95"/>
      <x:c r="J153" s="90"/>
      <x:c r="K153" s="95"/>
      <x:c r="L153" s="95"/>
      <x:c r="M153" s="95"/>
    </x:row>
    <x:row r="154">
      <x:c r="A154" s="90"/>
      <x:c r="B154" s="90"/>
      <x:c r="C154" s="96"/>
      <x:c r="D154" s="90"/>
      <x:c r="E154" s="90"/>
      <x:c r="F154" s="95"/>
      <x:c r="G154" s="95"/>
      <x:c r="H154" s="95"/>
      <x:c r="I154" s="95"/>
      <x:c r="J154" s="90"/>
      <x:c r="K154" s="95"/>
      <x:c r="L154" s="95"/>
      <x:c r="M154" s="95"/>
    </x:row>
    <x:row r="155">
      <x:c r="A155" s="90"/>
      <x:c r="B155" s="90"/>
      <x:c r="C155" s="96"/>
      <x:c r="D155" s="90"/>
      <x:c r="E155" s="90"/>
      <x:c r="F155" s="95"/>
      <x:c r="G155" s="95"/>
      <x:c r="H155" s="95"/>
      <x:c r="I155" s="95"/>
      <x:c r="J155" s="90"/>
      <x:c r="K155" s="95"/>
      <x:c r="L155" s="95"/>
      <x:c r="M155" s="95"/>
    </x:row>
    <x:row r="156">
      <x:c r="A156" s="90"/>
      <x:c r="B156" s="90"/>
      <x:c r="C156" s="96"/>
      <x:c r="D156" s="90"/>
      <x:c r="E156" s="90"/>
      <x:c r="F156" s="95"/>
      <x:c r="G156" s="95"/>
      <x:c r="H156" s="95"/>
      <x:c r="I156" s="95"/>
      <x:c r="J156" s="90"/>
      <x:c r="K156" s="95"/>
      <x:c r="L156" s="95"/>
      <x:c r="M156" s="95"/>
    </x:row>
    <x:row r="157">
      <x:c r="A157" s="90"/>
      <x:c r="B157" s="90"/>
      <x:c r="C157" s="96"/>
      <x:c r="D157" s="90"/>
      <x:c r="E157" s="90"/>
      <x:c r="F157" s="95"/>
      <x:c r="G157" s="95"/>
      <x:c r="H157" s="95"/>
      <x:c r="I157" s="95"/>
      <x:c r="J157" s="90"/>
      <x:c r="K157" s="95"/>
      <x:c r="L157" s="95"/>
      <x:c r="M157" s="95"/>
    </x:row>
    <x:row r="158">
      <x:c r="A158" s="90"/>
      <x:c r="B158" s="90"/>
      <x:c r="C158" s="96"/>
      <x:c r="D158" s="90"/>
      <x:c r="E158" s="90"/>
      <x:c r="F158" s="95"/>
      <x:c r="G158" s="95"/>
      <x:c r="H158" s="95"/>
      <x:c r="I158" s="95"/>
      <x:c r="J158" s="90"/>
      <x:c r="K158" s="95"/>
      <x:c r="L158" s="95"/>
      <x:c r="M158" s="95"/>
    </x:row>
    <x:row r="159">
      <x:c r="A159" s="90"/>
      <x:c r="B159" s="90"/>
      <x:c r="C159" s="96"/>
      <x:c r="D159" s="90"/>
      <x:c r="E159" s="90"/>
      <x:c r="F159" s="95"/>
      <x:c r="G159" s="95"/>
      <x:c r="H159" s="95"/>
      <x:c r="I159" s="95"/>
      <x:c r="J159" s="90"/>
      <x:c r="K159" s="95"/>
      <x:c r="L159" s="95"/>
      <x:c r="M159" s="95"/>
    </x:row>
    <x:row r="160">
      <x:c r="A160" s="90"/>
      <x:c r="B160" s="90"/>
      <x:c r="C160" s="96"/>
      <x:c r="D160" s="90"/>
      <x:c r="E160" s="90"/>
      <x:c r="F160" s="95"/>
      <x:c r="G160" s="95"/>
      <x:c r="H160" s="95"/>
      <x:c r="I160" s="95"/>
      <x:c r="J160" s="90"/>
      <x:c r="K160" s="95"/>
      <x:c r="L160" s="95"/>
      <x:c r="M160" s="95"/>
    </x:row>
    <x:row r="161">
      <x:c r="A161" s="90"/>
      <x:c r="B161" s="90"/>
      <x:c r="C161" s="96"/>
      <x:c r="D161" s="90"/>
      <x:c r="E161" s="90"/>
      <x:c r="F161" s="95"/>
      <x:c r="G161" s="95"/>
      <x:c r="H161" s="95"/>
      <x:c r="I161" s="95"/>
      <x:c r="J161" s="90"/>
      <x:c r="K161" s="95"/>
      <x:c r="L161" s="95"/>
      <x:c r="M161" s="95"/>
    </x:row>
    <x:row r="162">
      <x:c r="A162" s="90"/>
      <x:c r="B162" s="90"/>
      <x:c r="C162" s="96"/>
      <x:c r="D162" s="90"/>
      <x:c r="E162" s="90"/>
      <x:c r="F162" s="95"/>
      <x:c r="G162" s="95"/>
      <x:c r="H162" s="95"/>
      <x:c r="I162" s="95"/>
      <x:c r="J162" s="90"/>
      <x:c r="K162" s="95"/>
      <x:c r="L162" s="95"/>
      <x:c r="M162" s="95"/>
    </x:row>
    <x:row r="163">
      <x:c r="A163" s="90"/>
      <x:c r="B163" s="90"/>
      <x:c r="C163" s="96"/>
      <x:c r="D163" s="90"/>
      <x:c r="E163" s="90"/>
      <x:c r="F163" s="95"/>
      <x:c r="G163" s="95"/>
      <x:c r="H163" s="95"/>
      <x:c r="I163" s="95"/>
      <x:c r="J163" s="90"/>
      <x:c r="K163" s="95"/>
      <x:c r="L163" s="95"/>
      <x:c r="M163" s="95"/>
    </x:row>
    <x:row r="164">
      <x:c r="A164" s="90"/>
      <x:c r="B164" s="90"/>
      <x:c r="C164" s="96"/>
      <x:c r="D164" s="90"/>
      <x:c r="E164" s="90"/>
      <x:c r="F164" s="95"/>
      <x:c r="G164" s="95"/>
      <x:c r="H164" s="95"/>
      <x:c r="I164" s="95"/>
      <x:c r="J164" s="90"/>
      <x:c r="K164" s="95"/>
      <x:c r="L164" s="95"/>
      <x:c r="M164" s="95"/>
    </x:row>
    <x:row r="165">
      <x:c r="A165" s="90"/>
      <x:c r="B165" s="90"/>
      <x:c r="C165" s="96"/>
      <x:c r="D165" s="90"/>
      <x:c r="E165" s="90"/>
      <x:c r="F165" s="95"/>
      <x:c r="G165" s="95"/>
      <x:c r="H165" s="95"/>
      <x:c r="I165" s="95"/>
      <x:c r="J165" s="90"/>
      <x:c r="K165" s="95"/>
      <x:c r="L165" s="95"/>
      <x:c r="M165" s="95"/>
    </x:row>
    <x:row r="166">
      <x:c r="A166" s="90"/>
      <x:c r="B166" s="90"/>
      <x:c r="C166" s="96"/>
      <x:c r="D166" s="90"/>
      <x:c r="E166" s="90"/>
      <x:c r="F166" s="95"/>
      <x:c r="G166" s="95"/>
      <x:c r="H166" s="95"/>
      <x:c r="I166" s="95"/>
      <x:c r="J166" s="90"/>
      <x:c r="K166" s="95"/>
      <x:c r="L166" s="95"/>
      <x:c r="M166" s="95"/>
    </x:row>
    <x:row r="167">
      <x:c r="A167" s="90"/>
      <x:c r="B167" s="90"/>
      <x:c r="C167" s="96"/>
      <x:c r="D167" s="90"/>
      <x:c r="E167" s="90"/>
      <x:c r="F167" s="95"/>
      <x:c r="G167" s="95"/>
      <x:c r="H167" s="95"/>
      <x:c r="I167" s="95"/>
      <x:c r="J167" s="90"/>
      <x:c r="K167" s="95"/>
      <x:c r="L167" s="95"/>
      <x:c r="M167" s="95"/>
    </x:row>
    <x:row r="168">
      <x:c r="A168" s="90"/>
      <x:c r="B168" s="90"/>
      <x:c r="C168" s="96"/>
      <x:c r="D168" s="90"/>
      <x:c r="E168" s="90"/>
      <x:c r="F168" s="95"/>
      <x:c r="G168" s="95"/>
      <x:c r="H168" s="95"/>
      <x:c r="I168" s="95"/>
      <x:c r="J168" s="90"/>
      <x:c r="K168" s="95"/>
      <x:c r="L168" s="95"/>
      <x:c r="M168" s="95"/>
    </x:row>
    <x:row r="169">
      <x:c r="A169" s="90"/>
      <x:c r="B169" s="90"/>
      <x:c r="C169" s="96"/>
      <x:c r="D169" s="90"/>
      <x:c r="E169" s="90"/>
      <x:c r="F169" s="95"/>
      <x:c r="G169" s="95"/>
      <x:c r="H169" s="95"/>
      <x:c r="I169" s="95"/>
      <x:c r="J169" s="90"/>
      <x:c r="K169" s="95"/>
      <x:c r="L169" s="95"/>
      <x:c r="M169" s="95"/>
    </x:row>
    <x:row r="170">
      <x:c r="A170" s="90"/>
      <x:c r="B170" s="90"/>
      <x:c r="C170" s="96"/>
      <x:c r="D170" s="90"/>
      <x:c r="E170" s="90"/>
      <x:c r="F170" s="95"/>
      <x:c r="G170" s="95"/>
      <x:c r="H170" s="95"/>
      <x:c r="I170" s="95"/>
      <x:c r="J170" s="90"/>
      <x:c r="K170" s="95"/>
      <x:c r="L170" s="95"/>
      <x:c r="M170" s="95"/>
    </x:row>
    <x:row r="171">
      <x:c r="A171" s="90"/>
      <x:c r="B171" s="90"/>
      <x:c r="C171" s="96"/>
      <x:c r="D171" s="90"/>
      <x:c r="E171" s="90"/>
      <x:c r="F171" s="95"/>
      <x:c r="G171" s="95"/>
      <x:c r="H171" s="95"/>
      <x:c r="I171" s="95"/>
      <x:c r="J171" s="90"/>
      <x:c r="K171" s="95"/>
      <x:c r="L171" s="95"/>
      <x:c r="M171" s="95"/>
    </x:row>
    <x:row r="172">
      <x:c r="A172" s="90"/>
      <x:c r="B172" s="90"/>
      <x:c r="C172" s="96"/>
      <x:c r="D172" s="90"/>
      <x:c r="E172" s="90"/>
      <x:c r="F172" s="95"/>
      <x:c r="G172" s="95"/>
      <x:c r="H172" s="95"/>
      <x:c r="I172" s="95"/>
      <x:c r="J172" s="90"/>
      <x:c r="K172" s="95"/>
      <x:c r="L172" s="95"/>
      <x:c r="M172" s="95"/>
    </x:row>
    <x:row r="173">
      <x:c r="A173" s="90"/>
      <x:c r="B173" s="90"/>
      <x:c r="C173" s="96"/>
      <x:c r="D173" s="90"/>
      <x:c r="E173" s="90"/>
      <x:c r="F173" s="95"/>
      <x:c r="G173" s="95"/>
      <x:c r="H173" s="95"/>
      <x:c r="I173" s="95"/>
      <x:c r="J173" s="90"/>
      <x:c r="K173" s="95"/>
      <x:c r="L173" s="95"/>
      <x:c r="M173" s="95"/>
    </x:row>
    <x:row r="174">
      <x:c r="A174" s="90"/>
      <x:c r="B174" s="90"/>
      <x:c r="C174" s="96"/>
      <x:c r="D174" s="90"/>
      <x:c r="E174" s="90"/>
      <x:c r="F174" s="95"/>
      <x:c r="G174" s="95"/>
      <x:c r="H174" s="95"/>
      <x:c r="I174" s="95"/>
      <x:c r="J174" s="90"/>
      <x:c r="K174" s="95"/>
      <x:c r="L174" s="95"/>
      <x:c r="M174" s="95"/>
    </x:row>
    <x:row r="175">
      <x:c r="A175" s="90"/>
      <x:c r="B175" s="90"/>
      <x:c r="C175" s="96"/>
      <x:c r="D175" s="90"/>
      <x:c r="E175" s="90"/>
      <x:c r="F175" s="95"/>
      <x:c r="G175" s="95"/>
      <x:c r="H175" s="95"/>
      <x:c r="I175" s="95"/>
      <x:c r="J175" s="90"/>
      <x:c r="K175" s="95"/>
      <x:c r="L175" s="95"/>
      <x:c r="M175" s="95"/>
    </x:row>
    <x:row r="176">
      <x:c r="A176" s="90"/>
      <x:c r="B176" s="90"/>
      <x:c r="C176" s="96"/>
      <x:c r="D176" s="90"/>
      <x:c r="E176" s="90"/>
      <x:c r="F176" s="95"/>
      <x:c r="G176" s="95"/>
      <x:c r="H176" s="95"/>
      <x:c r="I176" s="95"/>
      <x:c r="J176" s="90"/>
      <x:c r="K176" s="95"/>
      <x:c r="L176" s="95"/>
      <x:c r="M176" s="95"/>
    </x:row>
    <x:row r="177">
      <x:c r="A177" s="90"/>
      <x:c r="B177" s="90"/>
      <x:c r="C177" s="96"/>
      <x:c r="D177" s="90"/>
      <x:c r="E177" s="90"/>
      <x:c r="F177" s="95"/>
      <x:c r="G177" s="95"/>
      <x:c r="H177" s="95"/>
      <x:c r="I177" s="95"/>
      <x:c r="J177" s="90"/>
      <x:c r="K177" s="95"/>
      <x:c r="L177" s="95"/>
      <x:c r="M177" s="95"/>
    </x:row>
    <x:row r="178">
      <x:c r="A178" s="90"/>
      <x:c r="B178" s="90"/>
      <x:c r="C178" s="96"/>
      <x:c r="D178" s="90"/>
      <x:c r="E178" s="90"/>
      <x:c r="F178" s="95"/>
      <x:c r="G178" s="95"/>
      <x:c r="H178" s="95"/>
      <x:c r="I178" s="95"/>
      <x:c r="J178" s="90"/>
      <x:c r="K178" s="95"/>
      <x:c r="L178" s="95"/>
      <x:c r="M178" s="95"/>
    </x:row>
    <x:row r="179">
      <x:c r="A179" s="90"/>
      <x:c r="B179" s="90"/>
      <x:c r="C179" s="96"/>
      <x:c r="D179" s="90"/>
      <x:c r="E179" s="90"/>
      <x:c r="F179" s="95"/>
      <x:c r="G179" s="95"/>
      <x:c r="H179" s="95"/>
      <x:c r="I179" s="95"/>
      <x:c r="J179" s="90"/>
      <x:c r="K179" s="95"/>
      <x:c r="L179" s="95"/>
      <x:c r="M179" s="95"/>
    </x:row>
    <x:row r="180">
      <x:c r="A180" s="90"/>
      <x:c r="B180" s="90"/>
      <x:c r="C180" s="96"/>
      <x:c r="D180" s="90"/>
      <x:c r="E180" s="90"/>
      <x:c r="F180" s="95"/>
      <x:c r="G180" s="95"/>
      <x:c r="H180" s="95"/>
      <x:c r="I180" s="95"/>
      <x:c r="J180" s="90"/>
      <x:c r="K180" s="95"/>
      <x:c r="L180" s="95"/>
      <x:c r="M180" s="95"/>
    </x:row>
    <x:row r="181">
      <x:c r="A181" s="90"/>
      <x:c r="B181" s="90"/>
      <x:c r="C181" s="96"/>
      <x:c r="D181" s="90"/>
      <x:c r="E181" s="90"/>
      <x:c r="F181" s="95"/>
      <x:c r="G181" s="95"/>
      <x:c r="H181" s="95"/>
      <x:c r="I181" s="95"/>
      <x:c r="J181" s="90"/>
      <x:c r="K181" s="95"/>
      <x:c r="L181" s="95"/>
      <x:c r="M181" s="95"/>
    </x:row>
    <x:row r="182">
      <x:c r="A182" s="90"/>
      <x:c r="B182" s="90"/>
      <x:c r="C182" s="96"/>
      <x:c r="D182" s="90"/>
      <x:c r="E182" s="90"/>
      <x:c r="F182" s="95"/>
      <x:c r="G182" s="95"/>
      <x:c r="H182" s="95"/>
      <x:c r="I182" s="95"/>
      <x:c r="J182" s="90"/>
      <x:c r="K182" s="95"/>
      <x:c r="L182" s="95"/>
      <x:c r="M182" s="95"/>
    </x:row>
    <x:row r="183">
      <x:c r="A183" s="90"/>
      <x:c r="B183" s="90"/>
      <x:c r="C183" s="96"/>
      <x:c r="D183" s="90"/>
      <x:c r="E183" s="90"/>
      <x:c r="F183" s="95"/>
      <x:c r="G183" s="95"/>
      <x:c r="H183" s="95"/>
      <x:c r="I183" s="95"/>
      <x:c r="J183" s="90"/>
      <x:c r="K183" s="95"/>
      <x:c r="L183" s="95"/>
      <x:c r="M183" s="95"/>
    </x:row>
    <x:row r="184">
      <x:c r="A184" s="90"/>
      <x:c r="B184" s="90"/>
      <x:c r="C184" s="96"/>
      <x:c r="D184" s="90"/>
      <x:c r="E184" s="90"/>
      <x:c r="F184" s="95"/>
      <x:c r="G184" s="95"/>
      <x:c r="H184" s="95"/>
      <x:c r="I184" s="95"/>
      <x:c r="J184" s="90"/>
      <x:c r="K184" s="95"/>
      <x:c r="L184" s="95"/>
      <x:c r="M184" s="95"/>
    </x:row>
    <x:row r="185">
      <x:c r="A185" s="90"/>
      <x:c r="B185" s="90"/>
      <x:c r="C185" s="96"/>
      <x:c r="D185" s="90"/>
      <x:c r="E185" s="90"/>
      <x:c r="F185" s="95"/>
      <x:c r="G185" s="95"/>
      <x:c r="H185" s="95"/>
      <x:c r="I185" s="95"/>
      <x:c r="J185" s="90"/>
      <x:c r="K185" s="95"/>
      <x:c r="L185" s="95"/>
      <x:c r="M185" s="95"/>
    </x:row>
    <x:row r="186">
      <x:c r="A186" s="90"/>
      <x:c r="B186" s="90"/>
      <x:c r="C186" s="96"/>
      <x:c r="D186" s="90"/>
      <x:c r="E186" s="90"/>
      <x:c r="F186" s="95"/>
      <x:c r="G186" s="95"/>
      <x:c r="H186" s="95"/>
      <x:c r="I186" s="95"/>
      <x:c r="J186" s="90"/>
      <x:c r="K186" s="95"/>
      <x:c r="L186" s="95"/>
      <x:c r="M186" s="95"/>
    </x:row>
    <x:row r="187">
      <x:c r="A187" s="90"/>
      <x:c r="B187" s="90"/>
      <x:c r="C187" s="96"/>
      <x:c r="D187" s="90"/>
      <x:c r="E187" s="90"/>
      <x:c r="F187" s="95"/>
      <x:c r="G187" s="95"/>
      <x:c r="H187" s="95"/>
      <x:c r="I187" s="95"/>
      <x:c r="J187" s="90"/>
      <x:c r="K187" s="95"/>
      <x:c r="L187" s="95"/>
      <x:c r="M187" s="95"/>
    </x:row>
    <x:row r="188">
      <x:c r="A188" s="90"/>
      <x:c r="B188" s="90"/>
      <x:c r="C188" s="96"/>
      <x:c r="D188" s="90"/>
      <x:c r="E188" s="90"/>
      <x:c r="F188" s="95"/>
      <x:c r="G188" s="95"/>
      <x:c r="H188" s="95"/>
      <x:c r="I188" s="95"/>
      <x:c r="J188" s="90"/>
      <x:c r="K188" s="95"/>
      <x:c r="L188" s="95"/>
      <x:c r="M188" s="95"/>
    </x:row>
    <x:row r="189">
      <x:c r="A189" s="90"/>
      <x:c r="B189" s="90"/>
      <x:c r="C189" s="96"/>
      <x:c r="D189" s="90"/>
      <x:c r="E189" s="90"/>
      <x:c r="F189" s="95"/>
      <x:c r="G189" s="95"/>
      <x:c r="H189" s="95"/>
      <x:c r="I189" s="95"/>
      <x:c r="J189" s="90"/>
      <x:c r="K189" s="95"/>
      <x:c r="L189" s="95"/>
      <x:c r="M189" s="95"/>
    </x:row>
    <x:row r="190">
      <x:c r="A190" s="90"/>
      <x:c r="B190" s="90"/>
      <x:c r="C190" s="96"/>
      <x:c r="D190" s="90"/>
      <x:c r="E190" s="90"/>
      <x:c r="F190" s="95"/>
      <x:c r="G190" s="95"/>
      <x:c r="H190" s="95"/>
      <x:c r="I190" s="95"/>
      <x:c r="J190" s="90"/>
      <x:c r="K190" s="95"/>
      <x:c r="L190" s="95"/>
      <x:c r="M190" s="95"/>
    </x:row>
    <x:row r="191">
      <x:c r="A191" s="90"/>
      <x:c r="B191" s="90"/>
      <x:c r="C191" s="96"/>
      <x:c r="D191" s="90"/>
      <x:c r="E191" s="90"/>
      <x:c r="F191" s="95"/>
      <x:c r="G191" s="95"/>
      <x:c r="H191" s="95"/>
      <x:c r="I191" s="95"/>
      <x:c r="J191" s="90"/>
      <x:c r="K191" s="95"/>
      <x:c r="L191" s="95"/>
      <x:c r="M191" s="95"/>
    </x:row>
    <x:row r="192">
      <x:c r="A192" s="90"/>
      <x:c r="B192" s="90"/>
      <x:c r="C192" s="96"/>
      <x:c r="D192" s="90"/>
      <x:c r="E192" s="90"/>
      <x:c r="F192" s="95"/>
      <x:c r="G192" s="95"/>
      <x:c r="H192" s="95"/>
      <x:c r="I192" s="95"/>
      <x:c r="J192" s="90"/>
      <x:c r="K192" s="95"/>
      <x:c r="L192" s="95"/>
      <x:c r="M192" s="95"/>
    </x:row>
    <x:row r="193">
      <x:c r="A193" s="90"/>
      <x:c r="B193" s="90"/>
      <x:c r="C193" s="96"/>
      <x:c r="D193" s="90"/>
      <x:c r="E193" s="90"/>
      <x:c r="F193" s="95"/>
      <x:c r="G193" s="95"/>
      <x:c r="H193" s="95"/>
      <x:c r="I193" s="95"/>
      <x:c r="J193" s="90"/>
      <x:c r="K193" s="95"/>
      <x:c r="L193" s="95"/>
      <x:c r="M193" s="95"/>
    </x:row>
    <x:row r="194">
      <x:c r="A194" s="90"/>
      <x:c r="B194" s="90"/>
      <x:c r="C194" s="96"/>
      <x:c r="D194" s="90"/>
      <x:c r="E194" s="90"/>
      <x:c r="F194" s="95"/>
      <x:c r="G194" s="95"/>
      <x:c r="H194" s="95"/>
      <x:c r="I194" s="95"/>
      <x:c r="J194" s="90"/>
      <x:c r="K194" s="95"/>
      <x:c r="L194" s="95"/>
      <x:c r="M194" s="95"/>
    </x:row>
    <x:row r="195">
      <x:c r="A195" s="90"/>
      <x:c r="B195" s="90"/>
      <x:c r="C195" s="96"/>
      <x:c r="D195" s="90"/>
      <x:c r="E195" s="90"/>
      <x:c r="F195" s="95"/>
      <x:c r="G195" s="95"/>
      <x:c r="H195" s="95"/>
      <x:c r="I195" s="95"/>
      <x:c r="J195" s="90"/>
      <x:c r="K195" s="95"/>
      <x:c r="L195" s="95"/>
      <x:c r="M195" s="95"/>
    </x:row>
    <x:row r="196">
      <x:c r="A196" s="90"/>
      <x:c r="B196" s="90"/>
      <x:c r="C196" s="96"/>
      <x:c r="D196" s="90"/>
      <x:c r="E196" s="90"/>
      <x:c r="F196" s="95"/>
      <x:c r="G196" s="95"/>
      <x:c r="H196" s="95"/>
      <x:c r="I196" s="95"/>
      <x:c r="J196" s="90"/>
      <x:c r="K196" s="95"/>
      <x:c r="L196" s="95"/>
      <x:c r="M196" s="95"/>
    </x:row>
    <x:row r="197">
      <x:c r="A197" s="90"/>
      <x:c r="B197" s="90"/>
      <x:c r="C197" s="96"/>
      <x:c r="D197" s="90"/>
      <x:c r="E197" s="90"/>
      <x:c r="F197" s="95"/>
      <x:c r="G197" s="95"/>
      <x:c r="H197" s="95"/>
      <x:c r="I197" s="95"/>
      <x:c r="J197" s="90"/>
      <x:c r="K197" s="95"/>
      <x:c r="L197" s="95"/>
      <x:c r="M197" s="95"/>
    </x:row>
    <x:row r="198">
      <x:c r="A198" s="90"/>
      <x:c r="B198" s="90"/>
      <x:c r="C198" s="96"/>
      <x:c r="D198" s="90"/>
      <x:c r="E198" s="90"/>
      <x:c r="F198" s="95"/>
      <x:c r="G198" s="95"/>
      <x:c r="H198" s="95"/>
      <x:c r="I198" s="95"/>
      <x:c r="J198" s="90"/>
      <x:c r="K198" s="95"/>
      <x:c r="L198" s="95"/>
      <x:c r="M198" s="95"/>
    </x:row>
    <x:row r="199">
      <x:c r="A199" s="90"/>
      <x:c r="B199" s="90"/>
      <x:c r="C199" s="96"/>
      <x:c r="D199" s="90"/>
      <x:c r="E199" s="90"/>
      <x:c r="F199" s="95"/>
      <x:c r="G199" s="95"/>
      <x:c r="H199" s="95"/>
      <x:c r="I199" s="95"/>
      <x:c r="J199" s="90"/>
      <x:c r="K199" s="95"/>
      <x:c r="L199" s="95"/>
      <x:c r="M199" s="95"/>
    </x:row>
    <x:row r="200">
      <x:c r="A200" s="90"/>
      <x:c r="B200" s="90"/>
      <x:c r="C200" s="96"/>
      <x:c r="D200" s="90"/>
      <x:c r="E200" s="90"/>
      <x:c r="F200" s="95"/>
      <x:c r="G200" s="95"/>
      <x:c r="H200" s="95"/>
      <x:c r="I200" s="95"/>
      <x:c r="J200" s="90"/>
      <x:c r="K200" s="95"/>
      <x:c r="L200" s="95"/>
      <x:c r="M200" s="95"/>
    </x:row>
  </x:sheetData>
  <x:mergeCells>
    <x:mergeCell ref="A1:M1"/>
    <x:mergeCell ref="A2:M2"/>
  </x:mergeCells>
  <x:conditionalFormatting sqref="J5:J200">
    <x:cfRule type="containsText" dxfId="8" priority="1" operator="containsText" text="Pass"/>
    <x:cfRule type="containsText" dxfId="9" priority="2" operator="containsText" text="Fail"/>
    <x:cfRule type="containsText" dxfId="10" priority="3" operator="containsText" text="Blocked"/>
  </x:conditionalFormatting>
  <x:dataValidations count="1">
    <x:dataValidation type="list" sqref="J5:J200">
      <x:formula1>"Not Run,Pass,Fail,Partial,Blocked"</x:formula1>
    </x:dataValidation>
  </x:dataValidations>
  <x:pageMargins left="0.7" right="0.7" top="0.75" bottom="0.75" header="0.3" footer="0.3"/>
  <x:tableParts count="1">
    <x:tablePart xmlns:r="http://schemas.openxmlformats.org/officeDocument/2006/relationships" r:id="Rd49154b8aeed41bd"/>
  </x:tableParts>
</x:worksheet>
</file>