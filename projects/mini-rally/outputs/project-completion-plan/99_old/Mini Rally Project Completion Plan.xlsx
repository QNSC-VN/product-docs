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d33f8bcde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dd1525818a425d"/>
    <x:sheet xmlns:r="http://schemas.openxmlformats.org/officeDocument/2006/relationships" name="Assumptions" sheetId="2" r:id="Rfd62403570624d00"/>
    <x:sheet xmlns:r="http://schemas.openxmlformats.org/officeDocument/2006/relationships" name="Phase Roadmap" sheetId="3" r:id="R3ea7758a3d474150"/>
    <x:sheet xmlns:r="http://schemas.openxmlformats.org/officeDocument/2006/relationships" name="Build Tasks" sheetId="4" r:id="R4c9581e6f2984eb4"/>
    <x:sheet xmlns:r="http://schemas.openxmlformats.org/officeDocument/2006/relationships" name="Jul 10 Milestone" sheetId="5" r:id="Rf88723fc15544d30"/>
    <x:sheet xmlns:r="http://schemas.openxmlformats.org/officeDocument/2006/relationships" name="Capacity Plan" sheetId="6" r:id="R6ffef8853a804919"/>
    <x:sheet xmlns:r="http://schemas.openxmlformats.org/officeDocument/2006/relationships" name="Risks &amp; Decisions" sheetId="7" r:id="R0a18dd3ddc2f441c"/>
    <x:sheet xmlns:r="http://schemas.openxmlformats.org/officeDocument/2006/relationships" name="Source Notes" sheetId="8" r:id="R007f8118817c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3"/>
      <x:color rgb="FF173B6D"/>
      <x:name val="Carlito"/>
    </x:font>
    <x:font>
      <x:b/>
      <x:sz val="11"/>
      <x:color rgb="FF64748B"/>
      <x:name val="Carlito"/>
    </x:font>
    <x:font>
      <x:b/>
      <x:sz val="22"/>
      <x:color rgb="FF173B6D"/>
      <x:name val="Carlito"/>
    </x:font>
    <x:font>
      <x:b/>
      <x:sz val="11"/>
      <x:color rgb="FF173B6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B6D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7" xfId="0" applyNumberFormat="1" applyFont="1" applyFill="1" applyBorder="1" applyAlignment="1">
      <x:alignment wrapText="1"/>
    </x:xf>
    <x:xf numFmtId="0" fontId="6" fillId="9" borderId="2" xfId="0" applyNumberFormat="1" applyFont="1" applyFill="1" applyBorder="1" applyAlignment="1">
      <x:alignment wrapText="1"/>
    </x:xf>
    <x:xf numFmtId="201" fontId="0" fillId="9" borderId="4" xfId="0" applyNumberFormat="1" applyFont="1" applyFill="1" applyBorder="1" applyAlignment="1">
      <x:alignment wrapText="1"/>
    </x:xf>
    <x:xf numFmtId="201" fontId="7" fillId="9" borderId="4" xfId="0" applyNumberFormat="1" applyFont="1" applyFill="1" applyBorder="1" applyAlignment="1">
      <x:alignment wrapText="1"/>
    </x:xf>
    <x:xf numFmtId="201" fontId="7" fillId="9" borderId="4" xfId="0" applyNumberFormat="1" applyFont="1" applyFill="1" applyBorder="1" applyAlignment="1">
      <x:alignment horizontal="center" wrapText="1"/>
    </x:xf>
    <x:xf numFmtId="201" fontId="7" fillId="9" borderId="4" xfId="0" applyNumberFormat="1" applyFont="1" applyFill="1" applyBorder="1" applyAlignment="1">
      <x:alignment horizontal="center" vertical="center" wrapText="1"/>
    </x:xf>
    <x:xf numFmtId="203" fontId="0" fillId="9" borderId="4" xfId="0" applyNumberFormat="1" applyFont="1" applyFill="1" applyBorder="1" applyAlignment="1">
      <x:alignment wrapText="1"/>
    </x:xf>
    <x:xf numFmtId="203" fontId="7" fillId="9" borderId="4" xfId="0" applyNumberFormat="1" applyFont="1" applyFill="1" applyBorder="1" applyAlignment="1">
      <x:alignment wrapText="1"/>
    </x:xf>
    <x:xf numFmtId="203" fontId="7" fillId="9" borderId="4" xfId="0" applyNumberFormat="1" applyFont="1" applyFill="1" applyBorder="1" applyAlignment="1">
      <x:alignment horizontal="center" wrapText="1"/>
    </x:xf>
    <x:xf numFmtId="203" fontId="7" fillId="9" borderId="4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7bbac1e704086" /><Relationship Type="http://schemas.openxmlformats.org/officeDocument/2006/relationships/theme" Target="/xl/theme/theme1.xml" Id="R6321a4092ff84553" /><Relationship Type="http://schemas.openxmlformats.org/officeDocument/2006/relationships/sharedStrings" Target="/xl/sharedStrings.xml" Id="R79f4bb1f64f84aaf" /><Relationship Type="http://schemas.openxmlformats.org/officeDocument/2006/relationships/worksheet" Target="/xl/worksheets/sheet1.xml" Id="Rf0dd1525818a425d" /><Relationship Type="http://schemas.openxmlformats.org/officeDocument/2006/relationships/worksheet" Target="/xl/worksheets/sheet2.xml" Id="Rfd62403570624d00" /><Relationship Type="http://schemas.openxmlformats.org/officeDocument/2006/relationships/worksheet" Target="/xl/worksheets/sheet3.xml" Id="R3ea7758a3d474150" /><Relationship Type="http://schemas.openxmlformats.org/officeDocument/2006/relationships/worksheet" Target="/xl/worksheets/sheet4.xml" Id="R4c9581e6f2984eb4" /><Relationship Type="http://schemas.openxmlformats.org/officeDocument/2006/relationships/worksheet" Target="/xl/worksheets/sheet5.xml" Id="Rf88723fc15544d30" /><Relationship Type="http://schemas.openxmlformats.org/officeDocument/2006/relationships/worksheet" Target="/xl/worksheets/sheet6.xml" Id="R6ffef8853a804919" /><Relationship Type="http://schemas.openxmlformats.org/officeDocument/2006/relationships/worksheet" Target="/xl/worksheets/sheet7.xml" Id="R0a18dd3ddc2f441c" /><Relationship Type="http://schemas.openxmlformats.org/officeDocument/2006/relationships/worksheet" Target="/xl/worksheets/sheet8.xml" Id="R007f8118817c4fd1" /></Relationships>
</file>

<file path=xl/tables/table1.xml><?xml version="1.0" encoding="utf-8"?>
<x:table xmlns:x="http://schemas.openxmlformats.org/spreadsheetml/2006/main" id="1" name="PhaseRoadmapTable" displayName="PhaseRoadmapTable" ref="A4:O13" headerRowCount="1" totalsRowCount="0" totalsRowShown="0">
  <x:autoFilter ref="A4:O13"/>
  <x:tableColumns count="15">
    <x:tableColumn id="1" name="Phase"/>
    <x:tableColumn id="2" name="Theme"/>
    <x:tableColumn id="3" name="BA Status"/>
    <x:tableColumn id="4" name="Dev Status"/>
    <x:tableColumn id="5" name="Primary Owner"/>
    <x:tableColumn id="6" name="Dev Estimate h"/>
    <x:tableColumn id="7" name="BA Estimate h"/>
    <x:tableColumn id="8" name="Priority"/>
    <x:tableColumn id="9" name="Confidence"/>
    <x:tableColumn id="10" name="Build Scope"/>
    <x:tableColumn id="11" name="Dependency"/>
    <x:tableColumn id="12" name="Notes"/>
    <x:tableColumn id="13" name="Tracker Status"/>
    <x:tableColumn id="14" name="Dev Days Base"/>
    <x:tableColumn id="15" name="Forecast E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ildTasksTable" displayName="BuildTasksTable" ref="A4:Q32" headerRowCount="1" totalsRowCount="0" totalsRowShown="0">
  <x:autoFilter ref="A4:Q32"/>
  <x:tableColumns count="17">
    <x:tableColumn id="1" name="ID"/>
    <x:tableColumn id="2" name="Phase"/>
    <x:tableColumn id="3" name="Workstream"/>
    <x:tableColumn id="4" name="Capability"/>
    <x:tableColumn id="5" name="Build Detail"/>
    <x:tableColumn id="6" name="BA Status"/>
    <x:tableColumn id="7" name="Dev Status"/>
    <x:tableColumn id="8" name="Dev Owner"/>
    <x:tableColumn id="9" name="BA Owner"/>
    <x:tableColumn id="10" name="Priority"/>
    <x:tableColumn id="11" name="Estimate h"/>
    <x:tableColumn id="12" name="Confidence"/>
    <x:tableColumn id="13" name="Dependency"/>
    <x:tableColumn id="14" name="Release Target"/>
    <x:tableColumn id="15" name="Target Date"/>
    <x:tableColumn id="16" name="Remaining h"/>
    <x:tableColumn id="17" name="Progr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ul10MilestoneTable" displayName="Jul10MilestoneTable" ref="A4:K11" headerRowCount="1" totalsRowCount="0" totalsRowShown="0">
  <x:autoFilter ref="A4:K11"/>
  <x:tableColumns count="11">
    <x:tableColumn id="1" name="ID"/>
    <x:tableColumn id="2" name="Required Capability"/>
    <x:tableColumn id="3" name="Acceptance Meaning"/>
    <x:tableColumn id="4" name="Phase"/>
    <x:tableColumn id="5" name="Linked Task"/>
    <x:tableColumn id="6" name="Owner"/>
    <x:tableColumn id="7" name="Priority"/>
    <x:tableColumn id="8" name="Status"/>
    <x:tableColumn id="9" name="Estimate h"/>
    <x:tableColumn id="10" name="Confidence"/>
    <x:tableColumn id="11" name="Ready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cityPlanTable" displayName="CapacityPlanTable" ref="A4:L7" headerRowCount="1" totalsRowCount="0" totalsRowShown="0">
  <x:autoFilter ref="A4:L7"/>
  <x:tableColumns count="12">
    <x:tableColumn id="1" name="Scenario"/>
    <x:tableColumn id="2" name="Dev Count"/>
    <x:tableColumn id="3" name="Dev h / Day"/>
    <x:tableColumn id="4" name="Dev Capacity / Day"/>
    <x:tableColumn id="5" name="BA Count"/>
    <x:tableColumn id="6" name="BA h / Day"/>
    <x:tableColumn id="7" name="Buffer %"/>
    <x:tableColumn id="8" name="Notes"/>
    <x:tableColumn id="9" name="MVP Dev h"/>
    <x:tableColumn id="10" name="Buffered h"/>
    <x:tableColumn id="11" name="Working Days"/>
    <x:tableColumn id="12" name="Forecast 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DecisionsTable" displayName="RisksDecisionsTable" ref="A4:G10" headerRowCount="1" totalsRowCount="0" totalsRowShown="0">
  <x:autoFilter ref="A4:G10"/>
  <x:tableColumns count="7">
    <x:tableColumn id="1" name="ID"/>
    <x:tableColumn id="2" name="Risk / Decision"/>
    <x:tableColumn id="3" name="Phase"/>
    <x:tableColumn id="4" name="Impact"/>
    <x:tableColumn id="5" name="Mitigation / Decision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NotesTable" displayName="SourceNotesTable" ref="A4:C10" headerRowCount="1" totalsRowCount="0" totalsRowShown="0">
  <x:autoFilter ref="A4:C10"/>
  <x:tableColumns count="3">
    <x:tableColumn id="1" name="Source"/>
    <x:tableColumn id="2" name="Used For"/>
    <x:tableColumn id="3" name="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f94bb663b3c4b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7ed7ff127004a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36dd454093045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320588d974d40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a42baca03154e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83b55d6a0bd45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58" hidden="0" customWidth="1"/>
    <x:col min="7" max="7" width="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3" t="str">
        <x:v>Mini Rally Project Completion Dashboard</x:v>
      </x:c>
    </x:row>
    <x:row r="2" ht="24" customHeight="1">
      <x:c r="A2" s="6" t="str">
        <x:v>BA/Dev progress tracker for MVP through Phase 5. Current mandatory checkpoint: 2026-07-10.</x:v>
      </x:c>
    </x:row>
    <x:row r="4">
      <x:c r="A4" s="32" t="str">
        <x:v>Executive Summary</x:v>
      </x:c>
    </x:row>
    <x:row r="6">
      <x:c r="A6" s="46" t="str">
        <x:v>BA scope done
Phase docs/mockup completion</x:v>
      </x:c>
      <x:c r="B6" s="41"/>
      <x:c r="D6" s="46" t="str">
        <x:v>Dev completion
Production task completion</x:v>
      </x:c>
      <x:c r="E6" s="41"/>
      <x:c r="G6" s="46" t="str">
        <x:v>Jul 10 ready
Hard milestone progress</x:v>
      </x:c>
      <x:c r="H6" s="41"/>
      <x:c r="I6" s="46" t="str">
        <x:v>Open risks
Risks needing attention</x:v>
      </x:c>
      <x:c r="J6" s="41"/>
    </x:row>
    <x:row r="7">
      <x:c r="A7" s="42"/>
      <x:c r="B7" s="43"/>
      <x:c r="D7" s="42"/>
      <x:c r="E7" s="43"/>
      <x:c r="G7" s="42"/>
      <x:c r="H7" s="43"/>
      <x:c r="I7" s="42"/>
      <x:c r="J7" s="43"/>
    </x:row>
    <x:row r="8">
      <x:c r="A8" s="50" t="n">
        <x:f>COUNTIF('Phase Roadmap'!C5:C13,"Done")/COUNTA('Phase Roadmap'!C5:C13)</x:f>
        <x:v>0.3333333333333333</x:v>
      </x:c>
      <x:c r="B8" s="43"/>
      <x:c r="D8" s="50" t="n">
        <x:f>COUNTIF('Build Tasks'!G5:G33,"Done")/COUNTA('Build Tasks'!G5:G33)</x:f>
        <x:v>0</x:v>
      </x:c>
      <x:c r="E8" s="43"/>
      <x:c r="G8" s="50" t="n">
        <x:f>COUNTIF('Jul 10 Milestone'!H5:H11,"Done")/COUNTA('Jul 10 Milestone'!H5:H11)</x:f>
        <x:v>0</x:v>
      </x:c>
      <x:c r="H8" s="43"/>
      <x:c r="I8" s="54" t="n">
        <x:f>COUNTIF('Risks &amp; Decisions'!G5:G10,"Open Risk")</x:f>
        <x:v>5</x:v>
      </x:c>
      <x:c r="J8" s="43"/>
    </x:row>
    <x:row r="9">
      <x:c r="A9" s="44"/>
      <x:c r="B9" s="45"/>
      <x:c r="D9" s="44"/>
      <x:c r="E9" s="45"/>
      <x:c r="G9" s="44"/>
      <x:c r="H9" s="45"/>
      <x:c r="I9" s="44"/>
      <x:c r="J9" s="45"/>
    </x:row>
    <x:row r="12">
      <x:c r="A12" s="7" t="str">
        <x:v>Release Forecast</x:v>
      </x:c>
    </x:row>
    <x:row r="13">
      <x:c r="A13" s="59" t="str">
        <x:v>Scenario</x:v>
      </x:c>
      <x:c r="B13" s="59" t="str">
        <x:v>Dev h/day</x:v>
      </x:c>
      <x:c r="C13" s="59" t="str">
        <x:v>Buffered Dev h</x:v>
      </x:c>
      <x:c r="D13" s="59" t="str">
        <x:v>Working days</x:v>
      </x:c>
      <x:c r="E13" s="59" t="str">
        <x:v>Forecast End</x:v>
      </x:c>
      <x:c r="F13" s="59" t="str">
        <x:v>Interpretation</x:v>
      </x:c>
      <x:c r="G13" t="str"/>
      <x:c r="H13" t="str"/>
      <x:c r="I13" t="str"/>
      <x:c r="J13" t="str"/>
    </x:row>
    <x:row r="14">
      <x:c r="A14" s="11" t="str">
        <x:v>Conservative</x:v>
      </x:c>
      <x:c r="B14" s="11" t="n">
        <x:f>'Capacity Plan'!D5</x:f>
        <x:v>8</x:v>
      </x:c>
      <x:c r="C14" s="23" t="n">
        <x:f>'Capacity Plan'!J5</x:f>
        <x:v>226.79999999999998</x:v>
      </x:c>
      <x:c r="D14" s="23" t="n">
        <x:f>'Capacity Plan'!K5</x:f>
        <x:v>29</x:v>
      </x:c>
      <x:c r="E14" s="12" t="n">
        <x:f>'Capacity Plan'!L5</x:f>
        <x:v>46251</x:v>
      </x:c>
      <x:c r="F14" s="11" t="str">
        <x:v>Use this when evening workload is heavy.</x:v>
      </x:c>
      <x:c r="G14" t="str"/>
      <x:c r="H14" t="str"/>
      <x:c r="I14" t="str"/>
      <x:c r="J14" t="str"/>
    </x:row>
    <x:row r="15">
      <x:c r="A15" s="11" t="str">
        <x:v>Base</x:v>
      </x:c>
      <x:c r="B15" s="11" t="n">
        <x:f>'Capacity Plan'!D6</x:f>
        <x:v>10</x:v>
      </x:c>
      <x:c r="C15" s="23" t="n">
        <x:f>'Capacity Plan'!J6</x:f>
        <x:v>226.79999999999998</x:v>
      </x:c>
      <x:c r="D15" s="23" t="n">
        <x:f>'Capacity Plan'!K6</x:f>
        <x:v>23</x:v>
      </x:c>
      <x:c r="E15" s="12" t="n">
        <x:f>'Capacity Plan'!L6</x:f>
        <x:v>46241</x:v>
      </x:c>
      <x:c r="F15" s="11" t="str">
        <x:v>Default plan for tracking.</x:v>
      </x:c>
      <x:c r="G15" t="str"/>
      <x:c r="H15" t="str"/>
      <x:c r="I15" t="str"/>
      <x:c r="J15" t="str"/>
    </x:row>
    <x:row r="16">
      <x:c r="A16" s="11" t="str">
        <x:v>Optimistic</x:v>
      </x:c>
      <x:c r="B16" s="11" t="n">
        <x:f>'Capacity Plan'!D7</x:f>
        <x:v>12</x:v>
      </x:c>
      <x:c r="C16" s="23" t="n">
        <x:f>'Capacity Plan'!J7</x:f>
        <x:v>217.35</x:v>
      </x:c>
      <x:c r="D16" s="23" t="n">
        <x:f>'Capacity Plan'!K7</x:f>
        <x:v>19</x:v>
      </x:c>
      <x:c r="E16" s="12" t="n">
        <x:f>'Capacity Plan'!L7</x:f>
        <x:v>46237</x:v>
      </x:c>
      <x:c r="F16" s="11" t="str">
        <x:v>Use only if both devs can sustain 6h/night.</x:v>
      </x:c>
      <x:c r="G16" t="str"/>
      <x:c r="H16" t="str"/>
      <x:c r="I16" t="str"/>
      <x:c r="J16" t="str"/>
    </x:row>
    <x:row r="17">
      <x:c r="A17" s="11" t="str">
        <x:v>Jul 10 Required Scope</x:v>
      </x:c>
      <x:c r="B17" s="11" t="str"/>
      <x:c r="C17" s="23" t="n">
        <x:f>SUM('Jul 10 Milestone'!I5:I11)</x:f>
        <x:v>44</x:v>
      </x:c>
      <x:c r="D17" s="23" t="n">
        <x:f>CEILING(C17/'Capacity Plan'!D6,1)</x:f>
        <x:v>5</x:v>
      </x:c>
      <x:c r="E17" s="12" t="n">
        <x:f>'Assumptions'!B6</x:f>
        <x:v>46213</x:v>
      </x:c>
      <x:c r="F17" s="11" t="str">
        <x:v>Project, Team, Backlog, Timebox, Iteration Status, Milestone, Release.</x:v>
      </x:c>
      <x:c r="G17" t="str"/>
      <x:c r="H17" t="str"/>
      <x:c r="I17" t="str"/>
      <x:c r="J17" t="str"/>
    </x:row>
    <x:row r="18">
      <x:c r="A18" s="11" t="str">
        <x:v>Immediate next action</x:v>
      </x:c>
      <x:c r="B18" s="11" t="str"/>
      <x:c r="C18" s="11" t="str"/>
      <x:c r="D18" s="11" t="str"/>
      <x:c r="E18" s="11" t="str"/>
      <x:c r="F18" s="11" t="str">
        <x:v>Start with Manage Project/Team and Backlog create, then Timebox and Iteration Status.</x:v>
      </x:c>
      <x:c r="G18" t="str"/>
      <x:c r="H18" t="str"/>
      <x:c r="I18" t="str"/>
      <x:c r="J18" t="str"/>
    </x:row>
    <x:row r="21">
      <x:c r="A21" s="7" t="str">
        <x:v>Current Phase Status</x:v>
      </x:c>
    </x:row>
    <x:row r="22">
      <x:c r="A22" s="59" t="str">
        <x:v>Phase</x:v>
      </x:c>
      <x:c r="B22" s="59" t="str">
        <x:v>BA Status</x:v>
      </x:c>
      <x:c r="C22" s="59" t="str">
        <x:v>Dev Status</x:v>
      </x:c>
      <x:c r="D22" s="59" t="str">
        <x:v>Estimate h</x:v>
      </x:c>
      <x:c r="E22" s="59" t="str">
        <x:v>Tracker Status</x:v>
      </x:c>
      <x:c r="F22" s="59" t="str">
        <x:v>Next Action</x:v>
      </x:c>
    </x:row>
    <x:row r="23">
      <x:c r="A23" s="11" t="str">
        <x:v>Phase 0</x:v>
      </x:c>
      <x:c r="B23" s="11" t="str">
        <x:f>'Phase Roadmap'!C5</x:f>
        <x:v>BA Accepted</x:v>
      </x:c>
      <x:c r="C23" s="11" t="str">
        <x:f>'Phase Roadmap'!D5</x:f>
        <x:v>Not Started</x:v>
      </x:c>
      <x:c r="D23" s="23" t="n">
        <x:f>'Phase Roadmap'!F5</x:f>
        <x:v>12</x:v>
      </x:c>
      <x:c r="E23" s="11" t="str">
        <x:f>'Phase Roadmap'!M5</x:f>
        <x:v>In Progress</x:v>
      </x:c>
      <x:c r="F23" s="11" t="str">
        <x:v>Verify architecture baseline.</x:v>
      </x:c>
    </x:row>
    <x:row r="24">
      <x:c r="A24" s="11" t="str">
        <x:v>Phase 1</x:v>
      </x:c>
      <x:c r="B24" s="11" t="str">
        <x:f>'Phase Roadmap'!C6</x:f>
        <x:v>Ready for Dev</x:v>
      </x:c>
      <x:c r="C24" s="11" t="str">
        <x:f>'Phase Roadmap'!D6</x:f>
        <x:v>Not Started</x:v>
      </x:c>
      <x:c r="D24" s="23" t="n">
        <x:f>'Phase Roadmap'!F6</x:f>
        <x:v>16</x:v>
      </x:c>
      <x:c r="E24" s="11" t="str">
        <x:f>'Phase Roadmap'!M6</x:f>
        <x:v>Ready for Dev</x:v>
      </x:c>
      <x:c r="F24" s="11" t="str">
        <x:v>Build Manage + Backlog foundations.</x:v>
      </x:c>
    </x:row>
    <x:row r="25">
      <x:c r="A25" s="11" t="str">
        <x:v>Phase 2.1</x:v>
      </x:c>
      <x:c r="B25" s="11" t="str">
        <x:f>'Phase Roadmap'!C7</x:f>
        <x:v>Done</x:v>
      </x:c>
      <x:c r="C25" s="11" t="str">
        <x:f>'Phase Roadmap'!D7</x:f>
        <x:v>Not Started</x:v>
      </x:c>
      <x:c r="D25" s="23" t="n">
        <x:f>'Phase Roadmap'!F7</x:f>
        <x:v>9</x:v>
      </x:c>
      <x:c r="E25" s="11" t="str">
        <x:f>'Phase Roadmap'!M7</x:f>
        <x:v>Ready for Dev</x:v>
      </x:c>
      <x:c r="F25" s="11" t="str">
        <x:v>Build enhanced Backlog.</x:v>
      </x:c>
    </x:row>
    <x:row r="26">
      <x:c r="A26" s="11" t="str">
        <x:v>Phase 2.2</x:v>
      </x:c>
      <x:c r="B26" s="11" t="str">
        <x:f>'Phase Roadmap'!C8</x:f>
        <x:v>Done</x:v>
      </x:c>
      <x:c r="C26" s="11" t="str">
        <x:f>'Phase Roadmap'!D8</x:f>
        <x:v>Not Started</x:v>
      </x:c>
      <x:c r="D26" s="23" t="n">
        <x:f>'Phase Roadmap'!F8</x:f>
        <x:v>14</x:v>
      </x:c>
      <x:c r="E26" s="11" t="str">
        <x:f>'Phase Roadmap'!M8</x:f>
        <x:v>Ready for Dev</x:v>
      </x:c>
      <x:c r="F26" s="11" t="str">
        <x:v>Build Iterations/Timeboxes.</x:v>
      </x:c>
    </x:row>
    <x:row r="27">
      <x:c r="A27" s="11" t="str">
        <x:v>Phase 2.3</x:v>
      </x:c>
      <x:c r="B27" s="11" t="str">
        <x:f>'Phase Roadmap'!C9</x:f>
        <x:v>Done</x:v>
      </x:c>
      <x:c r="C27" s="11" t="str">
        <x:f>'Phase Roadmap'!D9</x:f>
        <x:v>Not Started</x:v>
      </x:c>
      <x:c r="D27" s="23" t="n">
        <x:f>'Phase Roadmap'!F9</x:f>
        <x:v>14</x:v>
      </x:c>
      <x:c r="E27" s="11" t="str">
        <x:f>'Phase Roadmap'!M9</x:f>
        <x:v>Ready for Dev</x:v>
      </x:c>
      <x:c r="F27" s="11" t="str">
        <x:v>Build Iteration Status.</x:v>
      </x:c>
    </x:row>
    <x:row r="28">
      <x:c r="A28" s="11" t="str">
        <x:v>Phase 3</x:v>
      </x:c>
      <x:c r="B28" s="11" t="str">
        <x:f>'Phase Roadmap'!C10</x:f>
        <x:v>Pending BA</x:v>
      </x:c>
      <x:c r="C28" s="11" t="str">
        <x:f>'Phase Roadmap'!D10</x:f>
        <x:v>Not Started</x:v>
      </x:c>
      <x:c r="D28" s="23" t="n">
        <x:f>'Phase Roadmap'!F10</x:f>
        <x:v>64</x:v>
      </x:c>
      <x:c r="E28" s="11" t="str">
        <x:f>'Phase Roadmap'!M10</x:f>
        <x:v>Pending Confirm</x:v>
      </x:c>
      <x:c r="F28" s="11" t="str">
        <x:v>Confirm Release/Milestone + Team Board details.</x:v>
      </x:c>
    </x:row>
    <x:row r="29">
      <x:c r="A29" s="11" t="str">
        <x:v>Phase 4</x:v>
      </x:c>
      <x:c r="B29" s="11" t="str">
        <x:f>'Phase Roadmap'!C11</x:f>
        <x:v>Future</x:v>
      </x:c>
      <x:c r="C29" s="11" t="str">
        <x:f>'Phase Roadmap'!D11</x:f>
        <x:v>Not Started</x:v>
      </x:c>
      <x:c r="D29" s="23" t="n">
        <x:f>'Phase Roadmap'!F11</x:f>
        <x:v>36</x:v>
      </x:c>
      <x:c r="E29" s="11" t="str">
        <x:f>'Phase Roadmap'!M11</x:f>
        <x:v>Future</x:v>
      </x:c>
      <x:c r="F29" s="11" t="str">
        <x:v>Define governance after execution flows.</x:v>
      </x:c>
    </x:row>
    <x:row r="30">
      <x:c r="A30" s="11" t="str">
        <x:v>Phase 5</x:v>
      </x:c>
      <x:c r="B30" s="11" t="str">
        <x:f>'Phase Roadmap'!C12</x:f>
        <x:v>Future</x:v>
      </x:c>
      <x:c r="C30" s="11" t="str">
        <x:f>'Phase Roadmap'!D12</x:f>
        <x:v>Not Started</x:v>
      </x:c>
      <x:c r="D30" s="23" t="n">
        <x:f>'Phase Roadmap'!F12</x:f>
        <x:v>24</x:v>
      </x:c>
      <x:c r="E30" s="11" t="str">
        <x:f>'Phase Roadmap'!M12</x:f>
        <x:v>Future</x:v>
      </x:c>
      <x:c r="F30" s="11" t="str">
        <x:v>Define reporting after data stabilizes.</x:v>
      </x:c>
    </x:row>
    <x:row r="31">
      <x:c r="A31" s="11" t="str">
        <x:v>Post-MVP</x:v>
      </x:c>
      <x:c r="B31" s="11" t="str">
        <x:f>'Phase Roadmap'!C13</x:f>
        <x:v>Future</x:v>
      </x:c>
      <x:c r="C31" s="11" t="str">
        <x:f>'Phase Roadmap'!D13</x:f>
        <x:v>Not Started</x:v>
      </x:c>
      <x:c r="D31" s="23" t="n">
        <x:f>'Phase Roadmap'!F13</x:f>
        <x:v>32</x:v>
      </x:c>
      <x:c r="E31" s="11" t="str">
        <x:f>'Phase Roadmap'!M13</x:f>
        <x:v>Post-MVP</x:v>
      </x:c>
      <x:c r="F31" s="11" t="str">
        <x:v>Portfolio optional after MVP.</x:v>
      </x:c>
    </x:row>
  </x:sheetData>
  <x:mergeCells>
    <x:mergeCell ref="A1:J1"/>
    <x:mergeCell ref="A2:J2"/>
    <x:mergeCell ref="A4:J4"/>
    <x:mergeCell ref="A6:B7"/>
    <x:mergeCell ref="A8:B9"/>
    <x:mergeCell ref="D6:E7"/>
    <x:mergeCell ref="D8:E9"/>
    <x:mergeCell ref="G6:H7"/>
    <x:mergeCell ref="G8:H9"/>
    <x:mergeCell ref="I6:J7"/>
    <x:mergeCell ref="I8:J9"/>
    <x:mergeCell ref="A12:J12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70" hidden="0" customWidth="1"/>
  </x:cols>
  <x:sheetData>
    <x:row r="1" ht="24" customHeight="1">
      <x:c r="A1" s="3" t="str">
        <x:v>Assumptions</x:v>
      </x:c>
    </x:row>
    <x:row r="2" ht="24" customHeight="1">
      <x:c r="A2" s="6" t="str">
        <x:v>Editable planning inputs for the Mini Rally completion workbook.</x:v>
      </x:c>
    </x:row>
    <x:row r="4">
      <x:c r="A4" s="10" t="str">
        <x:v>Input</x:v>
      </x:c>
      <x:c r="B4" s="10" t="str">
        <x:v>Value</x:v>
      </x:c>
      <x:c r="C4" s="10" t="str">
        <x:v>Notes</x:v>
      </x:c>
    </x:row>
    <x:row r="5">
      <x:c r="A5" s="11" t="str">
        <x:v>Start Date</x:v>
      </x:c>
      <x:c r="B5" s="12" t="n">
        <x:v>46210</x:v>
      </x:c>
      <x:c r="C5" s="11" t="str">
        <x:v>Default start date for planning.</x:v>
      </x:c>
    </x:row>
    <x:row r="6">
      <x:c r="A6" s="11" t="str">
        <x:v>Target Jul 10</x:v>
      </x:c>
      <x:c r="B6" s="12" t="n">
        <x:v>46213</x:v>
      </x:c>
      <x:c r="C6" s="11" t="str">
        <x:v>Hard milestone from BA.</x:v>
      </x:c>
    </x:row>
    <x:row r="7">
      <x:c r="A7" s="11" t="str">
        <x:v>Dev Count</x:v>
      </x:c>
      <x:c r="B7" s="11" t="n">
        <x:v>2</x:v>
      </x:c>
      <x:c r="C7" s="11" t="str">
        <x:v>Current project has 2 developers.</x:v>
      </x:c>
    </x:row>
    <x:row r="8">
      <x:c r="A8" s="11" t="str">
        <x:v>BA Count</x:v>
      </x:c>
      <x:c r="B8" s="11" t="n">
        <x:v>1</x:v>
      </x:c>
      <x:c r="C8" s="11" t="str">
        <x:v>Current project has 1 BA.</x:v>
      </x:c>
    </x:row>
    <x:row r="9">
      <x:c r="A9" s="11" t="str">
        <x:v>Conservative Dev Hours / Dev / Day</x:v>
      </x:c>
      <x:c r="B9" s="11" t="n">
        <x:v>4</x:v>
      </x:c>
      <x:c r="C9" s="11" t="str">
        <x:v>Evening work lower bound.</x:v>
      </x:c>
    </x:row>
    <x:row r="10">
      <x:c r="A10" s="11" t="str">
        <x:v>Base Dev Hours / Dev / Day</x:v>
      </x:c>
      <x:c r="B10" s="11" t="n">
        <x:v>5</x:v>
      </x:c>
      <x:c r="C10" s="11" t="str">
        <x:v>Default forecast basis.</x:v>
      </x:c>
    </x:row>
    <x:row r="11">
      <x:c r="A11" s="11" t="str">
        <x:v>Optimistic Dev Hours / Dev / Day</x:v>
      </x:c>
      <x:c r="B11" s="11" t="n">
        <x:v>6</x:v>
      </x:c>
      <x:c r="C11" s="11" t="str">
        <x:v>Evening work upper bound.</x:v>
      </x:c>
    </x:row>
    <x:row r="12">
      <x:c r="A12" s="11" t="str">
        <x:v>Base BA Hours / Day</x:v>
      </x:c>
      <x:c r="B12" s="13" t="n">
        <x:v>3</x:v>
      </x:c>
      <x:c r="C12" s="11" t="str">
        <x:v>Editable default for BA follow-up/spec review.</x:v>
      </x:c>
    </x:row>
    <x:row r="13">
      <x:c r="A13" s="11" t="str">
        <x:v>Buffer %</x:v>
      </x:c>
      <x:c r="B13" s="11" t="n">
        <x:v>0.2</x:v>
      </x:c>
      <x:c r="C13" s="11" t="str">
        <x:v>Applied to forecast estimates.</x:v>
      </x:c>
    </x:row>
    <x:row r="14">
      <x:c r="A14" s="11" t="str">
        <x:v>Working Days / Week</x:v>
      </x:c>
      <x:c r="B14" s="11" t="n">
        <x:v>5</x:v>
      </x:c>
      <x:c r="C14" s="11" t="str">
        <x:v>Weekend excluded by default.</x:v>
      </x:c>
    </x:row>
    <x:row r="15">
      <x:c r="A15" s="11" t="str">
        <x:v>Forecast Scenario</x:v>
      </x:c>
      <x:c r="B15" s="11" t="str">
        <x:v>Base</x:v>
      </x:c>
      <x:c r="C15" s="11" t="str">
        <x:v>Valid values: Conservative, Base, Optimistic.</x:v>
      </x:c>
    </x:row>
  </x:sheetData>
  <x:mergeCells>
    <x:mergeCell ref="A1:F1"/>
    <x:mergeCell ref="A2:F2"/>
  </x:mergeCells>
  <x:dataValidations count="1">
    <x:dataValidation type="list" sqref="B15">
      <x:formula1>"Conservative,Base,Optimistic"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4" hidden="0" customWidth="1"/>
    <x:col min="6" max="6" width="13" hidden="0" customWidth="1"/>
    <x:col min="7" max="7" width="13" hidden="0" customWidth="1"/>
    <x:col min="8" max="8" width="10" hidden="0" customWidth="1"/>
    <x:col min="9" max="9" width="12" hidden="0" customWidth="1"/>
    <x:col min="10" max="10" width="55" hidden="0" customWidth="1"/>
    <x:col min="11" max="11" width="22" hidden="0" customWidth="1"/>
    <x:col min="12" max="12" width="48" hidden="0" customWidth="1"/>
    <x:col min="13" max="13" width="16" hidden="0" customWidth="1"/>
    <x:col min="14" max="14" width="14" hidden="0" customWidth="1"/>
    <x:col min="15" max="15" width="16" hidden="0" customWidth="1"/>
  </x:cols>
  <x:sheetData>
    <x:row r="1" ht="24" customHeight="1">
      <x:c r="A1" s="3" t="str">
        <x:v>Phase Roadmap</x:v>
      </x:c>
    </x:row>
    <x:row r="2" ht="24" customHeight="1">
      <x:c r="A2" s="6" t="str">
        <x:v>Phase-level plan from Foundation to MVP reporting. Portfolio remains Post-MVP.</x:v>
      </x:c>
    </x:row>
    <x:row r="4">
      <x:c r="A4" s="16" t="str">
        <x:v>Phase</x:v>
      </x:c>
      <x:c r="B4" s="16" t="str">
        <x:v>Theme</x:v>
      </x:c>
      <x:c r="C4" s="16" t="str">
        <x:v>BA Status</x:v>
      </x:c>
      <x:c r="D4" s="16" t="str">
        <x:v>Dev Status</x:v>
      </x:c>
      <x:c r="E4" s="16" t="str">
        <x:v>Primary Owner</x:v>
      </x:c>
      <x:c r="F4" s="16" t="str">
        <x:v>Dev Estimate h</x:v>
      </x:c>
      <x:c r="G4" s="16" t="str">
        <x:v>BA Estimate h</x:v>
      </x:c>
      <x:c r="H4" s="16" t="str">
        <x:v>Priority</x:v>
      </x:c>
      <x:c r="I4" s="16" t="str">
        <x:v>Confidence</x:v>
      </x:c>
      <x:c r="J4" s="16" t="str">
        <x:v>Build Scope</x:v>
      </x:c>
      <x:c r="K4" s="16" t="str">
        <x:v>Dependency</x:v>
      </x:c>
      <x:c r="L4" s="16" t="str">
        <x:v>Notes</x:v>
      </x:c>
      <x:c r="M4" s="16" t="str">
        <x:v>Tracker Status</x:v>
      </x:c>
      <x:c r="N4" s="16" t="str">
        <x:v>Dev Days Base</x:v>
      </x:c>
      <x:c r="O4" s="16" t="str">
        <x:v>Forecast End</x:v>
      </x:c>
    </x:row>
    <x:row r="5">
      <x:c r="A5" s="11" t="str">
        <x:v>Phase 0</x:v>
      </x:c>
      <x:c r="B5" s="11" t="str">
        <x:v>Foundation</x:v>
      </x:c>
      <x:c r="C5" s="11" t="str">
        <x:v>BA Accepted</x:v>
      </x:c>
      <x:c r="D5" s="11" t="str">
        <x:v>Not Started</x:v>
      </x:c>
      <x:c r="E5" s="11" t="str">
        <x:v>Dev</x:v>
      </x:c>
      <x:c r="F5" s="23" t="n">
        <x:v>12</x:v>
      </x:c>
      <x:c r="G5" s="23" t="n">
        <x:v>4</x:v>
      </x:c>
      <x:c r="H5" s="11" t="str">
        <x:v>High</x:v>
      </x:c>
      <x:c r="I5" s="11" t="str">
        <x:v>Medium</x:v>
      </x:c>
      <x:c r="J5" s="11" t="str">
        <x:v>Phase 0 old tracking is superseded by newer architecture foundation; keep as baseline and verify architecture alignment.</x:v>
      </x:c>
      <x:c r="K5" s="11" t="str">
        <x:v>None</x:v>
      </x:c>
      <x:c r="L5" s="11" t="str">
        <x:v>Foundation must be stable before Phase 1.</x:v>
      </x:c>
      <x:c r="M5" s="18" t="str">
        <x:v>In Progress</x:v>
      </x:c>
      <x:c r="N5" s="23" t="n">
        <x:f>F5/('Assumptions'!$B$7*'Assumptions'!$B$10)</x:f>
        <x:v>1.2</x:v>
      </x:c>
      <x:c r="O5" s="12" t="n">
        <x:f>WORKDAY('Assumptions'!$B$5,CEILING(SUM($F$5:F5)/('Assumptions'!$B$7*'Assumptions'!$B$10)*(1+'Assumptions'!$B$13),1))</x:f>
        <x:v>46212</x:v>
      </x:c>
    </x:row>
    <x:row r="6">
      <x:c r="A6" s="11" t="str">
        <x:v>Phase 1</x:v>
      </x:c>
      <x:c r="B6" s="11" t="str">
        <x:v>Core Work Management</x:v>
      </x:c>
      <x:c r="C6" s="11" t="str">
        <x:v>Ready for Dev</x:v>
      </x:c>
      <x:c r="D6" s="11" t="str">
        <x:v>Not Started</x:v>
      </x:c>
      <x:c r="E6" s="11" t="str">
        <x:v>Dev + BA</x:v>
      </x:c>
      <x:c r="F6" s="23" t="n">
        <x:v>16</x:v>
      </x:c>
      <x:c r="G6" s="23" t="n">
        <x:v>8</x:v>
      </x:c>
      <x:c r="H6" s="11" t="str">
        <x:v>High</x:v>
      </x:c>
      <x:c r="I6" s="11" t="str">
        <x:v>High</x:v>
      </x:c>
      <x:c r="J6" s="11" t="str">
        <x:v>Manage Projects/Teams/Users, Backlog, Work Item Create/Detail, Task, Time, Content, Activity.</x:v>
      </x:c>
      <x:c r="K6" s="11" t="str">
        <x:v>Phase 0</x:v>
      </x:c>
      <x:c r="L6" s="11" t="str">
        <x:v>Must create Project/Team/User before Backlog and Iteration flows.</x:v>
      </x:c>
      <x:c r="M6" s="20" t="str">
        <x:v>Ready for Dev</x:v>
      </x:c>
      <x:c r="N6" s="23" t="n">
        <x:f>F6/('Assumptions'!$B$7*'Assumptions'!$B$10)</x:f>
        <x:v>1.6</x:v>
      </x:c>
      <x:c r="O6" s="12" t="n">
        <x:f>WORKDAY('Assumptions'!$B$5,CEILING(SUM($F$5:F6)/('Assumptions'!$B$7*'Assumptions'!$B$10)*(1+'Assumptions'!$B$13),1))</x:f>
        <x:v>46216</x:v>
      </x:c>
    </x:row>
    <x:row r="7">
      <x:c r="A7" s="11" t="str">
        <x:v>Phase 2.1</x:v>
      </x:c>
      <x:c r="B7" s="11" t="str">
        <x:v>Backlog Enhancement</x:v>
      </x:c>
      <x:c r="C7" s="11" t="str">
        <x:v>Done</x:v>
      </x:c>
      <x:c r="D7" s="11" t="str">
        <x:v>Not Started</x:v>
      </x:c>
      <x:c r="E7" s="11" t="str">
        <x:v>Dev</x:v>
      </x:c>
      <x:c r="F7" s="23" t="n">
        <x:v>9</x:v>
      </x:c>
      <x:c r="G7" s="23" t="n">
        <x:v>2</x:v>
      </x:c>
      <x:c r="H7" s="11" t="str">
        <x:v>High</x:v>
      </x:c>
      <x:c r="I7" s="11" t="str">
        <x:v>High</x:v>
      </x:c>
      <x:c r="J7" s="11" t="str">
        <x:v>Search, Manage Filters, sort, inline edit, release/iteration assignment, Project/Team context.</x:v>
      </x:c>
      <x:c r="K7" s="11" t="str">
        <x:v>Phase 1 Backlog</x:v>
      </x:c>
      <x:c r="L7" s="11" t="str">
        <x:v>Closed for BA handoff; production not started.</x:v>
      </x:c>
      <x:c r="M7" s="20" t="str">
        <x:v>Ready for Dev</x:v>
      </x:c>
      <x:c r="N7" s="23" t="n">
        <x:f>F7/('Assumptions'!$B$7*'Assumptions'!$B$10)</x:f>
        <x:v>0.9</x:v>
      </x:c>
      <x:c r="O7" s="12" t="n">
        <x:f>WORKDAY('Assumptions'!$B$5,CEILING(SUM($F$5:F7)/('Assumptions'!$B$7*'Assumptions'!$B$10)*(1+'Assumptions'!$B$13),1))</x:f>
        <x:v>46217</x:v>
      </x:c>
    </x:row>
    <x:row r="8">
      <x:c r="A8" s="11" t="str">
        <x:v>Phase 2.2</x:v>
      </x:c>
      <x:c r="B8" s="11" t="str">
        <x:v>Timeboxes / Iterations</x:v>
      </x:c>
      <x:c r="C8" s="11" t="str">
        <x:v>Done</x:v>
      </x:c>
      <x:c r="D8" s="11" t="str">
        <x:v>Not Started</x:v>
      </x:c>
      <x:c r="E8" s="11" t="str">
        <x:v>Dev</x:v>
      </x:c>
      <x:c r="F8" s="23" t="n">
        <x:v>14</x:v>
      </x:c>
      <x:c r="G8" s="23" t="n">
        <x:v>2</x:v>
      </x:c>
      <x:c r="H8" s="11" t="str">
        <x:v>High</x:v>
      </x:c>
      <x:c r="I8" s="11" t="str">
        <x:v>High</x:v>
      </x:c>
      <x:c r="J8" s="11" t="str">
        <x:v>Iteration list/create/detail, Theme/Notes, Project/Team, dates/state/velocity and backlog assignment.</x:v>
      </x:c>
      <x:c r="K8" s="11" t="str">
        <x:v>Phase 1 + P2.1</x:v>
      </x:c>
      <x:c r="L8" s="11" t="str">
        <x:v>Releases/Milestones are Phase 3 except Jul 10 MVP slice.</x:v>
      </x:c>
      <x:c r="M8" s="20" t="str">
        <x:v>Ready for Dev</x:v>
      </x:c>
      <x:c r="N8" s="23" t="n">
        <x:f>F8/('Assumptions'!$B$7*'Assumptions'!$B$10)</x:f>
        <x:v>1.4</x:v>
      </x:c>
      <x:c r="O8" s="12" t="n">
        <x:f>WORKDAY('Assumptions'!$B$5,CEILING(SUM($F$5:F8)/('Assumptions'!$B$7*'Assumptions'!$B$10)*(1+'Assumptions'!$B$13),1))</x:f>
        <x:v>46219</x:v>
      </x:c>
    </x:row>
    <x:row r="9">
      <x:c r="A9" s="11" t="str">
        <x:v>Phase 2.3</x:v>
      </x:c>
      <x:c r="B9" s="11" t="str">
        <x:v>Iteration Status</x:v>
      </x:c>
      <x:c r="C9" s="11" t="str">
        <x:v>Done</x:v>
      </x:c>
      <x:c r="D9" s="11" t="str">
        <x:v>Not Started</x:v>
      </x:c>
      <x:c r="E9" s="11" t="str">
        <x:v>Dev</x:v>
      </x:c>
      <x:c r="F9" s="23" t="n">
        <x:v>14</x:v>
      </x:c>
      <x:c r="G9" s="23" t="n">
        <x:v>2</x:v>
      </x:c>
      <x:c r="H9" s="11" t="str">
        <x:v>High</x:v>
      </x:c>
      <x:c r="I9" s="11" t="str">
        <x:v>High</x:v>
      </x:c>
      <x:c r="J9" s="11" t="str">
        <x:v>Track &gt; Iteration Status reads Timeboxes and Backlog assignment; metrics, Add Item, inline edit, detail integration.</x:v>
      </x:c>
      <x:c r="K9" s="11" t="str">
        <x:v>P2.1 + P2.2</x:v>
      </x:c>
      <x:c r="L9" s="11" t="str">
        <x:v>Team Board/Team Status moved out of Phase 2.</x:v>
      </x:c>
      <x:c r="M9" s="20" t="str">
        <x:v>Ready for Dev</x:v>
      </x:c>
      <x:c r="N9" s="23" t="n">
        <x:f>F9/('Assumptions'!$B$7*'Assumptions'!$B$10)</x:f>
        <x:v>1.4</x:v>
      </x:c>
      <x:c r="O9" s="12" t="n">
        <x:f>WORKDAY('Assumptions'!$B$5,CEILING(SUM($F$5:F9)/('Assumptions'!$B$7*'Assumptions'!$B$10)*(1+'Assumptions'!$B$13),1))</x:f>
        <x:v>46220</x:v>
      </x:c>
    </x:row>
    <x:row r="10">
      <x:c r="A10" s="11" t="str">
        <x:v>Phase 3</x:v>
      </x:c>
      <x:c r="B10" s="11" t="str">
        <x:v>Quality &amp; Delivery</x:v>
      </x:c>
      <x:c r="C10" s="11" t="str">
        <x:v>Pending BA</x:v>
      </x:c>
      <x:c r="D10" s="11" t="str">
        <x:v>Not Started</x:v>
      </x:c>
      <x:c r="E10" s="11" t="str">
        <x:v>BA + Dev</x:v>
      </x:c>
      <x:c r="F10" s="23" t="n">
        <x:v>64</x:v>
      </x:c>
      <x:c r="G10" s="23" t="n">
        <x:v>14</x:v>
      </x:c>
      <x:c r="H10" s="11" t="str">
        <x:v>High</x:v>
      </x:c>
      <x:c r="I10" s="11" t="str">
        <x:v>Medium</x:v>
      </x:c>
      <x:c r="J10" s="11" t="str">
        <x:v>Team Board, Team Status, Release Management, Milestones, Quality/Defect and board execution.</x:v>
      </x:c>
      <x:c r="K10" s="11" t="str">
        <x:v>Phase 2</x:v>
      </x:c>
      <x:c r="L10" s="11" t="str">
        <x:v>Includes Jul 10 MVP slice for Milestone and Release.</x:v>
      </x:c>
      <x:c r="M10" s="18" t="str">
        <x:v>Pending Confirm</x:v>
      </x:c>
      <x:c r="N10" s="23" t="n">
        <x:f>F10/('Assumptions'!$B$7*'Assumptions'!$B$10)</x:f>
        <x:v>6.4</x:v>
      </x:c>
      <x:c r="O10" s="12" t="n">
        <x:f>WORKDAY('Assumptions'!$B$5,CEILING(SUM($F$5:F10)/('Assumptions'!$B$7*'Assumptions'!$B$10)*(1+'Assumptions'!$B$13),1))</x:f>
        <x:v>46232</x:v>
      </x:c>
    </x:row>
    <x:row r="11">
      <x:c r="A11" s="11" t="str">
        <x:v>Phase 4</x:v>
      </x:c>
      <x:c r="B11" s="11" t="str">
        <x:v>Collaboration &amp; Governance</x:v>
      </x:c>
      <x:c r="C11" s="11" t="str">
        <x:v>Future</x:v>
      </x:c>
      <x:c r="D11" s="11" t="str">
        <x:v>Not Started</x:v>
      </x:c>
      <x:c r="E11" s="11" t="str">
        <x:v>BA + Dev</x:v>
      </x:c>
      <x:c r="F11" s="23" t="n">
        <x:v>36</x:v>
      </x:c>
      <x:c r="G11" s="23" t="n">
        <x:v>8</x:v>
      </x:c>
      <x:c r="H11" s="11" t="str">
        <x:v>Medium</x:v>
      </x:c>
      <x:c r="I11" s="11" t="str">
        <x:v>Low</x:v>
      </x:c>
      <x:c r="J11" s="11" t="str">
        <x:v>Notifications, RBAC, Settings, Audit, permission hardening.</x:v>
      </x:c>
      <x:c r="K11" s="11" t="str">
        <x:v>Phase 1-3</x:v>
      </x:c>
      <x:c r="L11" s="11" t="str">
        <x:v>Define after core workflow is stable.</x:v>
      </x:c>
      <x:c r="M11" s="22" t="str">
        <x:v>Future</x:v>
      </x:c>
      <x:c r="N11" s="23" t="n">
        <x:f>F11/('Assumptions'!$B$7*'Assumptions'!$B$10)</x:f>
        <x:v>3.6</x:v>
      </x:c>
      <x:c r="O11" s="12" t="n">
        <x:f>WORKDAY('Assumptions'!$B$5,CEILING(SUM($F$5:F11)/('Assumptions'!$B$7*'Assumptions'!$B$10)*(1+'Assumptions'!$B$13),1))</x:f>
        <x:v>46238</x:v>
      </x:c>
    </x:row>
    <x:row r="12">
      <x:c r="A12" s="11" t="str">
        <x:v>Phase 5</x:v>
      </x:c>
      <x:c r="B12" s="11" t="str">
        <x:v>Reporting</x:v>
      </x:c>
      <x:c r="C12" s="11" t="str">
        <x:v>Future</x:v>
      </x:c>
      <x:c r="D12" s="11" t="str">
        <x:v>Not Started</x:v>
      </x:c>
      <x:c r="E12" s="11" t="str">
        <x:v>BA + Dev</x:v>
      </x:c>
      <x:c r="F12" s="23" t="n">
        <x:v>24</x:v>
      </x:c>
      <x:c r="G12" s="23" t="n">
        <x:v>6</x:v>
      </x:c>
      <x:c r="H12" s="11" t="str">
        <x:v>Medium</x:v>
      </x:c>
      <x:c r="I12" s="11" t="str">
        <x:v>Low</x:v>
      </x:c>
      <x:c r="J12" s="11" t="str">
        <x:v>Dashboard, Burndown, Velocity, Workload, Release Progress, Exports.</x:v>
      </x:c>
      <x:c r="K12" s="11" t="str">
        <x:v>Phase 1-4 data</x:v>
      </x:c>
      <x:c r="L12" s="11" t="str">
        <x:v>MVP reporting pack after operational data is reliable.</x:v>
      </x:c>
      <x:c r="M12" s="22" t="str">
        <x:v>Future</x:v>
      </x:c>
      <x:c r="N12" s="23" t="n">
        <x:f>F12/('Assumptions'!$B$7*'Assumptions'!$B$10)</x:f>
        <x:v>2.4</x:v>
      </x:c>
      <x:c r="O12" s="12" t="n">
        <x:f>WORKDAY('Assumptions'!$B$5,CEILING(SUM($F$5:F12)/('Assumptions'!$B$7*'Assumptions'!$B$10)*(1+'Assumptions'!$B$13),1))</x:f>
        <x:v>46241</x:v>
      </x:c>
    </x:row>
    <x:row r="13">
      <x:c r="A13" s="11" t="str">
        <x:v>Post-MVP</x:v>
      </x:c>
      <x:c r="B13" s="11" t="str">
        <x:v>Portfolio</x:v>
      </x:c>
      <x:c r="C13" s="11" t="str">
        <x:v>Future</x:v>
      </x:c>
      <x:c r="D13" s="11" t="str">
        <x:v>Not Started</x:v>
      </x:c>
      <x:c r="E13" s="11" t="str">
        <x:v>BA + Dev</x:v>
      </x:c>
      <x:c r="F13" s="23" t="n">
        <x:v>32</x:v>
      </x:c>
      <x:c r="G13" s="23" t="n">
        <x:v>8</x:v>
      </x:c>
      <x:c r="H13" s="11" t="str">
        <x:v>Low</x:v>
      </x:c>
      <x:c r="I13" s="11" t="str">
        <x:v>Low</x:v>
      </x:c>
      <x:c r="J13" s="11" t="str">
        <x:v>Initiative, roadmap, cross-project tracking.</x:v>
      </x:c>
      <x:c r="K13" s="11" t="str">
        <x:v>MVP decision</x:v>
      </x:c>
      <x:c r="L13" s="11" t="str">
        <x:v>Optional; not included in MVP release forecast.</x:v>
      </x:c>
      <x:c r="M13" s="22" t="str">
        <x:v>Post-MVP</x:v>
      </x:c>
      <x:c r="N13" s="23" t="n">
        <x:f>F13/('Assumptions'!$B$7*'Assumptions'!$B$10)</x:f>
        <x:v>3.2</x:v>
      </x:c>
      <x:c r="O13" s="12" t="n">
        <x:f>WORKDAY('Assumptions'!$B$5,CEILING(SUM($F$5:F13)/('Assumptions'!$B$7*'Assumptions'!$B$10)*(1+'Assumptions'!$B$13),1))</x:f>
        <x:v>46247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9f94bb663b3c4b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4" hidden="0" customWidth="1"/>
    <x:col min="5" max="5" width="72" hidden="0" customWidth="1"/>
    <x:col min="6" max="6" width="14" hidden="0" customWidth="1"/>
    <x:col min="7" max="7" width="14" hidden="0" customWidth="1"/>
    <x:col min="8" max="8" width="12" hidden="0" customWidth="1"/>
    <x:col min="9" max="9" width="10" hidden="0" customWidth="1"/>
    <x:col min="10" max="10" width="11" hidden="0" customWidth="1"/>
    <x:col min="11" max="11" width="11" hidden="0" customWidth="1"/>
    <x:col min="12" max="12" width="11" hidden="0" customWidth="1"/>
    <x:col min="13" max="13" width="24" hidden="0" customWidth="1"/>
    <x:col min="14" max="14" width="14" hidden="0" customWidth="1"/>
    <x:col min="15" max="15" width="13" hidden="0" customWidth="1"/>
    <x:col min="16" max="16" width="12" hidden="0" customWidth="1"/>
    <x:col min="17" max="17" width="10" hidden="0" customWidth="1"/>
  </x:cols>
  <x:sheetData>
    <x:row r="1" ht="24" customHeight="1">
      <x:c r="A1" s="3" t="str">
        <x:v>Build Tasks</x:v>
      </x:c>
    </x:row>
    <x:row r="2" ht="24" customHeight="1">
      <x:c r="A2" s="6" t="str">
        <x:v>Detailed build checklist: what each phase needs to build, who owns it, estimate and release target.</x:v>
      </x:c>
    </x:row>
    <x:row r="4">
      <x:c r="A4" s="16" t="str">
        <x:v>ID</x:v>
      </x:c>
      <x:c r="B4" s="16" t="str">
        <x:v>Phase</x:v>
      </x:c>
      <x:c r="C4" s="16" t="str">
        <x:v>Workstream</x:v>
      </x:c>
      <x:c r="D4" s="16" t="str">
        <x:v>Capability</x:v>
      </x:c>
      <x:c r="E4" s="16" t="str">
        <x:v>Build Detail</x:v>
      </x:c>
      <x:c r="F4" s="16" t="str">
        <x:v>BA Status</x:v>
      </x:c>
      <x:c r="G4" s="16" t="str">
        <x:v>Dev Status</x:v>
      </x:c>
      <x:c r="H4" s="16" t="str">
        <x:v>Dev Owner</x:v>
      </x:c>
      <x:c r="I4" s="16" t="str">
        <x:v>BA Owner</x:v>
      </x:c>
      <x:c r="J4" s="16" t="str">
        <x:v>Priority</x:v>
      </x:c>
      <x:c r="K4" s="16" t="str">
        <x:v>Estimate h</x:v>
      </x:c>
      <x:c r="L4" s="16" t="str">
        <x:v>Confidence</x:v>
      </x:c>
      <x:c r="M4" s="16" t="str">
        <x:v>Dependency</x:v>
      </x:c>
      <x:c r="N4" s="16" t="str">
        <x:v>Release Target</x:v>
      </x:c>
      <x:c r="O4" s="16" t="str">
        <x:v>Target Date</x:v>
      </x:c>
      <x:c r="P4" s="16" t="str">
        <x:v>Remaining h</x:v>
      </x:c>
      <x:c r="Q4" s="16" t="str">
        <x:v>Progress</x:v>
      </x:c>
    </x:row>
    <x:row r="5">
      <x:c r="A5" s="11" t="str">
        <x:v>P0-01</x:v>
      </x:c>
      <x:c r="B5" s="11" t="str">
        <x:v>Phase 0</x:v>
      </x:c>
      <x:c r="C5" s="11" t="str">
        <x:v>Foundation</x:v>
      </x:c>
      <x:c r="D5" s="11" t="str">
        <x:v>DB/Auth baseline</x:v>
      </x:c>
      <x:c r="E5" s="11" t="str">
        <x:v>Verify migrations, fixed company, admin seed, auth/session and project/team context API are production-ready.</x:v>
      </x:c>
      <x:c r="F5" s="11" t="str">
        <x:v>BA Accepted</x:v>
      </x:c>
      <x:c r="G5" s="25" t="str">
        <x:v>Not Started</x:v>
      </x:c>
      <x:c r="H5" s="11" t="str">
        <x:v>Dev 1</x:v>
      </x:c>
      <x:c r="I5" s="11" t="str">
        <x:v>BA</x:v>
      </x:c>
      <x:c r="J5" s="11" t="str">
        <x:v>High</x:v>
      </x:c>
      <x:c r="K5" s="23" t="n">
        <x:v>5</x:v>
      </x:c>
      <x:c r="L5" s="11" t="str">
        <x:v>High</x:v>
      </x:c>
      <x:c r="M5" s="11" t="str">
        <x:v>None</x:v>
      </x:c>
      <x:c r="N5" s="11" t="str">
        <x:v>MVP</x:v>
      </x:c>
      <x:c r="O5" s="12" t="str">
        <x:v>2026-07-08</x:v>
      </x:c>
      <x:c r="P5" s="23" t="n">
        <x:f>IF(G5="Done",0,K5)</x:f>
        <x:v>5</x:v>
      </x:c>
      <x:c r="Q5" s="13" t="n">
        <x:f>IF(G5="Done",1,IF(G5="In Progress",0.5,0))</x:f>
        <x:v>0</x:v>
      </x:c>
    </x:row>
    <x:row r="6">
      <x:c r="A6" s="11" t="str">
        <x:v>P0-02</x:v>
      </x:c>
      <x:c r="B6" s="11" t="str">
        <x:v>Phase 0</x:v>
      </x:c>
      <x:c r="C6" s="11" t="str">
        <x:v>Foundation</x:v>
      </x:c>
      <x:c r="D6" s="11" t="str">
        <x:v>App shell and context</x:v>
      </x:c>
      <x:c r="E6" s="11" t="str">
        <x:v>Wire protected routes, navigation, breadcrumb, context selector and access/error states.</x:v>
      </x:c>
      <x:c r="F6" s="11" t="str">
        <x:v>BA Accepted</x:v>
      </x:c>
      <x:c r="G6" s="25" t="str">
        <x:v>Not Started</x:v>
      </x:c>
      <x:c r="H6" s="11" t="str">
        <x:v>Dev 2</x:v>
      </x:c>
      <x:c r="I6" s="11" t="str">
        <x:v>BA</x:v>
      </x:c>
      <x:c r="J6" s="11" t="str">
        <x:v>High</x:v>
      </x:c>
      <x:c r="K6" s="23" t="n">
        <x:v>4</x:v>
      </x:c>
      <x:c r="L6" s="11" t="str">
        <x:v>Medium</x:v>
      </x:c>
      <x:c r="M6" s="11" t="str">
        <x:v>P0-01</x:v>
      </x:c>
      <x:c r="N6" s="11" t="str">
        <x:v>MVP</x:v>
      </x:c>
      <x:c r="O6" s="12" t="str">
        <x:v>2026-07-08</x:v>
      </x:c>
      <x:c r="P6" s="23" t="n">
        <x:f>IF(G6="Done",0,K6)</x:f>
        <x:v>4</x:v>
      </x:c>
      <x:c r="Q6" s="13" t="n">
        <x:f>IF(G6="Done",1,IF(G6="In Progress",0.5,0))</x:f>
        <x:v>0</x:v>
      </x:c>
    </x:row>
    <x:row r="7">
      <x:c r="A7" s="11" t="str">
        <x:v>P0-03</x:v>
      </x:c>
      <x:c r="B7" s="11" t="str">
        <x:v>Phase 0</x:v>
      </x:c>
      <x:c r="C7" s="11" t="str">
        <x:v>Foundation</x:v>
      </x:c>
      <x:c r="D7" s="11" t="str">
        <x:v>Project CRUD verification</x:v>
      </x:c>
      <x:c r="E7" s="11" t="str">
        <x:v>Verify create/edit/archive/restore project, fixed workspace, permission enforcement and smoke tests.</x:v>
      </x:c>
      <x:c r="F7" s="11" t="str">
        <x:v>BA Accepted</x:v>
      </x:c>
      <x:c r="G7" s="25" t="str">
        <x:v>Not Started</x:v>
      </x:c>
      <x:c r="H7" s="11" t="str">
        <x:v>Dev 1</x:v>
      </x:c>
      <x:c r="I7" s="11" t="str">
        <x:v>BA</x:v>
      </x:c>
      <x:c r="J7" s="11" t="str">
        <x:v>High</x:v>
      </x:c>
      <x:c r="K7" s="23" t="n">
        <x:v>3</x:v>
      </x:c>
      <x:c r="L7" s="11" t="str">
        <x:v>Medium</x:v>
      </x:c>
      <x:c r="M7" s="11" t="str">
        <x:v>P0-01</x:v>
      </x:c>
      <x:c r="N7" s="11" t="str">
        <x:v>Jul 10</x:v>
      </x:c>
      <x:c r="O7" s="12" t="str">
        <x:v>2026-07-10</x:v>
      </x:c>
      <x:c r="P7" s="23" t="n">
        <x:f>IF(G7="Done",0,K7)</x:f>
        <x:v>3</x:v>
      </x:c>
      <x:c r="Q7" s="13" t="n">
        <x:f>IF(G7="Done",1,IF(G7="In Progress",0.5,0))</x:f>
        <x:v>0</x:v>
      </x:c>
    </x:row>
    <x:row r="8">
      <x:c r="A8" s="11" t="str">
        <x:v>P1-01</x:v>
      </x:c>
      <x:c r="B8" s="11" t="str">
        <x:v>Phase 1</x:v>
      </x:c>
      <x:c r="C8" s="11" t="str">
        <x:v>Manage</x:v>
      </x:c>
      <x:c r="D8" s="11" t="str">
        <x:v>Create Project</x:v>
      </x:c>
      <x:c r="E8" s="11" t="str">
        <x:v>Build Manage &gt; Projects create/edit/deactive flow and project selector compatibility.</x:v>
      </x:c>
      <x:c r="F8" s="11" t="str">
        <x:v>Ready for Dev</x:v>
      </x:c>
      <x:c r="G8" s="25" t="str">
        <x:v>Not Started</x:v>
      </x:c>
      <x:c r="H8" s="11" t="str">
        <x:v>Dev 1</x:v>
      </x:c>
      <x:c r="I8" s="11" t="str">
        <x:v>BA</x:v>
      </x:c>
      <x:c r="J8" s="11" t="str">
        <x:v>Critical</x:v>
      </x:c>
      <x:c r="K8" s="23" t="n">
        <x:v>3</x:v>
      </x:c>
      <x:c r="L8" s="11" t="str">
        <x:v>High</x:v>
      </x:c>
      <x:c r="M8" s="11" t="str">
        <x:v>P0-01</x:v>
      </x:c>
      <x:c r="N8" s="11" t="str">
        <x:v>Jul 10</x:v>
      </x:c>
      <x:c r="O8" s="12" t="str">
        <x:v>2026-07-10</x:v>
      </x:c>
      <x:c r="P8" s="23" t="n">
        <x:f>IF(G8="Done",0,K8)</x:f>
        <x:v>3</x:v>
      </x:c>
      <x:c r="Q8" s="13" t="n">
        <x:f>IF(G8="Done",1,IF(G8="In Progress",0.5,0))</x:f>
        <x:v>0</x:v>
      </x:c>
    </x:row>
    <x:row r="9">
      <x:c r="A9" s="11" t="str">
        <x:v>P1-02</x:v>
      </x:c>
      <x:c r="B9" s="11" t="str">
        <x:v>Phase 1</x:v>
      </x:c>
      <x:c r="C9" s="11" t="str">
        <x:v>Manage</x:v>
      </x:c>
      <x:c r="D9" s="11" t="str">
        <x:v>Create Team</x:v>
      </x:c>
      <x:c r="E9" s="11" t="str">
        <x:v>Build Teams list and Team Info/Members modal; status Active/Deactive; members selectable with search.</x:v>
      </x:c>
      <x:c r="F9" s="11" t="str">
        <x:v>Ready for Dev</x:v>
      </x:c>
      <x:c r="G9" s="25" t="str">
        <x:v>Not Started</x:v>
      </x:c>
      <x:c r="H9" s="11" t="str">
        <x:v>Dev 1</x:v>
      </x:c>
      <x:c r="I9" s="11" t="str">
        <x:v>BA</x:v>
      </x:c>
      <x:c r="J9" s="11" t="str">
        <x:v>Critical</x:v>
      </x:c>
      <x:c r="K9" s="23" t="n">
        <x:v>3</x:v>
      </x:c>
      <x:c r="L9" s="11" t="str">
        <x:v>High</x:v>
      </x:c>
      <x:c r="M9" s="11" t="str">
        <x:v>P1-01</x:v>
      </x:c>
      <x:c r="N9" s="11" t="str">
        <x:v>Jul 10</x:v>
      </x:c>
      <x:c r="O9" s="12" t="str">
        <x:v>2026-07-10</x:v>
      </x:c>
      <x:c r="P9" s="23" t="n">
        <x:f>IF(G9="Done",0,K9)</x:f>
        <x:v>3</x:v>
      </x:c>
      <x:c r="Q9" s="13" t="n">
        <x:f>IF(G9="Done",1,IF(G9="In Progress",0.5,0))</x:f>
        <x:v>0</x:v>
      </x:c>
    </x:row>
    <x:row r="10">
      <x:c r="A10" s="11" t="str">
        <x:v>P1-03</x:v>
      </x:c>
      <x:c r="B10" s="11" t="str">
        <x:v>Phase 1</x:v>
      </x:c>
      <x:c r="C10" s="11" t="str">
        <x:v>Manage</x:v>
      </x:c>
      <x:c r="D10" s="11" t="str">
        <x:v>Invite/Edit User</x:v>
      </x:c>
      <x:c r="E10" s="11" t="str">
        <x:v>Build Users list and Invite/Edit User modal; assign user to teams only; user project access derives from Team -&gt; Project.</x:v>
      </x:c>
      <x:c r="F10" s="11" t="str">
        <x:v>Ready for Dev</x:v>
      </x:c>
      <x:c r="G10" s="25" t="str">
        <x:v>Not Started</x:v>
      </x:c>
      <x:c r="H10" s="11" t="str">
        <x:v>Dev 2</x:v>
      </x:c>
      <x:c r="I10" s="11" t="str">
        <x:v>BA</x:v>
      </x:c>
      <x:c r="J10" s="11" t="str">
        <x:v>High</x:v>
      </x:c>
      <x:c r="K10" s="23" t="n">
        <x:v>2.5</x:v>
      </x:c>
      <x:c r="L10" s="11" t="str">
        <x:v>High</x:v>
      </x:c>
      <x:c r="M10" s="11" t="str">
        <x:v>P1-02</x:v>
      </x:c>
      <x:c r="N10" s="11" t="str">
        <x:v>MVP</x:v>
      </x:c>
      <x:c r="O10" s="12" t="str">
        <x:v>2026-07-12</x:v>
      </x:c>
      <x:c r="P10" s="23" t="n">
        <x:f>IF(G10="Done",0,K10)</x:f>
        <x:v>2.5</x:v>
      </x:c>
      <x:c r="Q10" s="13" t="n">
        <x:f>IF(G10="Done",1,IF(G10="In Progress",0.5,0))</x:f>
        <x:v>0</x:v>
      </x:c>
    </x:row>
    <x:row r="11">
      <x:c r="A11" s="11" t="str">
        <x:v>P1-04</x:v>
      </x:c>
      <x:c r="B11" s="11" t="str">
        <x:v>Phase 1</x:v>
      </x:c>
      <x:c r="C11" s="11" t="str">
        <x:v>Backlog</x:v>
      </x:c>
      <x:c r="D11" s="11" t="str">
        <x:v>Backlog base list</x:v>
      </x:c>
      <x:c r="E11" s="11" t="str">
        <x:v>Build Story/Defect backlog list with selected Project/Team context, server search/filter/sort/pagination.</x:v>
      </x:c>
      <x:c r="F11" s="11" t="str">
        <x:v>Ready for Dev</x:v>
      </x:c>
      <x:c r="G11" s="25" t="str">
        <x:v>Not Started</x:v>
      </x:c>
      <x:c r="H11" s="11" t="str">
        <x:v>Dev 2</x:v>
      </x:c>
      <x:c r="I11" s="11" t="str">
        <x:v>BA</x:v>
      </x:c>
      <x:c r="J11" s="11" t="str">
        <x:v>Critical</x:v>
      </x:c>
      <x:c r="K11" s="23" t="n">
        <x:v>3</x:v>
      </x:c>
      <x:c r="L11" s="11" t="str">
        <x:v>High</x:v>
      </x:c>
      <x:c r="M11" s="11" t="str">
        <x:v>P1-01,P1-02</x:v>
      </x:c>
      <x:c r="N11" s="11" t="str">
        <x:v>Jul 10</x:v>
      </x:c>
      <x:c r="O11" s="12" t="str">
        <x:v>2026-07-10</x:v>
      </x:c>
      <x:c r="P11" s="23" t="n">
        <x:f>IF(G11="Done",0,K11)</x:f>
        <x:v>3</x:v>
      </x:c>
      <x:c r="Q11" s="13" t="n">
        <x:f>IF(G11="Done",1,IF(G11="In Progress",0.5,0))</x:f>
        <x:v>0</x:v>
      </x:c>
    </x:row>
    <x:row r="12">
      <x:c r="A12" s="11" t="str">
        <x:v>P1-05</x:v>
      </x:c>
      <x:c r="B12" s="11" t="str">
        <x:v>Phase 1</x:v>
      </x:c>
      <x:c r="C12" s="11" t="str">
        <x:v>Work Item</x:v>
      </x:c>
      <x:c r="D12" s="11" t="str">
        <x:v>Create Work Item</x:v>
      </x:c>
      <x:c r="E12" s="11" t="str">
        <x:v>Build Story/Defect quick create and create-with-details; Project/Team required and validated.</x:v>
      </x:c>
      <x:c r="F12" s="11" t="str">
        <x:v>Ready for Dev</x:v>
      </x:c>
      <x:c r="G12" s="25" t="str">
        <x:v>Not Started</x:v>
      </x:c>
      <x:c r="H12" s="11" t="str">
        <x:v>Dev 2</x:v>
      </x:c>
      <x:c r="I12" s="11" t="str">
        <x:v>BA</x:v>
      </x:c>
      <x:c r="J12" s="11" t="str">
        <x:v>Critical</x:v>
      </x:c>
      <x:c r="K12" s="23" t="n">
        <x:v>3</x:v>
      </x:c>
      <x:c r="L12" s="11" t="str">
        <x:v>High</x:v>
      </x:c>
      <x:c r="M12" s="11" t="str">
        <x:v>P1-04</x:v>
      </x:c>
      <x:c r="N12" s="11" t="str">
        <x:v>Jul 10</x:v>
      </x:c>
      <x:c r="O12" s="12" t="str">
        <x:v>2026-07-10</x:v>
      </x:c>
      <x:c r="P12" s="23" t="n">
        <x:f>IF(G12="Done",0,K12)</x:f>
        <x:v>3</x:v>
      </x:c>
      <x:c r="Q12" s="13" t="n">
        <x:f>IF(G12="Done",1,IF(G12="In Progress",0.5,0))</x:f>
        <x:v>0</x:v>
      </x:c>
    </x:row>
    <x:row r="13">
      <x:c r="A13" s="11" t="str">
        <x:v>P1-06</x:v>
      </x:c>
      <x:c r="B13" s="11" t="str">
        <x:v>Phase 1</x:v>
      </x:c>
      <x:c r="C13" s="11" t="str">
        <x:v>Work Item</x:v>
      </x:c>
      <x:c r="D13" s="11" t="str">
        <x:v>Work Item Detail</x:v>
      </x:c>
      <x:c r="E13" s="11" t="str">
        <x:v>Build full detail page with Details, Tasks, Revision History and right-panel fields.</x:v>
      </x:c>
      <x:c r="F13" s="11" t="str">
        <x:v>Ready for Dev</x:v>
      </x:c>
      <x:c r="G13" s="25" t="str">
        <x:v>Not Started</x:v>
      </x:c>
      <x:c r="H13" s="11" t="str">
        <x:v>Dev 1</x:v>
      </x:c>
      <x:c r="I13" s="11" t="str">
        <x:v>BA</x:v>
      </x:c>
      <x:c r="J13" s="11" t="str">
        <x:v>High</x:v>
      </x:c>
      <x:c r="K13" s="23" t="n">
        <x:v>4</x:v>
      </x:c>
      <x:c r="L13" s="11" t="str">
        <x:v>Medium</x:v>
      </x:c>
      <x:c r="M13" s="11" t="str">
        <x:v>P1-05</x:v>
      </x:c>
      <x:c r="N13" s="11" t="str">
        <x:v>MVP</x:v>
      </x:c>
      <x:c r="O13" s="12" t="str">
        <x:v>2026-07-15</x:v>
      </x:c>
      <x:c r="P13" s="23" t="n">
        <x:f>IF(G13="Done",0,K13)</x:f>
        <x:v>4</x:v>
      </x:c>
      <x:c r="Q13" s="13" t="n">
        <x:f>IF(G13="Done",1,IF(G13="In Progress",0.5,0))</x:f>
        <x:v>0</x:v>
      </x:c>
    </x:row>
    <x:row r="14">
      <x:c r="A14" s="11" t="str">
        <x:v>P1-07</x:v>
      </x:c>
      <x:c r="B14" s="11" t="str">
        <x:v>Phase 1</x:v>
      </x:c>
      <x:c r="C14" s="11" t="str">
        <x:v>Task</x:v>
      </x:c>
      <x:c r="D14" s="11" t="str">
        <x:v>Child Task flow</x:v>
      </x:c>
      <x:c r="E14" s="11" t="str">
        <x:v>Build task list, add task modal, task detail, task estimates and parent validation.</x:v>
      </x:c>
      <x:c r="F14" s="11" t="str">
        <x:v>Ready for Dev</x:v>
      </x:c>
      <x:c r="G14" s="25" t="str">
        <x:v>Not Started</x:v>
      </x:c>
      <x:c r="H14" s="11" t="str">
        <x:v>Dev 2</x:v>
      </x:c>
      <x:c r="I14" s="11" t="str">
        <x:v>BA</x:v>
      </x:c>
      <x:c r="J14" s="11" t="str">
        <x:v>High</x:v>
      </x:c>
      <x:c r="K14" s="23" t="n">
        <x:v>4</x:v>
      </x:c>
      <x:c r="L14" s="11" t="str">
        <x:v>Medium</x:v>
      </x:c>
      <x:c r="M14" s="11" t="str">
        <x:v>P1-06</x:v>
      </x:c>
      <x:c r="N14" s="11" t="str">
        <x:v>MVP</x:v>
      </x:c>
      <x:c r="O14" s="12" t="str">
        <x:v>2026-07-16</x:v>
      </x:c>
      <x:c r="P14" s="23" t="n">
        <x:f>IF(G14="Done",0,K14)</x:f>
        <x:v>4</x:v>
      </x:c>
      <x:c r="Q14" s="13" t="n">
        <x:f>IF(G14="Done",1,IF(G14="In Progress",0.5,0))</x:f>
        <x:v>0</x:v>
      </x:c>
    </x:row>
    <x:row r="15">
      <x:c r="A15" s="11" t="str">
        <x:v>P1-08</x:v>
      </x:c>
      <x:c r="B15" s="11" t="str">
        <x:v>Phase 1</x:v>
      </x:c>
      <x:c r="C15" s="11" t="str">
        <x:v>Content</x:v>
      </x:c>
      <x:c r="D15" s="11" t="str">
        <x:v>Time/content/activity</x:v>
      </x:c>
      <x:c r="E15" s="11" t="str">
        <x:v>Persist Plan Estimate, To Do, Actual, Description, Notes, Attachments and Revision History.</x:v>
      </x:c>
      <x:c r="F15" s="11" t="str">
        <x:v>Ready for Dev</x:v>
      </x:c>
      <x:c r="G15" s="25" t="str">
        <x:v>Not Started</x:v>
      </x:c>
      <x:c r="H15" s="11" t="str">
        <x:v>Dev 1</x:v>
      </x:c>
      <x:c r="I15" s="11" t="str">
        <x:v>BA</x:v>
      </x:c>
      <x:c r="J15" s="11" t="str">
        <x:v>Medium</x:v>
      </x:c>
      <x:c r="K15" s="23" t="n">
        <x:v>4</x:v>
      </x:c>
      <x:c r="L15" s="11" t="str">
        <x:v>Medium</x:v>
      </x:c>
      <x:c r="M15" s="11" t="str">
        <x:v>P1-06</x:v>
      </x:c>
      <x:c r="N15" s="11" t="str">
        <x:v>MVP</x:v>
      </x:c>
      <x:c r="O15" s="12" t="str">
        <x:v>2026-07-17</x:v>
      </x:c>
      <x:c r="P15" s="23" t="n">
        <x:f>IF(G15="Done",0,K15)</x:f>
        <x:v>4</x:v>
      </x:c>
      <x:c r="Q15" s="13" t="n">
        <x:f>IF(G15="Done",1,IF(G15="In Progress",0.5,0))</x:f>
        <x:v>0</x:v>
      </x:c>
    </x:row>
    <x:row r="16">
      <x:c r="A16" s="11" t="str">
        <x:v>P2-01</x:v>
      </x:c>
      <x:c r="B16" s="11" t="str">
        <x:v>Phase 2.1</x:v>
      </x:c>
      <x:c r="C16" s="11" t="str">
        <x:v>Backlog Enhancement</x:v>
      </x:c>
      <x:c r="D16" s="11" t="str">
        <x:v>Advanced list behavior</x:v>
      </x:c>
      <x:c r="E16" s="11" t="str">
        <x:v>Add Manage Filters, column sorting, resizable columns, inline edit, rank reorder and bulk release/iteration assignment.</x:v>
      </x:c>
      <x:c r="F16" s="11" t="str">
        <x:v>Done</x:v>
      </x:c>
      <x:c r="G16" s="25" t="str">
        <x:v>Not Started</x:v>
      </x:c>
      <x:c r="H16" s="11" t="str">
        <x:v>Dev 1</x:v>
      </x:c>
      <x:c r="I16" s="11" t="str">
        <x:v>BA</x:v>
      </x:c>
      <x:c r="J16" s="11" t="str">
        <x:v>Critical</x:v>
      </x:c>
      <x:c r="K16" s="23" t="n">
        <x:v>9</x:v>
      </x:c>
      <x:c r="L16" s="11" t="str">
        <x:v>High</x:v>
      </x:c>
      <x:c r="M16" s="11" t="str">
        <x:v>P1-04,P1-05</x:v>
      </x:c>
      <x:c r="N16" s="11" t="str">
        <x:v>MVP</x:v>
      </x:c>
      <x:c r="O16" s="12" t="str">
        <x:v>2026-07-18</x:v>
      </x:c>
      <x:c r="P16" s="23" t="n">
        <x:f>IF(G16="Done",0,K16)</x:f>
        <x:v>9</x:v>
      </x:c>
      <x:c r="Q16" s="13" t="n">
        <x:f>IF(G16="Done",1,IF(G16="In Progress",0.5,0))</x:f>
        <x:v>0</x:v>
      </x:c>
    </x:row>
    <x:row r="17">
      <x:c r="A17" s="11" t="str">
        <x:v>P2-02</x:v>
      </x:c>
      <x:c r="B17" s="11" t="str">
        <x:v>Phase 2.2</x:v>
      </x:c>
      <x:c r="C17" s="11" t="str">
        <x:v>Timeboxes</x:v>
      </x:c>
      <x:c r="D17" s="11" t="str">
        <x:v>Create Timebox / Iteration</x:v>
      </x:c>
      <x:c r="E17" s="11" t="str">
        <x:v>Build Plan &gt; Timeboxes Iterations list, quick create, create-with-details and full Iteration detail.</x:v>
      </x:c>
      <x:c r="F17" s="11" t="str">
        <x:v>Done</x:v>
      </x:c>
      <x:c r="G17" s="25" t="str">
        <x:v>Not Started</x:v>
      </x:c>
      <x:c r="H17" s="11" t="str">
        <x:v>Dev 2</x:v>
      </x:c>
      <x:c r="I17" s="11" t="str">
        <x:v>BA</x:v>
      </x:c>
      <x:c r="J17" s="11" t="str">
        <x:v>Critical</x:v>
      </x:c>
      <x:c r="K17" s="23" t="n">
        <x:v>8</x:v>
      </x:c>
      <x:c r="L17" s="11" t="str">
        <x:v>High</x:v>
      </x:c>
      <x:c r="M17" s="11" t="str">
        <x:v>P1-02,P2-01</x:v>
      </x:c>
      <x:c r="N17" s="11" t="str">
        <x:v>Jul 10</x:v>
      </x:c>
      <x:c r="O17" s="12" t="str">
        <x:v>2026-07-10</x:v>
      </x:c>
      <x:c r="P17" s="23" t="n">
        <x:f>IF(G17="Done",0,K17)</x:f>
        <x:v>8</x:v>
      </x:c>
      <x:c r="Q17" s="13" t="n">
        <x:f>IF(G17="Done",1,IF(G17="In Progress",0.5,0))</x:f>
        <x:v>0</x:v>
      </x:c>
    </x:row>
    <x:row r="18">
      <x:c r="A18" s="11" t="str">
        <x:v>P2-03</x:v>
      </x:c>
      <x:c r="B18" s="11" t="str">
        <x:v>Phase 2.2</x:v>
      </x:c>
      <x:c r="C18" s="11" t="str">
        <x:v>Timeboxes</x:v>
      </x:c>
      <x:c r="D18" s="11" t="str">
        <x:v>Assign backlog to Iteration</x:v>
      </x:c>
      <x:c r="E18" s="11" t="str">
        <x:v>Expose Work Item Iteration field in Backlog list/detail and validate Project/Team match.</x:v>
      </x:c>
      <x:c r="F18" s="11" t="str">
        <x:v>Done</x:v>
      </x:c>
      <x:c r="G18" s="25" t="str">
        <x:v>Not Started</x:v>
      </x:c>
      <x:c r="H18" s="11" t="str">
        <x:v>Dev 1</x:v>
      </x:c>
      <x:c r="I18" s="11" t="str">
        <x:v>BA</x:v>
      </x:c>
      <x:c r="J18" s="11" t="str">
        <x:v>Critical</x:v>
      </x:c>
      <x:c r="K18" s="23" t="n">
        <x:v>6</x:v>
      </x:c>
      <x:c r="L18" s="11" t="str">
        <x:v>High</x:v>
      </x:c>
      <x:c r="M18" s="11" t="str">
        <x:v>P2-02</x:v>
      </x:c>
      <x:c r="N18" s="11" t="str">
        <x:v>MVP</x:v>
      </x:c>
      <x:c r="O18" s="12" t="str">
        <x:v>2026-07-19</x:v>
      </x:c>
      <x:c r="P18" s="23" t="n">
        <x:f>IF(G18="Done",0,K18)</x:f>
        <x:v>6</x:v>
      </x:c>
      <x:c r="Q18" s="13" t="n">
        <x:f>IF(G18="Done",1,IF(G18="In Progress",0.5,0))</x:f>
        <x:v>0</x:v>
      </x:c>
    </x:row>
    <x:row r="19">
      <x:c r="A19" s="11" t="str">
        <x:v>P2-04</x:v>
      </x:c>
      <x:c r="B19" s="11" t="str">
        <x:v>Phase 2.3</x:v>
      </x:c>
      <x:c r="C19" s="11" t="str">
        <x:v>Iteration Status</x:v>
      </x:c>
      <x:c r="D19" s="11" t="str">
        <x:v>Iteration Status page</x:v>
      </x:c>
      <x:c r="E19" s="11" t="str">
        <x:v>Build Track &gt; Iteration Status selector, metrics strip, list, filters, inline edit and detail integration.</x:v>
      </x:c>
      <x:c r="F19" s="11" t="str">
        <x:v>Done</x:v>
      </x:c>
      <x:c r="G19" s="25" t="str">
        <x:v>Not Started</x:v>
      </x:c>
      <x:c r="H19" s="11" t="str">
        <x:v>Dev 2</x:v>
      </x:c>
      <x:c r="I19" s="11" t="str">
        <x:v>BA</x:v>
      </x:c>
      <x:c r="J19" s="11" t="str">
        <x:v>Critical</x:v>
      </x:c>
      <x:c r="K19" s="23" t="n">
        <x:v>10</x:v>
      </x:c>
      <x:c r="L19" s="11" t="str">
        <x:v>High</x:v>
      </x:c>
      <x:c r="M19" s="11" t="str">
        <x:v>P2-02,P2-03</x:v>
      </x:c>
      <x:c r="N19" s="11" t="str">
        <x:v>Jul 10</x:v>
      </x:c>
      <x:c r="O19" s="12" t="str">
        <x:v>2026-07-10</x:v>
      </x:c>
      <x:c r="P19" s="23" t="n">
        <x:f>IF(G19="Done",0,K19)</x:f>
        <x:v>10</x:v>
      </x:c>
      <x:c r="Q19" s="13" t="n">
        <x:f>IF(G19="Done",1,IF(G19="In Progress",0.5,0))</x:f>
        <x:v>0</x:v>
      </x:c>
    </x:row>
    <x:row r="20">
      <x:c r="A20" s="11" t="str">
        <x:v>P2-05</x:v>
      </x:c>
      <x:c r="B20" s="11" t="str">
        <x:v>Phase 2.3</x:v>
      </x:c>
      <x:c r="C20" s="11" t="str">
        <x:v>Iteration Status</x:v>
      </x:c>
      <x:c r="D20" s="11" t="str">
        <x:v>Add item to Iteration</x:v>
      </x:c>
      <x:c r="E20" s="11" t="str">
        <x:v>Create Story/Defect directly into selected Iteration and also show it in Backlog; reuse Backlog create-with-details flow.</x:v>
      </x:c>
      <x:c r="F20" s="11" t="str">
        <x:v>Done</x:v>
      </x:c>
      <x:c r="G20" s="25" t="str">
        <x:v>Not Started</x:v>
      </x:c>
      <x:c r="H20" s="11" t="str">
        <x:v>Dev 1</x:v>
      </x:c>
      <x:c r="I20" s="11" t="str">
        <x:v>BA</x:v>
      </x:c>
      <x:c r="J20" s="11" t="str">
        <x:v>High</x:v>
      </x:c>
      <x:c r="K20" s="23" t="n">
        <x:v>4</x:v>
      </x:c>
      <x:c r="L20" s="11" t="str">
        <x:v>High</x:v>
      </x:c>
      <x:c r="M20" s="11" t="str">
        <x:v>P2-04</x:v>
      </x:c>
      <x:c r="N20" s="11" t="str">
        <x:v>MVP</x:v>
      </x:c>
      <x:c r="O20" s="12" t="str">
        <x:v>2026-07-19</x:v>
      </x:c>
      <x:c r="P20" s="23" t="n">
        <x:f>IF(G20="Done",0,K20)</x:f>
        <x:v>4</x:v>
      </x:c>
      <x:c r="Q20" s="13" t="n">
        <x:f>IF(G20="Done",1,IF(G20="In Progress",0.5,0))</x:f>
        <x:v>0</x:v>
      </x:c>
    </x:row>
    <x:row r="21">
      <x:c r="A21" s="11" t="str">
        <x:v>P3-01</x:v>
      </x:c>
      <x:c r="B21" s="11" t="str">
        <x:v>Phase 3</x:v>
      </x:c>
      <x:c r="C21" s="11" t="str">
        <x:v>Release</x:v>
      </x:c>
      <x:c r="D21" s="11" t="str">
        <x:v>Release MVP slice</x:v>
      </x:c>
      <x:c r="E21" s="11" t="str">
        <x:v>Build Release list/create/detail basics, assign work items and readiness status enough for Jul 10 demo.</x:v>
      </x:c>
      <x:c r="F21" s="11" t="str">
        <x:v>Pending BA</x:v>
      </x:c>
      <x:c r="G21" s="25" t="str">
        <x:v>Not Started</x:v>
      </x:c>
      <x:c r="H21" s="11" t="str">
        <x:v>Dev 1</x:v>
      </x:c>
      <x:c r="I21" s="11" t="str">
        <x:v>BA</x:v>
      </x:c>
      <x:c r="J21" s="11" t="str">
        <x:v>Critical</x:v>
      </x:c>
      <x:c r="K21" s="23" t="n">
        <x:v>8</x:v>
      </x:c>
      <x:c r="L21" s="11" t="str">
        <x:v>Medium</x:v>
      </x:c>
      <x:c r="M21" s="11" t="str">
        <x:v>P1-05,P2-01</x:v>
      </x:c>
      <x:c r="N21" s="11" t="str">
        <x:v>Jul 10</x:v>
      </x:c>
      <x:c r="O21" s="12" t="str">
        <x:v>2026-07-10</x:v>
      </x:c>
      <x:c r="P21" s="23" t="n">
        <x:f>IF(G21="Done",0,K21)</x:f>
        <x:v>8</x:v>
      </x:c>
      <x:c r="Q21" s="13" t="n">
        <x:f>IF(G21="Done",1,IF(G21="In Progress",0.5,0))</x:f>
        <x:v>0</x:v>
      </x:c>
    </x:row>
    <x:row r="22">
      <x:c r="A22" s="11" t="str">
        <x:v>P3-02</x:v>
      </x:c>
      <x:c r="B22" s="11" t="str">
        <x:v>Phase 3</x:v>
      </x:c>
      <x:c r="C22" s="11" t="str">
        <x:v>Milestone</x:v>
      </x:c>
      <x:c r="D22" s="11" t="str">
        <x:v>Milestone MVP slice</x:v>
      </x:c>
      <x:c r="E22" s="11" t="str">
        <x:v>Build Milestone list/create/detail basics with project, date, owner, status and link to release/work items.</x:v>
      </x:c>
      <x:c r="F22" s="11" t="str">
        <x:v>Pending BA</x:v>
      </x:c>
      <x:c r="G22" s="25" t="str">
        <x:v>Not Started</x:v>
      </x:c>
      <x:c r="H22" s="11" t="str">
        <x:v>Dev 2</x:v>
      </x:c>
      <x:c r="I22" s="11" t="str">
        <x:v>BA</x:v>
      </x:c>
      <x:c r="J22" s="11" t="str">
        <x:v>Critical</x:v>
      </x:c>
      <x:c r="K22" s="23" t="n">
        <x:v>6</x:v>
      </x:c>
      <x:c r="L22" s="11" t="str">
        <x:v>Medium</x:v>
      </x:c>
      <x:c r="M22" s="11" t="str">
        <x:v>P3-01</x:v>
      </x:c>
      <x:c r="N22" s="11" t="str">
        <x:v>Jul 10</x:v>
      </x:c>
      <x:c r="O22" s="12" t="str">
        <x:v>2026-07-10</x:v>
      </x:c>
      <x:c r="P22" s="23" t="n">
        <x:f>IF(G22="Done",0,K22)</x:f>
        <x:v>6</x:v>
      </x:c>
      <x:c r="Q22" s="13" t="n">
        <x:f>IF(G22="Done",1,IF(G22="In Progress",0.5,0))</x:f>
        <x:v>0</x:v>
      </x:c>
    </x:row>
    <x:row r="23">
      <x:c r="A23" s="11" t="str">
        <x:v>P3-03</x:v>
      </x:c>
      <x:c r="B23" s="11" t="str">
        <x:v>Phase 3</x:v>
      </x:c>
      <x:c r="C23" s="11" t="str">
        <x:v>Team Board</x:v>
      </x:c>
      <x:c r="D23" s="11" t="str">
        <x:v>Team Board</x:v>
      </x:c>
      <x:c r="E23" s="11" t="str">
        <x:v>Build board view from same work_items source, columns by schedule state, list/board toggle and card detail open.</x:v>
      </x:c>
      <x:c r="F23" s="11" t="str">
        <x:v>Pending BA</x:v>
      </x:c>
      <x:c r="G23" s="25" t="str">
        <x:v>Not Started</x:v>
      </x:c>
      <x:c r="H23" s="11" t="str">
        <x:v>Dev 1</x:v>
      </x:c>
      <x:c r="I23" s="11" t="str">
        <x:v>BA</x:v>
      </x:c>
      <x:c r="J23" s="11" t="str">
        <x:v>High</x:v>
      </x:c>
      <x:c r="K23" s="23" t="n">
        <x:v>16</x:v>
      </x:c>
      <x:c r="L23" s="11" t="str">
        <x:v>Medium</x:v>
      </x:c>
      <x:c r="M23" s="11" t="str">
        <x:v>P2-04</x:v>
      </x:c>
      <x:c r="N23" s="11" t="str">
        <x:v>MVP</x:v>
      </x:c>
      <x:c r="O23" s="12" t="str">
        <x:v>2026-07-23</x:v>
      </x:c>
      <x:c r="P23" s="23" t="n">
        <x:f>IF(G23="Done",0,K23)</x:f>
        <x:v>16</x:v>
      </x:c>
      <x:c r="Q23" s="13" t="n">
        <x:f>IF(G23="Done",1,IF(G23="In Progress",0.5,0))</x:f>
        <x:v>0</x:v>
      </x:c>
    </x:row>
    <x:row r="24">
      <x:c r="A24" s="11" t="str">
        <x:v>P3-04</x:v>
      </x:c>
      <x:c r="B24" s="11" t="str">
        <x:v>Phase 3</x:v>
      </x:c>
      <x:c r="C24" s="11" t="str">
        <x:v>Team Status</x:v>
      </x:c>
      <x:c r="D24" s="11" t="str">
        <x:v>Team Status</x:v>
      </x:c>
      <x:c r="E24" s="11" t="str">
        <x:v>Build team execution rollup from Iteration Status data; KPIs and drill-down by team/owner/status.</x:v>
      </x:c>
      <x:c r="F24" s="11" t="str">
        <x:v>Pending BA</x:v>
      </x:c>
      <x:c r="G24" s="25" t="str">
        <x:v>Not Started</x:v>
      </x:c>
      <x:c r="H24" s="11" t="str">
        <x:v>Dev 2</x:v>
      </x:c>
      <x:c r="I24" s="11" t="str">
        <x:v>BA</x:v>
      </x:c>
      <x:c r="J24" s="11" t="str">
        <x:v>Medium</x:v>
      </x:c>
      <x:c r="K24" s="23" t="n">
        <x:v>8</x:v>
      </x:c>
      <x:c r="L24" s="11" t="str">
        <x:v>Low</x:v>
      </x:c>
      <x:c r="M24" s="11" t="str">
        <x:v>P2-04</x:v>
      </x:c>
      <x:c r="N24" s="11" t="str">
        <x:v>MVP</x:v>
      </x:c>
      <x:c r="O24" s="12" t="str">
        <x:v>2026-07-24</x:v>
      </x:c>
      <x:c r="P24" s="23" t="n">
        <x:f>IF(G24="Done",0,K24)</x:f>
        <x:v>8</x:v>
      </x:c>
      <x:c r="Q24" s="13" t="n">
        <x:f>IF(G24="Done",1,IF(G24="In Progress",0.5,0))</x:f>
        <x:v>0</x:v>
      </x:c>
    </x:row>
    <x:row r="25">
      <x:c r="A25" s="11" t="str">
        <x:v>P3-05</x:v>
      </x:c>
      <x:c r="B25" s="11" t="str">
        <x:v>Phase 3</x:v>
      </x:c>
      <x:c r="C25" s="11" t="str">
        <x:v>Quality</x:v>
      </x:c>
      <x:c r="D25" s="11" t="str">
        <x:v>Quality / Defect workflow</x:v>
      </x:c>
      <x:c r="E25" s="11" t="str">
        <x:v>Add defect severity, environment, reproduce steps, verify/reopen, quality summary and lifecycle history.</x:v>
      </x:c>
      <x:c r="F25" s="11" t="str">
        <x:v>Pending BA</x:v>
      </x:c>
      <x:c r="G25" s="25" t="str">
        <x:v>Not Started</x:v>
      </x:c>
      <x:c r="H25" s="11" t="str">
        <x:v>Dev 1</x:v>
      </x:c>
      <x:c r="I25" s="11" t="str">
        <x:v>BA</x:v>
      </x:c>
      <x:c r="J25" s="11" t="str">
        <x:v>High</x:v>
      </x:c>
      <x:c r="K25" s="23" t="n">
        <x:v>18</x:v>
      </x:c>
      <x:c r="L25" s="11" t="str">
        <x:v>Medium</x:v>
      </x:c>
      <x:c r="M25" s="11" t="str">
        <x:v>P1-06</x:v>
      </x:c>
      <x:c r="N25" s="11" t="str">
        <x:v>MVP</x:v>
      </x:c>
      <x:c r="O25" s="12" t="str">
        <x:v>2026-07-28</x:v>
      </x:c>
      <x:c r="P25" s="23" t="n">
        <x:f>IF(G25="Done",0,K25)</x:f>
        <x:v>18</x:v>
      </x:c>
      <x:c r="Q25" s="13" t="n">
        <x:f>IF(G25="Done",1,IF(G25="In Progress",0.5,0))</x:f>
        <x:v>0</x:v>
      </x:c>
    </x:row>
    <x:row r="26">
      <x:c r="A26" s="11" t="str">
        <x:v>P3-06</x:v>
      </x:c>
      <x:c r="B26" s="11" t="str">
        <x:v>Phase 3</x:v>
      </x:c>
      <x:c r="C26" s="11" t="str">
        <x:v>Release</x:v>
      </x:c>
      <x:c r="D26" s="11" t="str">
        <x:v>Release readiness complete</x:v>
      </x:c>
      <x:c r="E26" s="11" t="str">
        <x:v>Complete release progress, open defects, blocked items and release activity/history.</x:v>
      </x:c>
      <x:c r="F26" s="11" t="str">
        <x:v>Pending BA</x:v>
      </x:c>
      <x:c r="G26" s="25" t="str">
        <x:v>Not Started</x:v>
      </x:c>
      <x:c r="H26" s="11" t="str">
        <x:v>Dev 2</x:v>
      </x:c>
      <x:c r="I26" s="11" t="str">
        <x:v>BA</x:v>
      </x:c>
      <x:c r="J26" s="11" t="str">
        <x:v>High</x:v>
      </x:c>
      <x:c r="K26" s="23" t="n">
        <x:v>8</x:v>
      </x:c>
      <x:c r="L26" s="11" t="str">
        <x:v>Medium</x:v>
      </x:c>
      <x:c r="M26" s="11" t="str">
        <x:v>P3-01,P3-05</x:v>
      </x:c>
      <x:c r="N26" s="11" t="str">
        <x:v>MVP</x:v>
      </x:c>
      <x:c r="O26" s="12" t="str">
        <x:v>2026-07-29</x:v>
      </x:c>
      <x:c r="P26" s="23" t="n">
        <x:f>IF(G26="Done",0,K26)</x:f>
        <x:v>8</x:v>
      </x:c>
      <x:c r="Q26" s="13" t="n">
        <x:f>IF(G26="Done",1,IF(G26="In Progress",0.5,0))</x:f>
        <x:v>0</x:v>
      </x:c>
    </x:row>
    <x:row r="27">
      <x:c r="A27" s="11" t="str">
        <x:v>P4-01</x:v>
      </x:c>
      <x:c r="B27" s="11" t="str">
        <x:v>Phase 4</x:v>
      </x:c>
      <x:c r="C27" s="11" t="str">
        <x:v>Governance</x:v>
      </x:c>
      <x:c r="D27" s="11" t="str">
        <x:v>Notifications</x:v>
      </x:c>
      <x:c r="E27" s="11" t="str">
        <x:v>Build in-app notifications for assigned, mentioned, comments, status, iteration/release dates and read/unread.</x:v>
      </x:c>
      <x:c r="F27" s="11" t="str">
        <x:v>Future</x:v>
      </x:c>
      <x:c r="G27" s="25" t="str">
        <x:v>Not Started</x:v>
      </x:c>
      <x:c r="H27" s="11" t="str">
        <x:v>Dev 1</x:v>
      </x:c>
      <x:c r="I27" s="11" t="str">
        <x:v>BA</x:v>
      </x:c>
      <x:c r="J27" s="11" t="str">
        <x:v>Medium</x:v>
      </x:c>
      <x:c r="K27" s="23" t="n">
        <x:v>10</x:v>
      </x:c>
      <x:c r="L27" s="11" t="str">
        <x:v>Low</x:v>
      </x:c>
      <x:c r="M27" s="11" t="str">
        <x:v>Phase 1-3</x:v>
      </x:c>
      <x:c r="N27" s="11" t="str">
        <x:v>MVP</x:v>
      </x:c>
      <x:c r="O27" s="12" t="str">
        <x:v>2026-08-02</x:v>
      </x:c>
      <x:c r="P27" s="23" t="n">
        <x:f>IF(G27="Done",0,K27)</x:f>
        <x:v>10</x:v>
      </x:c>
      <x:c r="Q27" s="13" t="n">
        <x:f>IF(G27="Done",1,IF(G27="In Progress",0.5,0))</x:f>
        <x:v>0</x:v>
      </x:c>
    </x:row>
    <x:row r="28">
      <x:c r="A28" s="11" t="str">
        <x:v>P4-02</x:v>
      </x:c>
      <x:c r="B28" s="11" t="str">
        <x:v>Phase 4</x:v>
      </x:c>
      <x:c r="C28" s="11" t="str">
        <x:v>Governance</x:v>
      </x:c>
      <x:c r="D28" s="11" t="str">
        <x:v>RBAC and permission hardening</x:v>
      </x:c>
      <x:c r="E28" s="11" t="str">
        <x:v>Define and enforce workspace/project roles, action-level gating, backend permission codes and access denied states.</x:v>
      </x:c>
      <x:c r="F28" s="11" t="str">
        <x:v>Future</x:v>
      </x:c>
      <x:c r="G28" s="25" t="str">
        <x:v>Not Started</x:v>
      </x:c>
      <x:c r="H28" s="11" t="str">
        <x:v>Dev 2</x:v>
      </x:c>
      <x:c r="I28" s="11" t="str">
        <x:v>BA</x:v>
      </x:c>
      <x:c r="J28" s="11" t="str">
        <x:v>High</x:v>
      </x:c>
      <x:c r="K28" s="23" t="n">
        <x:v>12</x:v>
      </x:c>
      <x:c r="L28" s="11" t="str">
        <x:v>Medium</x:v>
      </x:c>
      <x:c r="M28" s="11" t="str">
        <x:v>Phase 1-3</x:v>
      </x:c>
      <x:c r="N28" s="11" t="str">
        <x:v>MVP</x:v>
      </x:c>
      <x:c r="O28" s="12" t="str">
        <x:v>2026-08-04</x:v>
      </x:c>
      <x:c r="P28" s="23" t="n">
        <x:f>IF(G28="Done",0,K28)</x:f>
        <x:v>12</x:v>
      </x:c>
      <x:c r="Q28" s="13" t="n">
        <x:f>IF(G28="Done",1,IF(G28="In Progress",0.5,0))</x:f>
        <x:v>0</x:v>
      </x:c>
    </x:row>
    <x:row r="29">
      <x:c r="A29" s="11" t="str">
        <x:v>P4-03</x:v>
      </x:c>
      <x:c r="B29" s="11" t="str">
        <x:v>Phase 4</x:v>
      </x:c>
      <x:c r="C29" s="11" t="str">
        <x:v>Governance</x:v>
      </x:c>
      <x:c r="D29" s="11" t="str">
        <x:v>Settings and audit</x:v>
      </x:c>
      <x:c r="E29" s="11" t="str">
        <x:v>Project/workflow settings, labels, user admin rules, audit log and destructive confirmation patterns.</x:v>
      </x:c>
      <x:c r="F29" s="11" t="str">
        <x:v>Future</x:v>
      </x:c>
      <x:c r="G29" s="25" t="str">
        <x:v>Not Started</x:v>
      </x:c>
      <x:c r="H29" s="11" t="str">
        <x:v>Dev 1</x:v>
      </x:c>
      <x:c r="I29" s="11" t="str">
        <x:v>BA</x:v>
      </x:c>
      <x:c r="J29" s="11" t="str">
        <x:v>Medium</x:v>
      </x:c>
      <x:c r="K29" s="23" t="n">
        <x:v>14</x:v>
      </x:c>
      <x:c r="L29" s="11" t="str">
        <x:v>Low</x:v>
      </x:c>
      <x:c r="M29" s="11" t="str">
        <x:v>P4-02</x:v>
      </x:c>
      <x:c r="N29" s="11" t="str">
        <x:v>MVP</x:v>
      </x:c>
      <x:c r="O29" s="12" t="str">
        <x:v>2026-08-06</x:v>
      </x:c>
      <x:c r="P29" s="23" t="n">
        <x:f>IF(G29="Done",0,K29)</x:f>
        <x:v>14</x:v>
      </x:c>
      <x:c r="Q29" s="13" t="n">
        <x:f>IF(G29="Done",1,IF(G29="In Progress",0.5,0))</x:f>
        <x:v>0</x:v>
      </x:c>
    </x:row>
    <x:row r="30">
      <x:c r="A30" s="11" t="str">
        <x:v>P5-01</x:v>
      </x:c>
      <x:c r="B30" s="11" t="str">
        <x:v>Phase 5</x:v>
      </x:c>
      <x:c r="C30" s="11" t="str">
        <x:v>Reporting</x:v>
      </x:c>
      <x:c r="D30" s="11" t="str">
        <x:v>Dashboard and burndown</x:v>
      </x:c>
      <x:c r="E30" s="11" t="str">
        <x:v>Build project/iteration dashboard, burndown, velocity, planned vs completed and blocked item rollups.</x:v>
      </x:c>
      <x:c r="F30" s="11" t="str">
        <x:v>Future</x:v>
      </x:c>
      <x:c r="G30" s="25" t="str">
        <x:v>Not Started</x:v>
      </x:c>
      <x:c r="H30" s="11" t="str">
        <x:v>Dev 2</x:v>
      </x:c>
      <x:c r="I30" s="11" t="str">
        <x:v>BA</x:v>
      </x:c>
      <x:c r="J30" s="11" t="str">
        <x:v>Medium</x:v>
      </x:c>
      <x:c r="K30" s="23" t="n">
        <x:v>10</x:v>
      </x:c>
      <x:c r="L30" s="11" t="str">
        <x:v>Low</x:v>
      </x:c>
      <x:c r="M30" s="11" t="str">
        <x:v>Phase 1-4 data</x:v>
      </x:c>
      <x:c r="N30" s="11" t="str">
        <x:v>MVP</x:v>
      </x:c>
      <x:c r="O30" s="12" t="str">
        <x:v>2026-08-09</x:v>
      </x:c>
      <x:c r="P30" s="23" t="n">
        <x:f>IF(G30="Done",0,K30)</x:f>
        <x:v>10</x:v>
      </x:c>
      <x:c r="Q30" s="13" t="n">
        <x:f>IF(G30="Done",1,IF(G30="In Progress",0.5,0))</x:f>
        <x:v>0</x:v>
      </x:c>
    </x:row>
    <x:row r="31">
      <x:c r="A31" s="11" t="str">
        <x:v>P5-02</x:v>
      </x:c>
      <x:c r="B31" s="11" t="str">
        <x:v>Phase 5</x:v>
      </x:c>
      <x:c r="C31" s="11" t="str">
        <x:v>Reporting</x:v>
      </x:c>
      <x:c r="D31" s="11" t="str">
        <x:v>Operational reports</x:v>
      </x:c>
      <x:c r="E31" s="11" t="str">
        <x:v>Build workload, defect summary, release progress, filters and export report capability.</x:v>
      </x:c>
      <x:c r="F31" s="11" t="str">
        <x:v>Future</x:v>
      </x:c>
      <x:c r="G31" s="25" t="str">
        <x:v>Not Started</x:v>
      </x:c>
      <x:c r="H31" s="11" t="str">
        <x:v>Dev 1</x:v>
      </x:c>
      <x:c r="I31" s="11" t="str">
        <x:v>BA</x:v>
      </x:c>
      <x:c r="J31" s="11" t="str">
        <x:v>Medium</x:v>
      </x:c>
      <x:c r="K31" s="23" t="n">
        <x:v>10</x:v>
      </x:c>
      <x:c r="L31" s="11" t="str">
        <x:v>Low</x:v>
      </x:c>
      <x:c r="M31" s="11" t="str">
        <x:v>P5-01</x:v>
      </x:c>
      <x:c r="N31" s="11" t="str">
        <x:v>MVP</x:v>
      </x:c>
      <x:c r="O31" s="12" t="str">
        <x:v>2026-08-11</x:v>
      </x:c>
      <x:c r="P31" s="23" t="n">
        <x:f>IF(G31="Done",0,K31)</x:f>
        <x:v>10</x:v>
      </x:c>
      <x:c r="Q31" s="13" t="n">
        <x:f>IF(G31="Done",1,IF(G31="In Progress",0.5,0))</x:f>
        <x:v>0</x:v>
      </x:c>
    </x:row>
    <x:row r="32">
      <x:c r="A32" s="11" t="str">
        <x:v>P5-03</x:v>
      </x:c>
      <x:c r="B32" s="11" t="str">
        <x:v>Phase 5</x:v>
      </x:c>
      <x:c r="C32" s="11" t="str">
        <x:v>Reporting</x:v>
      </x:c>
      <x:c r="D32" s="11" t="str">
        <x:v>Report QA and handoff</x:v>
      </x:c>
      <x:c r="E32" s="11" t="str">
        <x:v>Verify report numbers against source records, permissions and export output.</x:v>
      </x:c>
      <x:c r="F32" s="11" t="str">
        <x:v>Future</x:v>
      </x:c>
      <x:c r="G32" s="25" t="str">
        <x:v>Not Started</x:v>
      </x:c>
      <x:c r="H32" s="11" t="str">
        <x:v>Dev 2</x:v>
      </x:c>
      <x:c r="I32" s="11" t="str">
        <x:v>BA</x:v>
      </x:c>
      <x:c r="J32" s="11" t="str">
        <x:v>Medium</x:v>
      </x:c>
      <x:c r="K32" s="23" t="n">
        <x:v>4</x:v>
      </x:c>
      <x:c r="L32" s="11" t="str">
        <x:v>Low</x:v>
      </x:c>
      <x:c r="M32" s="11" t="str">
        <x:v>P5-02</x:v>
      </x:c>
      <x:c r="N32" s="11" t="str">
        <x:v>MVP</x:v>
      </x:c>
      <x:c r="O32" s="12" t="str">
        <x:v>2026-08-12</x:v>
      </x:c>
      <x:c r="P32" s="23" t="n">
        <x:f>IF(G32="Done",0,K32)</x:f>
        <x:v>4</x:v>
      </x:c>
      <x:c r="Q32" s="13" t="n">
        <x:f>IF(G32="Done",1,IF(G32="In Progress",0.5,0))</x:f>
        <x:v>0</x:v>
      </x:c>
    </x:row>
    <x:row r="33">
      <x:c r="K33" s="26"/>
      <x:c r="O33" s="28"/>
      <x:c r="P33" s="26"/>
      <x:c r="Q33" s="27"/>
    </x:row>
  </x:sheetData>
  <x:mergeCells>
    <x:mergeCell ref="A1:Q1"/>
    <x:mergeCell ref="A2:Q2"/>
  </x:mergeCells>
  <x:dataValidations count="2">
    <x:dataValidation type="list" sqref="G5:G33">
      <x:formula1>"Not Started,In Progress,In Review,Done,Blocked"</x:formula1>
    </x:dataValidation>
    <x:dataValidation type="list" sqref="J5:J3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ed7ff127004a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70" hidden="0" customWidth="1"/>
    <x:col min="4" max="4" width="14" hidden="0" customWidth="1"/>
    <x:col min="5" max="5" width="20" hidden="0" customWidth="1"/>
    <x:col min="6" max="6" width="12" hidden="0" customWidth="1"/>
    <x:col min="7" max="7" width="11" hidden="0" customWidth="1"/>
    <x:col min="8" max="8" width="14" hidden="0" customWidth="1"/>
    <x:col min="9" max="9" width="11" hidden="0" customWidth="1"/>
    <x:col min="10" max="10" width="12" hidden="0" customWidth="1"/>
    <x:col min="11" max="11" width="10" hidden="0" customWidth="1"/>
  </x:cols>
  <x:sheetData>
    <x:row r="1" ht="24" customHeight="1">
      <x:c r="A1" s="3" t="str">
        <x:v>Jul 10 Milestone</x:v>
      </x:c>
    </x:row>
    <x:row r="2" ht="24" customHeight="1">
      <x:c r="A2" s="6" t="str">
        <x:v>Hard checkpoint: by 2026-07-10, the MVP slice must cover Project, Team, Backlog, Iteration Status, Milestone and Release.</x:v>
      </x:c>
    </x:row>
    <x:row r="4">
      <x:c r="A4" s="16" t="str">
        <x:v>ID</x:v>
      </x:c>
      <x:c r="B4" s="16" t="str">
        <x:v>Required Capability</x:v>
      </x:c>
      <x:c r="C4" s="16" t="str">
        <x:v>Acceptance Meaning</x:v>
      </x:c>
      <x:c r="D4" s="16" t="str">
        <x:v>Phase</x:v>
      </x:c>
      <x:c r="E4" s="16" t="str">
        <x:v>Linked Task</x:v>
      </x:c>
      <x:c r="F4" s="16" t="str">
        <x:v>Owner</x:v>
      </x:c>
      <x:c r="G4" s="16" t="str">
        <x:v>Priority</x:v>
      </x:c>
      <x:c r="H4" s="16" t="str">
        <x:v>Status</x:v>
      </x:c>
      <x:c r="I4" s="16" t="str">
        <x:v>Estimate h</x:v>
      </x:c>
      <x:c r="J4" s="16" t="str">
        <x:v>Confidence</x:v>
      </x:c>
      <x:c r="K4" s="16" t="str">
        <x:v>Ready?</x:v>
      </x:c>
    </x:row>
    <x:row r="5">
      <x:c r="A5" s="11" t="str">
        <x:v>J10-01</x:v>
      </x:c>
      <x:c r="B5" s="11" t="str">
        <x:v>Create Project</x:v>
      </x:c>
      <x:c r="C5" s="11" t="str">
        <x:v>Project can be created/edited from Manage and selected in context.</x:v>
      </x:c>
      <x:c r="D5" s="11" t="str">
        <x:v>Phase 1</x:v>
      </x:c>
      <x:c r="E5" s="11" t="str">
        <x:v>P1-01</x:v>
      </x:c>
      <x:c r="F5" s="11" t="str">
        <x:v>Dev 1</x:v>
      </x:c>
      <x:c r="G5" s="11" t="str">
        <x:v>Critical</x:v>
      </x:c>
      <x:c r="H5" s="25" t="str">
        <x:v>Not Started</x:v>
      </x:c>
      <x:c r="I5" s="23" t="n">
        <x:v>3</x:v>
      </x:c>
      <x:c r="J5" s="11" t="str">
        <x:v>High</x:v>
      </x:c>
      <x:c r="K5" s="11" t="str">
        <x:f>IF(H5="Done","Yes","No")</x:f>
        <x:v>No</x:v>
      </x:c>
    </x:row>
    <x:row r="6">
      <x:c r="A6" s="11" t="str">
        <x:v>J10-02</x:v>
      </x:c>
      <x:c r="B6" s="11" t="str">
        <x:v>Create Team</x:v>
      </x:c>
      <x:c r="C6" s="11" t="str">
        <x:v>Team can be created under Project, edited, and used as context.</x:v>
      </x:c>
      <x:c r="D6" s="11" t="str">
        <x:v>Phase 1</x:v>
      </x:c>
      <x:c r="E6" s="11" t="str">
        <x:v>P1-02</x:v>
      </x:c>
      <x:c r="F6" s="11" t="str">
        <x:v>Dev 1</x:v>
      </x:c>
      <x:c r="G6" s="11" t="str">
        <x:v>Critical</x:v>
      </x:c>
      <x:c r="H6" s="25" t="str">
        <x:v>Not Started</x:v>
      </x:c>
      <x:c r="I6" s="23" t="n">
        <x:v>3</x:v>
      </x:c>
      <x:c r="J6" s="11" t="str">
        <x:v>High</x:v>
      </x:c>
      <x:c r="K6" s="11" t="str">
        <x:f>IF(H6="Done","Yes","No")</x:f>
        <x:v>No</x:v>
      </x:c>
    </x:row>
    <x:row r="7">
      <x:c r="A7" s="11" t="str">
        <x:v>J10-03</x:v>
      </x:c>
      <x:c r="B7" s="11" t="str">
        <x:v>Create Backlog</x:v>
      </x:c>
      <x:c r="C7" s="11" t="str">
        <x:v>Story/Defect can be created in Backlog with Project/Team auto-fill.</x:v>
      </x:c>
      <x:c r="D7" s="11" t="str">
        <x:v>Phase 1</x:v>
      </x:c>
      <x:c r="E7" s="11" t="str">
        <x:v>P1-04,P1-05</x:v>
      </x:c>
      <x:c r="F7" s="11" t="str">
        <x:v>Dev 2</x:v>
      </x:c>
      <x:c r="G7" s="11" t="str">
        <x:v>Critical</x:v>
      </x:c>
      <x:c r="H7" s="25" t="str">
        <x:v>Not Started</x:v>
      </x:c>
      <x:c r="I7" s="23" t="n">
        <x:v>6</x:v>
      </x:c>
      <x:c r="J7" s="11" t="str">
        <x:v>High</x:v>
      </x:c>
      <x:c r="K7" s="11" t="str">
        <x:f>IF(H7="Done","Yes","No")</x:f>
        <x:v>No</x:v>
      </x:c>
    </x:row>
    <x:row r="8">
      <x:c r="A8" s="11" t="str">
        <x:v>J10-04</x:v>
      </x:c>
      <x:c r="B8" s="11" t="str">
        <x:v>Create Timebox</x:v>
      </x:c>
      <x:c r="C8" s="11" t="str">
        <x:v>Iteration can be created from Timeboxes with dates/state/team.</x:v>
      </x:c>
      <x:c r="D8" s="11" t="str">
        <x:v>Phase 2.2</x:v>
      </x:c>
      <x:c r="E8" s="11" t="str">
        <x:v>P2-02</x:v>
      </x:c>
      <x:c r="F8" s="11" t="str">
        <x:v>Dev 2</x:v>
      </x:c>
      <x:c r="G8" s="11" t="str">
        <x:v>Critical</x:v>
      </x:c>
      <x:c r="H8" s="25" t="str">
        <x:v>Not Started</x:v>
      </x:c>
      <x:c r="I8" s="23" t="n">
        <x:v>8</x:v>
      </x:c>
      <x:c r="J8" s="11" t="str">
        <x:v>High</x:v>
      </x:c>
      <x:c r="K8" s="11" t="str">
        <x:f>IF(H8="Done","Yes","No")</x:f>
        <x:v>No</x:v>
      </x:c>
    </x:row>
    <x:row r="9">
      <x:c r="A9" s="11" t="str">
        <x:v>J10-05</x:v>
      </x:c>
      <x:c r="B9" s="11" t="str">
        <x:v>Iteration Status</x:v>
      </x:c>
      <x:c r="C9" s="11" t="str">
        <x:v>Iteration Status reads selected Iteration and assigned backlog items.</x:v>
      </x:c>
      <x:c r="D9" s="11" t="str">
        <x:v>Phase 2.3</x:v>
      </x:c>
      <x:c r="E9" s="11" t="str">
        <x:v>P2-04</x:v>
      </x:c>
      <x:c r="F9" s="11" t="str">
        <x:v>Dev 2</x:v>
      </x:c>
      <x:c r="G9" s="11" t="str">
        <x:v>Critical</x:v>
      </x:c>
      <x:c r="H9" s="25" t="str">
        <x:v>Not Started</x:v>
      </x:c>
      <x:c r="I9" s="23" t="n">
        <x:v>10</x:v>
      </x:c>
      <x:c r="J9" s="11" t="str">
        <x:v>High</x:v>
      </x:c>
      <x:c r="K9" s="11" t="str">
        <x:f>IF(H9="Done","Yes","No")</x:f>
        <x:v>No</x:v>
      </x:c>
    </x:row>
    <x:row r="10">
      <x:c r="A10" s="11" t="str">
        <x:v>J10-06</x:v>
      </x:c>
      <x:c r="B10" s="11" t="str">
        <x:v>Milestone</x:v>
      </x:c>
      <x:c r="C10" s="11" t="str">
        <x:v>Milestone MVP create/list/detail exists for project/release checkpoint.</x:v>
      </x:c>
      <x:c r="D10" s="11" t="str">
        <x:v>Phase 3</x:v>
      </x:c>
      <x:c r="E10" s="11" t="str">
        <x:v>P3-02</x:v>
      </x:c>
      <x:c r="F10" s="11" t="str">
        <x:v>Dev 2</x:v>
      </x:c>
      <x:c r="G10" s="11" t="str">
        <x:v>Critical</x:v>
      </x:c>
      <x:c r="H10" s="25" t="str">
        <x:v>Not Started</x:v>
      </x:c>
      <x:c r="I10" s="23" t="n">
        <x:v>6</x:v>
      </x:c>
      <x:c r="J10" s="11" t="str">
        <x:v>Medium</x:v>
      </x:c>
      <x:c r="K10" s="11" t="str">
        <x:f>IF(H10="Done","Yes","No")</x:f>
        <x:v>No</x:v>
      </x:c>
    </x:row>
    <x:row r="11">
      <x:c r="A11" s="11" t="str">
        <x:v>J10-07</x:v>
      </x:c>
      <x:c r="B11" s="11" t="str">
        <x:v>Release</x:v>
      </x:c>
      <x:c r="C11" s="11" t="str">
        <x:v>Release MVP create/list/detail and basic included-items/readiness exists.</x:v>
      </x:c>
      <x:c r="D11" s="11" t="str">
        <x:v>Phase 3</x:v>
      </x:c>
      <x:c r="E11" s="11" t="str">
        <x:v>P3-01</x:v>
      </x:c>
      <x:c r="F11" s="11" t="str">
        <x:v>Dev 1</x:v>
      </x:c>
      <x:c r="G11" s="11" t="str">
        <x:v>Critical</x:v>
      </x:c>
      <x:c r="H11" s="25" t="str">
        <x:v>Not Started</x:v>
      </x:c>
      <x:c r="I11" s="23" t="n">
        <x:v>8</x:v>
      </x:c>
      <x:c r="J11" s="11" t="str">
        <x:v>Medium</x:v>
      </x:c>
      <x:c r="K11" s="11" t="str">
        <x:f>IF(H11="Done","Yes","No")</x:f>
        <x:v>No</x:v>
      </x:c>
    </x:row>
  </x:sheetData>
  <x:mergeCells>
    <x:mergeCell ref="A1:K1"/>
    <x:mergeCell ref="A2:K2"/>
  </x:mergeCells>
  <x:dataValidations count="1">
    <x:dataValidation type="list" sqref="H5:H11">
      <x:formula1>"Not Started,In Progress,In Review,Done,Blocked"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6dd454093045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32" hidden="0" customWidth="1"/>
    <x:col min="9" max="9" width="12" hidden="0" customWidth="1"/>
    <x:col min="10" max="10" width="12" hidden="0" customWidth="1"/>
    <x:col min="11" max="11" width="13" hidden="0" customWidth="1"/>
    <x:col min="12" max="12" width="14" hidden="0" customWidth="1"/>
  </x:cols>
  <x:sheetData>
    <x:row r="1" ht="24" customHeight="1">
      <x:c r="A1" s="3" t="str">
        <x:v>Capacity Plan</x:v>
      </x:c>
    </x:row>
    <x:row r="2" ht="24" customHeight="1">
      <x:c r="A2" s="6" t="str">
        <x:v>Scenario plan for evening delivery capacity. Change assumptions to refresh planning logic.</x:v>
      </x:c>
    </x:row>
    <x:row r="4">
      <x:c r="A4" s="16" t="str">
        <x:v>Scenario</x:v>
      </x:c>
      <x:c r="B4" s="16" t="str">
        <x:v>Dev Count</x:v>
      </x:c>
      <x:c r="C4" s="16" t="str">
        <x:v>Dev h / Day</x:v>
      </x:c>
      <x:c r="D4" s="16" t="str">
        <x:v>Dev Capacity / Day</x:v>
      </x:c>
      <x:c r="E4" s="16" t="str">
        <x:v>BA Count</x:v>
      </x:c>
      <x:c r="F4" s="16" t="str">
        <x:v>BA h / Day</x:v>
      </x:c>
      <x:c r="G4" s="16" t="str">
        <x:v>Buffer %</x:v>
      </x:c>
      <x:c r="H4" s="16" t="str">
        <x:v>Notes</x:v>
      </x:c>
      <x:c r="I4" s="16" t="str">
        <x:v>MVP Dev h</x:v>
      </x:c>
      <x:c r="J4" s="16" t="str">
        <x:v>Buffered h</x:v>
      </x:c>
      <x:c r="K4" s="16" t="str">
        <x:v>Working Days</x:v>
      </x:c>
      <x:c r="L4" s="16" t="str">
        <x:v>Forecast End</x:v>
      </x:c>
    </x:row>
    <x:row r="5">
      <x:c r="A5" s="11" t="str">
        <x:v>Conservative</x:v>
      </x:c>
      <x:c r="B5" s="11" t="n">
        <x:v>2</x:v>
      </x:c>
      <x:c r="C5" s="11" t="n">
        <x:v>4</x:v>
      </x:c>
      <x:c r="D5" s="11" t="n">
        <x:v>8</x:v>
      </x:c>
      <x:c r="E5" s="11" t="n">
        <x:v>1</x:v>
      </x:c>
      <x:c r="F5" s="11" t="n">
        <x:v>2</x:v>
      </x:c>
      <x:c r="G5" s="13" t="n">
        <x:v>0.2</x:v>
      </x:c>
      <x:c r="H5" s="11" t="str">
        <x:v>Lower evening capacity</x:v>
      </x:c>
      <x:c r="I5" s="23" t="n">
        <x:f>SUMIF('Phase Roadmap'!A5:A13,"&lt;&gt;Post-MVP",'Phase Roadmap'!F5:F13)</x:f>
        <x:v>189</x:v>
      </x:c>
      <x:c r="J5" s="23" t="n">
        <x:f>I5*(1+G5)</x:f>
        <x:v>226.79999999999998</x:v>
      </x:c>
      <x:c r="K5" s="23" t="n">
        <x:f>CEILING(J5/D5,1)</x:f>
        <x:v>29</x:v>
      </x:c>
      <x:c r="L5" s="12" t="n">
        <x:f>WORKDAY('Assumptions'!$B$5,K5)</x:f>
        <x:v>46251</x:v>
      </x:c>
    </x:row>
    <x:row r="6">
      <x:c r="A6" s="11" t="str">
        <x:v>Base</x:v>
      </x:c>
      <x:c r="B6" s="11" t="n">
        <x:v>2</x:v>
      </x:c>
      <x:c r="C6" s="11" t="n">
        <x:v>5</x:v>
      </x:c>
      <x:c r="D6" s="11" t="n">
        <x:v>10</x:v>
      </x:c>
      <x:c r="E6" s="11" t="n">
        <x:v>1</x:v>
      </x:c>
      <x:c r="F6" s="11" t="n">
        <x:v>3</x:v>
      </x:c>
      <x:c r="G6" s="13" t="n">
        <x:v>0.2</x:v>
      </x:c>
      <x:c r="H6" s="11" t="str">
        <x:v>Default planning scenario</x:v>
      </x:c>
      <x:c r="I6" s="23" t="n">
        <x:f>SUMIF('Phase Roadmap'!A5:A13,"&lt;&gt;Post-MVP",'Phase Roadmap'!F5:F13)</x:f>
        <x:v>189</x:v>
      </x:c>
      <x:c r="J6" s="23" t="n">
        <x:f>I6*(1+G6)</x:f>
        <x:v>226.79999999999998</x:v>
      </x:c>
      <x:c r="K6" s="23" t="n">
        <x:f>CEILING(J6/D6,1)</x:f>
        <x:v>23</x:v>
      </x:c>
      <x:c r="L6" s="12" t="n">
        <x:f>WORKDAY('Assumptions'!$B$5,K6)</x:f>
        <x:v>46241</x:v>
      </x:c>
    </x:row>
    <x:row r="7">
      <x:c r="A7" s="11" t="str">
        <x:v>Optimistic</x:v>
      </x:c>
      <x:c r="B7" s="11" t="n">
        <x:v>2</x:v>
      </x:c>
      <x:c r="C7" s="11" t="n">
        <x:v>6</x:v>
      </x:c>
      <x:c r="D7" s="11" t="n">
        <x:v>12</x:v>
      </x:c>
      <x:c r="E7" s="11" t="n">
        <x:v>1</x:v>
      </x:c>
      <x:c r="F7" s="11" t="n">
        <x:v>3.5</x:v>
      </x:c>
      <x:c r="G7" s="13" t="n">
        <x:v>0.15</x:v>
      </x:c>
      <x:c r="H7" s="11" t="str">
        <x:v>Upper evening capacity</x:v>
      </x:c>
      <x:c r="I7" s="23" t="n">
        <x:f>SUMIF('Phase Roadmap'!A5:A13,"&lt;&gt;Post-MVP",'Phase Roadmap'!F5:F13)</x:f>
        <x:v>189</x:v>
      </x:c>
      <x:c r="J7" s="23" t="n">
        <x:f>I7*(1+G7)</x:f>
        <x:v>217.35</x:v>
      </x:c>
      <x:c r="K7" s="23" t="n">
        <x:f>CEILING(J7/D7,1)</x:f>
        <x:v>19</x:v>
      </x:c>
      <x:c r="L7" s="12" t="n">
        <x:f>WORKDAY('Assumptions'!$B$5,K7)</x:f>
        <x:v>46237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320588d974d40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0" hidden="0" customWidth="1"/>
    <x:col min="3" max="3" width="14" hidden="0" customWidth="1"/>
    <x:col min="4" max="4" width="12" hidden="0" customWidth="1"/>
    <x:col min="5" max="5" width="70" hidden="0" customWidth="1"/>
    <x:col min="6" max="6" width="16" hidden="0" customWidth="1"/>
    <x:col min="7" max="7" width="14" hidden="0" customWidth="1"/>
  </x:cols>
  <x:sheetData>
    <x:row r="1" ht="24" customHeight="1">
      <x:c r="A1" s="3" t="str">
        <x:v>Risks &amp; Decisions</x:v>
      </x:c>
    </x:row>
    <x:row r="2" ht="24" customHeight="1">
      <x:c r="A2" s="6" t="str">
        <x:v>Open risks and decisions that can change timeline, priority or scope.</x:v>
      </x:c>
    </x:row>
    <x:row r="4">
      <x:c r="A4" s="16" t="str">
        <x:v>ID</x:v>
      </x:c>
      <x:c r="B4" s="16" t="str">
        <x:v>Risk / Decision</x:v>
      </x:c>
      <x:c r="C4" s="16" t="str">
        <x:v>Phase</x:v>
      </x:c>
      <x:c r="D4" s="16" t="str">
        <x:v>Impact</x:v>
      </x:c>
      <x:c r="E4" s="16" t="str">
        <x:v>Mitigation / Decision</x:v>
      </x:c>
      <x:c r="F4" s="16" t="str">
        <x:v>Owner</x:v>
      </x:c>
      <x:c r="G4" s="16" t="str">
        <x:v>Status</x:v>
      </x:c>
    </x:row>
    <x:row r="5">
      <x:c r="A5" s="11" t="str">
        <x:v>R01</x:v>
      </x:c>
      <x:c r="B5" s="11" t="str">
        <x:v>Phase 0 tracking is superseded by newer architecture foundation.</x:v>
      </x:c>
      <x:c r="C5" s="11" t="str">
        <x:v>Phase 0</x:v>
      </x:c>
      <x:c r="D5" s="11" t="str">
        <x:v>Medium</x:v>
      </x:c>
      <x:c r="E5" s="11" t="str">
        <x:v>Keep Phase 0 old file as historical; verify architecture foundation before production.</x:v>
      </x:c>
      <x:c r="F5" s="11" t="str">
        <x:v>BA/Tech</x:v>
      </x:c>
      <x:c r="G5" s="30" t="str">
        <x:v>Open Risk</x:v>
      </x:c>
    </x:row>
    <x:row r="6">
      <x:c r="A6" s="11" t="str">
        <x:v>R02</x:v>
      </x:c>
      <x:c r="B6" s="11" t="str">
        <x:v>Production implementation is still not started in current tracking files.</x:v>
      </x:c>
      <x:c r="C6" s="11" t="str">
        <x:v>All</x:v>
      </x:c>
      <x:c r="D6" s="11" t="str">
        <x:v>High</x:v>
      </x:c>
      <x:c r="E6" s="11" t="str">
        <x:v>Use this workbook as dev execution tracker and update daily.</x:v>
      </x:c>
      <x:c r="F6" s="11" t="str">
        <x:v>BA/Dev</x:v>
      </x:c>
      <x:c r="G6" s="30" t="str">
        <x:v>Open Risk</x:v>
      </x:c>
    </x:row>
    <x:row r="7">
      <x:c r="A7" s="11" t="str">
        <x:v>R03</x:v>
      </x:c>
      <x:c r="B7" s="11" t="str">
        <x:v>Phase 1 official timebox is 16h but detailed breakdown may exceed it.</x:v>
      </x:c>
      <x:c r="C7" s="11" t="str">
        <x:v>Phase 1</x:v>
      </x:c>
      <x:c r="D7" s="11" t="str">
        <x:v>Medium</x:v>
      </x:c>
      <x:c r="E7" s="11" t="str">
        <x:v>Keep cap and detailed estimates visible; report variance before scope expansion.</x:v>
      </x:c>
      <x:c r="F7" s="11" t="str">
        <x:v>BA/Dev</x:v>
      </x:c>
      <x:c r="G7" s="30" t="str">
        <x:v>Open Risk</x:v>
      </x:c>
    </x:row>
    <x:row r="8">
      <x:c r="A8" s="11" t="str">
        <x:v>R04</x:v>
      </x:c>
      <x:c r="B8" s="11" t="str">
        <x:v>Team Board and Team Status must not be pulled back into Phase 2.</x:v>
      </x:c>
      <x:c r="C8" s="11" t="str">
        <x:v>Phase 3</x:v>
      </x:c>
      <x:c r="D8" s="11" t="str">
        <x:v>High</x:v>
      </x:c>
      <x:c r="E8" s="11" t="str">
        <x:v>Workbook places them in Phase 3 only.</x:v>
      </x:c>
      <x:c r="F8" s="11" t="str">
        <x:v>BA</x:v>
      </x:c>
      <x:c r="G8" s="20" t="str">
        <x:v>Decided</x:v>
      </x:c>
    </x:row>
    <x:row r="9">
      <x:c r="A9" s="11" t="str">
        <x:v>R05</x:v>
      </x:c>
      <x:c r="B9" s="11" t="str">
        <x:v>Release/Milestone are needed for Jul 10 target but were deferred from Phase 2.</x:v>
      </x:c>
      <x:c r="C9" s="11" t="str">
        <x:v>Phase 3</x:v>
      </x:c>
      <x:c r="D9" s="11" t="str">
        <x:v>High</x:v>
      </x:c>
      <x:c r="E9" s="11" t="str">
        <x:v>Treat as MVP slice with medium confidence and follow-up SRS refinement.</x:v>
      </x:c>
      <x:c r="F9" s="11" t="str">
        <x:v>BA/Dev</x:v>
      </x:c>
      <x:c r="G9" s="30" t="str">
        <x:v>Open Risk</x:v>
      </x:c>
    </x:row>
    <x:row r="10">
      <x:c r="A10" s="11" t="str">
        <x:v>R06</x:v>
      </x:c>
      <x:c r="B10" s="11" t="str">
        <x:v>Permissions matrix is not finalized.</x:v>
      </x:c>
      <x:c r="C10" s="11" t="str">
        <x:v>Phase 2+</x:v>
      </x:c>
      <x:c r="D10" s="11" t="str">
        <x:v>Medium</x:v>
      </x:c>
      <x:c r="E10" s="11" t="str">
        <x:v>Current mock assumes Workspace Admin; harden RBAC in Phase 4.</x:v>
      </x:c>
      <x:c r="F10" s="11" t="str">
        <x:v>BA/Tech</x:v>
      </x:c>
      <x:c r="G10" s="30" t="str">
        <x:v>Open Risk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a42baca03154e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94" hidden="0" customWidth="1"/>
  </x:cols>
  <x:sheetData>
    <x:row r="1" ht="24" customHeight="1">
      <x:c r="A1" s="3" t="str">
        <x:v>Source Notes</x:v>
      </x:c>
    </x:row>
    <x:row r="2" ht="24" customHeight="1">
      <x:c r="A2" s="6" t="str">
        <x:v>Auditable source files used to create this workbook. Paths are plain text so BA/dev can verify them.</x:v>
      </x:c>
    </x:row>
    <x:row r="4">
      <x:c r="A4" s="16" t="str">
        <x:v>Source</x:v>
      </x:c>
      <x:c r="B4" s="16" t="str">
        <x:v>Used For</x:v>
      </x:c>
      <x:c r="C4" s="16" t="str">
        <x:v>Path</x:v>
      </x:c>
    </x:row>
    <x:row r="5">
      <x:c r="A5" s="11" t="str">
        <x:v>Time line.md</x:v>
      </x:c>
      <x:c r="B5" s="11" t="str">
        <x:v>Master timeline, Phase 2 closure, recommended build order and risks.</x:v>
      </x:c>
      <x:c r="C5" s="11" t="str">
        <x:v>D:/Mini_Rally_pj/Time line.md</x:v>
      </x:c>
    </x:row>
    <x:row r="6">
      <x:c r="A6" s="11" t="str">
        <x:v>Project_developement_plan.md</x:v>
      </x:c>
      <x:c r="B6" s="11" t="str">
        <x:v>Roadmap, phase scope and latest baseline decisions.</x:v>
      </x:c>
      <x:c r="C6" s="11" t="str">
        <x:v>D:/Mini_Rally_pj/04_Developement_tracking/Project_developement_plan.md</x:v>
      </x:c>
    </x:row>
    <x:row r="7">
      <x:c r="A7" s="11" t="str">
        <x:v>PHASE0_DEVELOPMENT_TRACKING.md</x:v>
      </x:c>
      <x:c r="B7" s="11" t="str">
        <x:v>Phase 0 historical 12h tracking and acceptance notes.</x:v>
      </x:c>
      <x:c r="C7" s="11" t="str">
        <x:v>D:/Mini_Rally_pj/04_Developement_tracking/Phase 0/PHASE0_DEVELOPMENT_TRACKING.md</x:v>
      </x:c>
    </x:row>
    <x:row r="8">
      <x:c r="A8" s="11" t="str">
        <x:v>PHASE1_DEVELOPMENT_TRACKING.md</x:v>
      </x:c>
      <x:c r="B8" s="11" t="str">
        <x:v>Phase 1 official 16h cap and task plan.</x:v>
      </x:c>
      <x:c r="C8" s="11" t="str">
        <x:v>D:/Mini_Rally_pj/04_Developement_tracking/Phase 1/PHASE1_DEVELOPMENT_TRACKING.md</x:v>
      </x:c>
    </x:row>
    <x:row r="9">
      <x:c r="A9" s="11" t="str">
        <x:v>PHASE2_DEVELOPMENT_TRACKING.md</x:v>
      </x:c>
      <x:c r="B9" s="11" t="str">
        <x:v>Phase 2 37h tracking, P2.1/P2.2/P2.3 tasks and context rules.</x:v>
      </x:c>
      <x:c r="C9" s="11" t="str">
        <x:v>D:/Mini_Rally_pj/04_Developement_tracking/Phase 2/PHASE2_DEVELOPMENT_TRACKING.md</x:v>
      </x:c>
    </x:row>
    <x:row r="10">
      <x:c r="A10" s="11" t="str">
        <x:v>Phase 3 placeholder SRS</x:v>
      </x:c>
      <x:c r="B10" s="11" t="str">
        <x:v>Team Board and Team Status are Phase 3 pending BA confirmation.</x:v>
      </x:c>
      <x:c r="C10" s="11" t="str">
        <x:v>D:/Mini_Rally_pj/04_Developement_tracking/Phase 3/01_Team_Board_Team_Status/SRS.md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83b55d6a0bd45c5"/>
  </x:tableParts>
</x:worksheet>
</file>