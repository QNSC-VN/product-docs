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57e56cff8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60edc307b2942a7"/>
    <x:sheet xmlns:r="http://schemas.openxmlformats.org/officeDocument/2006/relationships" name="Assumptions" sheetId="2" r:id="R1233ba4cb56a4aaf"/>
    <x:sheet xmlns:r="http://schemas.openxmlformats.org/officeDocument/2006/relationships" name="Phase Roadmap" sheetId="3" r:id="R30392b59d776486e"/>
    <x:sheet xmlns:r="http://schemas.openxmlformats.org/officeDocument/2006/relationships" name="Build Tasks" sheetId="4" r:id="R5d5d6f81d83048ef"/>
    <x:sheet xmlns:r="http://schemas.openxmlformats.org/officeDocument/2006/relationships" name="Phase 3 Handoff" sheetId="5" r:id="Rc0ed171450fa4e7c"/>
    <x:sheet xmlns:r="http://schemas.openxmlformats.org/officeDocument/2006/relationships" name="Capacity Plan" sheetId="6" r:id="Ra68665750b644020"/>
    <x:sheet xmlns:r="http://schemas.openxmlformats.org/officeDocument/2006/relationships" name="Risks &amp; Decisions" sheetId="7" r:id="R09bb0bbf225541c1"/>
    <x:sheet xmlns:r="http://schemas.openxmlformats.org/officeDocument/2006/relationships" name="Source Notes" sheetId="8" r:id="R06c9b3f8aaa2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3"/>
      <x:color rgb="FF173B6D"/>
      <x:name val="Carlito"/>
    </x:font>
    <x:font>
      <x:b/>
      <x:sz val="11"/>
      <x:color rgb="FF64748B"/>
      <x:name val="Carlito"/>
    </x:font>
    <x:font>
      <x:b/>
      <x:sz val="22"/>
      <x:color rgb="FF173B6D"/>
      <x:name val="Carlito"/>
    </x:font>
    <x:font>
      <x:b/>
      <x:sz val="11"/>
      <x:color rgb="FF173B6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B6D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1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7" xfId="0" applyNumberFormat="1" applyFont="1" applyFill="1" applyBorder="1" applyAlignment="1">
      <x:alignment wrapText="1"/>
    </x:xf>
    <x:xf numFmtId="0" fontId="6" fillId="10" borderId="2" xfId="0" applyNumberFormat="1" applyFont="1" applyFill="1" applyBorder="1" applyAlignment="1">
      <x:alignment wrapText="1"/>
    </x:xf>
    <x:xf numFmtId="201" fontId="0" fillId="10" borderId="4" xfId="0" applyNumberFormat="1" applyFont="1" applyFill="1" applyBorder="1" applyAlignment="1">
      <x:alignment wrapText="1"/>
    </x:xf>
    <x:xf numFmtId="201" fontId="7" fillId="10" borderId="4" xfId="0" applyNumberFormat="1" applyFont="1" applyFill="1" applyBorder="1" applyAlignment="1">
      <x:alignment wrapText="1"/>
    </x:xf>
    <x:xf numFmtId="201" fontId="7" fillId="10" borderId="4" xfId="0" applyNumberFormat="1" applyFont="1" applyFill="1" applyBorder="1" applyAlignment="1">
      <x:alignment horizontal="center" wrapText="1"/>
    </x:xf>
    <x:xf numFmtId="201" fontId="7" fillId="10" borderId="4" xfId="0" applyNumberFormat="1" applyFont="1" applyFill="1" applyBorder="1" applyAlignment="1">
      <x:alignment horizontal="center" vertical="center" wrapText="1"/>
    </x:xf>
    <x:xf numFmtId="200" fontId="0" fillId="10" borderId="4" xfId="0" applyNumberFormat="1" applyFont="1" applyFill="1" applyBorder="1" applyAlignment="1">
      <x:alignment wrapText="1"/>
    </x:xf>
    <x:xf numFmtId="200" fontId="7" fillId="10" borderId="4" xfId="0" applyNumberFormat="1" applyFont="1" applyFill="1" applyBorder="1" applyAlignment="1">
      <x:alignment wrapText="1"/>
    </x:xf>
    <x:xf numFmtId="200" fontId="7" fillId="10" borderId="4" xfId="0" applyNumberFormat="1" applyFont="1" applyFill="1" applyBorder="1" applyAlignment="1">
      <x:alignment horizontal="center" wrapText="1"/>
    </x:xf>
    <x:xf numFmtId="200" fontId="7" fillId="10" borderId="4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8" fillId="6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fab1b2a8e45f4" /><Relationship Type="http://schemas.openxmlformats.org/officeDocument/2006/relationships/theme" Target="/xl/theme/theme1.xml" Id="Rd1745cce690141db" /><Relationship Type="http://schemas.openxmlformats.org/officeDocument/2006/relationships/sharedStrings" Target="/xl/sharedStrings.xml" Id="Re339da1092034965" /><Relationship Type="http://schemas.openxmlformats.org/officeDocument/2006/relationships/worksheet" Target="/xl/worksheets/sheet1.xml" Id="R160edc307b2942a7" /><Relationship Type="http://schemas.openxmlformats.org/officeDocument/2006/relationships/worksheet" Target="/xl/worksheets/sheet2.xml" Id="R1233ba4cb56a4aaf" /><Relationship Type="http://schemas.openxmlformats.org/officeDocument/2006/relationships/worksheet" Target="/xl/worksheets/sheet3.xml" Id="R30392b59d776486e" /><Relationship Type="http://schemas.openxmlformats.org/officeDocument/2006/relationships/worksheet" Target="/xl/worksheets/sheet4.xml" Id="R5d5d6f81d83048ef" /><Relationship Type="http://schemas.openxmlformats.org/officeDocument/2006/relationships/worksheet" Target="/xl/worksheets/sheet5.xml" Id="Rc0ed171450fa4e7c" /><Relationship Type="http://schemas.openxmlformats.org/officeDocument/2006/relationships/worksheet" Target="/xl/worksheets/sheet6.xml" Id="Ra68665750b644020" /><Relationship Type="http://schemas.openxmlformats.org/officeDocument/2006/relationships/worksheet" Target="/xl/worksheets/sheet7.xml" Id="R09bb0bbf225541c1" /><Relationship Type="http://schemas.openxmlformats.org/officeDocument/2006/relationships/worksheet" Target="/xl/worksheets/sheet8.xml" Id="R06c9b3f8aaa24f23" /></Relationships>
</file>

<file path=xl/tables/table1.xml><?xml version="1.0" encoding="utf-8"?>
<x:table xmlns:x="http://schemas.openxmlformats.org/spreadsheetml/2006/main" id="1" name="PhaseRoadmapTable" displayName="PhaseRoadmapTable" ref="A4:O13" headerRowCount="1" totalsRowCount="0" totalsRowShown="0">
  <x:autoFilter ref="A4:O13"/>
  <x:tableColumns count="15">
    <x:tableColumn id="1" name="Phase"/>
    <x:tableColumn id="2" name="Theme"/>
    <x:tableColumn id="3" name="BA Status"/>
    <x:tableColumn id="4" name="Dev Status"/>
    <x:tableColumn id="5" name="Primary Owner"/>
    <x:tableColumn id="6" name="Dev Estimate h"/>
    <x:tableColumn id="7" name="BA Estimate h"/>
    <x:tableColumn id="8" name="Priority"/>
    <x:tableColumn id="9" name="Confidence"/>
    <x:tableColumn id="10" name="Build Scope"/>
    <x:tableColumn id="11" name="Dependency"/>
    <x:tableColumn id="12" name="Notes"/>
    <x:tableColumn id="13" name="Tracker Status"/>
    <x:tableColumn id="14" name="Dev Days Base"/>
    <x:tableColumn id="15" name="Target E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ildTasksTable" displayName="BuildTasksTable" ref="A4:Q33" headerRowCount="1" totalsRowCount="0" totalsRowShown="0">
  <x:autoFilter ref="A4:Q33"/>
  <x:tableColumns count="17">
    <x:tableColumn id="1" name="ID"/>
    <x:tableColumn id="2" name="Phase"/>
    <x:tableColumn id="3" name="Workstream"/>
    <x:tableColumn id="4" name="Capability"/>
    <x:tableColumn id="5" name="Build Detail"/>
    <x:tableColumn id="6" name="BA Status"/>
    <x:tableColumn id="7" name="Dev Status"/>
    <x:tableColumn id="8" name="Dev Owner"/>
    <x:tableColumn id="9" name="BA Owner"/>
    <x:tableColumn id="10" name="Priority"/>
    <x:tableColumn id="11" name="Estimate h"/>
    <x:tableColumn id="12" name="Confidence"/>
    <x:tableColumn id="13" name="Dependency"/>
    <x:tableColumn id="14" name="Release Target"/>
    <x:tableColumn id="15" name="Target Date"/>
    <x:tableColumn id="16" name="Remaining h"/>
    <x:tableColumn id="17" name="Progr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ase3HandoffTable" displayName="Phase3HandoffTable" ref="A4:K11" headerRowCount="1" totalsRowCount="0" totalsRowShown="0">
  <x:autoFilter ref="A4:K11"/>
  <x:tableColumns count="11">
    <x:tableColumn id="1" name="ID"/>
    <x:tableColumn id="2" name="Confirmed Point"/>
    <x:tableColumn id="3" name="Acceptance Meaning"/>
    <x:tableColumn id="4" name="Phase"/>
    <x:tableColumn id="5" name="Linked Task"/>
    <x:tableColumn id="6" name="Owner"/>
    <x:tableColumn id="7" name="Priority"/>
    <x:tableColumn id="8" name="Status"/>
    <x:tableColumn id="9" name="Estimate h"/>
    <x:tableColumn id="10" name="Confidence"/>
    <x:tableColumn id="11" name="Confirmed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acityPlanTable" displayName="CapacityPlanTable" ref="A4:L7" headerRowCount="1" totalsRowCount="0" totalsRowShown="0">
  <x:autoFilter ref="A4:L7"/>
  <x:tableColumns count="12">
    <x:tableColumn id="1" name="Scenario"/>
    <x:tableColumn id="2" name="Dev Count"/>
    <x:tableColumn id="3" name="Dev h / Day"/>
    <x:tableColumn id="4" name="Dev Capacity / Day"/>
    <x:tableColumn id="5" name="BA Count"/>
    <x:tableColumn id="6" name="BA h / Day"/>
    <x:tableColumn id="7" name="Buffer %"/>
    <x:tableColumn id="8" name="Notes"/>
    <x:tableColumn id="9" name="Target Remaining h"/>
    <x:tableColumn id="10" name="Buffered h"/>
    <x:tableColumn id="11" name="Calendar Days"/>
    <x:tableColumn id="12" name="Forecast 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sDecisionsTable" displayName="RisksDecisionsTable" ref="A4:G11" headerRowCount="1" totalsRowCount="0" totalsRowShown="0">
  <x:autoFilter ref="A4:G11"/>
  <x:tableColumns count="7">
    <x:tableColumn id="1" name="ID"/>
    <x:tableColumn id="2" name="Risk / Decision"/>
    <x:tableColumn id="3" name="Phase"/>
    <x:tableColumn id="4" name="Impact"/>
    <x:tableColumn id="5" name="Mitigation / Decision"/>
    <x:tableColumn id="6" name="Owner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NotesTable" displayName="SourceNotesTable" ref="A4:C17" headerRowCount="1" totalsRowCount="0" totalsRowShown="0">
  <x:autoFilter ref="A4:C17"/>
  <x:tableColumns count="3">
    <x:tableColumn id="1" name="Source"/>
    <x:tableColumn id="2" name="Used For"/>
    <x:tableColumn id="3" name="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079889b2eb940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86dedd2715e40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fa114a6890047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8a582943b7940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ed8b53e649947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c481224b01642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58" hidden="0" customWidth="1"/>
    <x:col min="7" max="7" width="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3" t="str">
        <x:v>Mini Rally Project Completion Dashboard</x:v>
      </x:c>
    </x:row>
    <x:row r="2" ht="24" customHeight="1">
      <x:c r="A2" s="6" t="str">
        <x:v>Compressed BA/Dev time plan: finish execution through Phase 5 by 2026-07-20.</x:v>
      </x:c>
    </x:row>
    <x:row r="4">
      <x:c r="A4" s="31" t="str">
        <x:v>Executive Summary</x:v>
      </x:c>
    </x:row>
    <x:row r="6">
      <x:c r="A6" s="45" t="str">
        <x:v>Current BA scope ready
Phase 0-3 docs/mockups</x:v>
      </x:c>
      <x:c r="B6" s="40"/>
      <x:c r="D6" s="45" t="str">
        <x:v>Dev completion
Production task completion</x:v>
      </x:c>
      <x:c r="E6" s="40"/>
      <x:c r="G6" s="45" t="str">
        <x:v>P3 handoff ready
Confirmed BA rules</x:v>
      </x:c>
      <x:c r="H6" s="40"/>
      <x:c r="I6" s="45" t="str">
        <x:v>Target finish
Phase 5 complete by</x:v>
      </x:c>
      <x:c r="J6" s="40"/>
    </x:row>
    <x:row r="7">
      <x:c r="A7" s="41"/>
      <x:c r="B7" s="42"/>
      <x:c r="D7" s="41"/>
      <x:c r="E7" s="42"/>
      <x:c r="G7" s="41"/>
      <x:c r="H7" s="42"/>
      <x:c r="I7" s="41"/>
      <x:c r="J7" s="42"/>
    </x:row>
    <x:row r="8">
      <x:c r="A8" s="49" t="n">
        <x:f>(COUNTIF('Phase Roadmap'!C5:C10,"Done")+COUNTIF('Phase Roadmap'!C5:C10,"Ready for Dev")+COUNTIF('Phase Roadmap'!C5:C10,"BA Accepted")+COUNTIF('Phase Roadmap'!C5:C10,"BA/SRS Ready"))/COUNTA('Phase Roadmap'!C5:C10)</x:f>
        <x:v>1</x:v>
      </x:c>
      <x:c r="B8" s="42"/>
      <x:c r="D8" s="49" t="n">
        <x:f>AVERAGE('Build Tasks'!Q5:Q33)</x:f>
        <x:v>0.5206896551724138</x:v>
      </x:c>
      <x:c r="E8" s="42"/>
      <x:c r="G8" s="49" t="n">
        <x:f>COUNTIF('Phase 3 Handoff'!H5:H11,"Done")/(COUNTA('Phase 3 Handoff'!H5:H11)-COUNTIF('Phase 3 Handoff'!H5:H11,"Deferred"))</x:f>
        <x:v>1</x:v>
      </x:c>
      <x:c r="H8" s="42"/>
      <x:c r="I8" s="53" t="n">
        <x:f>'Assumptions'!B6</x:f>
        <x:v>46223</x:v>
      </x:c>
      <x:c r="J8" s="42"/>
    </x:row>
    <x:row r="9">
      <x:c r="A9" s="43"/>
      <x:c r="B9" s="44"/>
      <x:c r="D9" s="43"/>
      <x:c r="E9" s="44"/>
      <x:c r="G9" s="43"/>
      <x:c r="H9" s="44"/>
      <x:c r="I9" s="43"/>
      <x:c r="J9" s="44"/>
    </x:row>
    <x:row r="12">
      <x:c r="A12" s="7" t="str">
        <x:v>Compressed Target Forecast</x:v>
      </x:c>
    </x:row>
    <x:row r="13">
      <x:c r="A13" s="60" t="str">
        <x:v>Scenario</x:v>
      </x:c>
      <x:c r="B13" s="60" t="str">
        <x:v>Dev h/day</x:v>
      </x:c>
      <x:c r="C13" s="60" t="str">
        <x:v>Buffered Dev h</x:v>
      </x:c>
      <x:c r="D13" s="60" t="str">
        <x:v>Calendar days</x:v>
      </x:c>
      <x:c r="E13" s="60" t="str">
        <x:v>Forecast End</x:v>
      </x:c>
      <x:c r="F13" s="60" t="str">
        <x:v>Interpretation</x:v>
      </x:c>
      <x:c r="G13" t="str"/>
      <x:c r="H13" t="str"/>
      <x:c r="I13" t="str"/>
      <x:c r="J13" t="str"/>
    </x:row>
    <x:row r="14">
      <x:c r="A14" s="11" t="str">
        <x:v>Target 20/07</x:v>
      </x:c>
      <x:c r="B14" s="11" t="n">
        <x:f>'Capacity Plan'!D5</x:f>
        <x:v>13.4</x:v>
      </x:c>
      <x:c r="C14" s="25" t="n">
        <x:f>'Capacity Plan'!J5</x:f>
        <x:v>106.7</x:v>
      </x:c>
      <x:c r="D14" s="25" t="n">
        <x:f>'Capacity Plan'!K5</x:f>
        <x:v>8</x:v>
      </x:c>
      <x:c r="E14" s="12" t="n">
        <x:f>'Capacity Plan'!L5</x:f>
        <x:v>46223</x:v>
      </x:c>
      <x:c r="F14" s="11" t="str">
        <x:v>Compressed plan required to finish Phase 5 on 2026-07-20.</x:v>
      </x:c>
      <x:c r="G14" t="str"/>
      <x:c r="H14" t="str"/>
      <x:c r="I14" t="str"/>
      <x:c r="J14" t="str"/>
    </x:row>
    <x:row r="15">
      <x:c r="A15" s="11" t="str">
        <x:v>Normal Base</x:v>
      </x:c>
      <x:c r="B15" s="11" t="n">
        <x:f>'Capacity Plan'!D6</x:f>
        <x:v>10</x:v>
      </x:c>
      <x:c r="C15" s="25" t="n">
        <x:f>'Capacity Plan'!J6</x:f>
        <x:v>128.04</x:v>
      </x:c>
      <x:c r="D15" s="25" t="n">
        <x:f>'Capacity Plan'!K6</x:f>
        <x:v>13</x:v>
      </x:c>
      <x:c r="E15" s="12" t="n">
        <x:f>'Capacity Plan'!L6</x:f>
        <x:v>46228</x:v>
      </x:c>
      <x:c r="F15" s="11" t="str">
        <x:v>Misses target unless scope is reduced or capacity is increased.</x:v>
      </x:c>
      <x:c r="G15" t="str"/>
      <x:c r="H15" t="str"/>
      <x:c r="I15" t="str"/>
      <x:c r="J15" t="str"/>
    </x:row>
    <x:row r="16">
      <x:c r="A16" s="11" t="str">
        <x:v>Fallback</x:v>
      </x:c>
      <x:c r="B16" s="11" t="n">
        <x:f>'Capacity Plan'!D7</x:f>
        <x:v>8</x:v>
      </x:c>
      <x:c r="C16" s="25" t="n">
        <x:f>'Capacity Plan'!J7</x:f>
        <x:v>128.04</x:v>
      </x:c>
      <x:c r="D16" s="25" t="n">
        <x:f>'Capacity Plan'!K7</x:f>
        <x:v>17</x:v>
      </x:c>
      <x:c r="E16" s="12" t="n">
        <x:f>'Capacity Plan'!L7</x:f>
        <x:v>46232</x:v>
      </x:c>
      <x:c r="F16" s="11" t="str">
        <x:v>High-risk path; move Phase 4/5 items back to backlog if capacity is unavailable.</x:v>
      </x:c>
      <x:c r="G16" t="str"/>
      <x:c r="H16" t="str"/>
      <x:c r="I16" t="str"/>
      <x:c r="J16" t="str"/>
    </x:row>
    <x:row r="17" ht="34" customHeight="1">
      <x:c r="A17" s="11" t="str">
        <x:v>Target Scope Through Phase 5</x:v>
      </x:c>
      <x:c r="B17" s="11" t="str"/>
      <x:c r="C17" s="25" t="n">
        <x:f>'Capacity Plan'!I5</x:f>
        <x:v>106.7</x:v>
      </x:c>
      <x:c r="D17" s="25" t="n">
        <x:f>'Capacity Plan'!K5</x:f>
        <x:v>8</x:v>
      </x:c>
      <x:c r="E17" s="12" t="n">
        <x:f>'Assumptions'!B6</x:f>
        <x:v>46223</x:v>
      </x:c>
      <x:c r="F17" s="11" t="str">
        <x:v>Target scope excludes Team Board; finish Phase 3 by 16/07, Phase 4 by 18/07, Phase 5 by 20/07.</x:v>
      </x:c>
      <x:c r="G17" t="str"/>
      <x:c r="H17" t="str"/>
      <x:c r="I17" t="str"/>
      <x:c r="J17" t="str"/>
    </x:row>
    <x:row r="18" ht="34" customHeight="1">
      <x:c r="A18" s="11" t="str">
        <x:v>Immediate next action</x:v>
      </x:c>
      <x:c r="B18" s="11" t="str"/>
      <x:c r="C18" s="11" t="str"/>
      <x:c r="D18" s="11" t="str"/>
      <x:c r="E18" s="11" t="str"/>
      <x:c r="F18" s="11" t="str">
        <x:v>Run Phase 3 13-16/07, Phase 4 17-18/07, Phase 5 19-20/07. Keep scope frozen.</x:v>
      </x:c>
      <x:c r="G18" t="str"/>
      <x:c r="H18" t="str"/>
      <x:c r="I18" t="str"/>
      <x:c r="J18" t="str"/>
    </x:row>
    <x:row r="21">
      <x:c r="A21" s="7" t="str">
        <x:v>Current Phase Status</x:v>
      </x:c>
    </x:row>
    <x:row r="22">
      <x:c r="A22" s="60" t="str">
        <x:v>Phase</x:v>
      </x:c>
      <x:c r="B22" s="60" t="str">
        <x:v>BA Status</x:v>
      </x:c>
      <x:c r="C22" s="60" t="str">
        <x:v>Dev Status</x:v>
      </x:c>
      <x:c r="D22" s="60" t="str">
        <x:v>Estimate h</x:v>
      </x:c>
      <x:c r="E22" s="60" t="str">
        <x:v>Tracker Status</x:v>
      </x:c>
      <x:c r="F22" s="60" t="str">
        <x:v>Next Action</x:v>
      </x:c>
    </x:row>
    <x:row r="23">
      <x:c r="A23" s="11" t="str">
        <x:v>Phase 0</x:v>
      </x:c>
      <x:c r="B23" s="11" t="str">
        <x:f>'Phase Roadmap'!C5</x:f>
        <x:v>BA Accepted</x:v>
      </x:c>
      <x:c r="C23" s="11" t="str">
        <x:f>'Phase Roadmap'!D5</x:f>
        <x:v>Done</x:v>
      </x:c>
      <x:c r="D23" s="25" t="n">
        <x:f>'Phase Roadmap'!F5</x:f>
        <x:v>12</x:v>
      </x:c>
      <x:c r="E23" s="11" t="str">
        <x:f>'Phase Roadmap'!M5</x:f>
        <x:v>Completed</x:v>
      </x:c>
      <x:c r="F23" s="11" t="str">
        <x:v>Verify architecture baseline.</x:v>
      </x:c>
    </x:row>
    <x:row r="24">
      <x:c r="A24" s="11" t="str">
        <x:v>Phase 1</x:v>
      </x:c>
      <x:c r="B24" s="11" t="str">
        <x:f>'Phase Roadmap'!C6</x:f>
        <x:v>BA/SRS Ready</x:v>
      </x:c>
      <x:c r="C24" s="11" t="str">
        <x:f>'Phase Roadmap'!D6</x:f>
        <x:v>In Review</x:v>
      </x:c>
      <x:c r="D24" s="25" t="n">
        <x:f>'Phase Roadmap'!F6</x:f>
        <x:v>16</x:v>
      </x:c>
      <x:c r="E24" s="11" t="str">
        <x:f>'Phase Roadmap'!M6</x:f>
        <x:v>Dev In Review</x:v>
      </x:c>
      <x:c r="F24" s="11" t="str">
        <x:v>Build Manage + Backlog foundations.</x:v>
      </x:c>
    </x:row>
    <x:row r="25">
      <x:c r="A25" s="11" t="str">
        <x:v>Phase 2.1</x:v>
      </x:c>
      <x:c r="B25" s="11" t="str">
        <x:f>'Phase Roadmap'!C7</x:f>
        <x:v>BA/SRS Ready</x:v>
      </x:c>
      <x:c r="C25" s="11" t="str">
        <x:f>'Phase Roadmap'!D7</x:f>
        <x:v>In Review</x:v>
      </x:c>
      <x:c r="D25" s="25" t="n">
        <x:f>'Phase Roadmap'!F7</x:f>
        <x:v>9</x:v>
      </x:c>
      <x:c r="E25" s="11" t="str">
        <x:f>'Phase Roadmap'!M7</x:f>
        <x:v>Dev In Review</x:v>
      </x:c>
      <x:c r="F25" s="11" t="str">
        <x:v>Build enhanced Backlog.</x:v>
      </x:c>
    </x:row>
    <x:row r="26">
      <x:c r="A26" s="11" t="str">
        <x:v>Phase 2.2</x:v>
      </x:c>
      <x:c r="B26" s="11" t="str">
        <x:f>'Phase Roadmap'!C8</x:f>
        <x:v>BA/SRS Ready</x:v>
      </x:c>
      <x:c r="C26" s="11" t="str">
        <x:f>'Phase Roadmap'!D8</x:f>
        <x:v>In Review</x:v>
      </x:c>
      <x:c r="D26" s="25" t="n">
        <x:f>'Phase Roadmap'!F8</x:f>
        <x:v>14</x:v>
      </x:c>
      <x:c r="E26" s="11" t="str">
        <x:f>'Phase Roadmap'!M8</x:f>
        <x:v>Dev In Review</x:v>
      </x:c>
      <x:c r="F26" s="11" t="str">
        <x:v>Build Iterations/Timeboxes.</x:v>
      </x:c>
    </x:row>
    <x:row r="27">
      <x:c r="A27" s="11" t="str">
        <x:v>Phase 2.3</x:v>
      </x:c>
      <x:c r="B27" s="11" t="str">
        <x:f>'Phase Roadmap'!C9</x:f>
        <x:v>BA/SRS Ready</x:v>
      </x:c>
      <x:c r="C27" s="11" t="str">
        <x:f>'Phase Roadmap'!D9</x:f>
        <x:v>In Review</x:v>
      </x:c>
      <x:c r="D27" s="25" t="n">
        <x:f>'Phase Roadmap'!F9</x:f>
        <x:v>14</x:v>
      </x:c>
      <x:c r="E27" s="11" t="str">
        <x:f>'Phase Roadmap'!M9</x:f>
        <x:v>Dev In Review</x:v>
      </x:c>
      <x:c r="F27" s="11" t="str">
        <x:v>Build Iteration Status.</x:v>
      </x:c>
    </x:row>
    <x:row r="28">
      <x:c r="A28" s="11" t="str">
        <x:v>Phase 3</x:v>
      </x:c>
      <x:c r="B28" s="11" t="str">
        <x:f>'Phase Roadmap'!C10</x:f>
        <x:v>BA/SRS Ready</x:v>
      </x:c>
      <x:c r="C28" s="11" t="str">
        <x:f>'Phase Roadmap'!D10</x:f>
        <x:v>In Progress</x:v>
      </x:c>
      <x:c r="D28" s="25" t="n">
        <x:f>'Phase Roadmap'!F10</x:f>
        <x:v>44</x:v>
      </x:c>
      <x:c r="E28" s="11" t="str">
        <x:f>'Phase Roadmap'!M10</x:f>
        <x:v>Dev In Progress</x:v>
      </x:c>
      <x:c r="F28" s="11" t="str">
        <x:v>Develop Team Status, Task Dashboard inline edit, Release, Milestone and Quality &gt; Defect using confirmed BA rules.</x:v>
      </x:c>
    </x:row>
    <x:row r="29">
      <x:c r="A29" s="11" t="str">
        <x:v>Phase 4</x:v>
      </x:c>
      <x:c r="B29" s="11" t="str">
        <x:f>'Phase Roadmap'!C11</x:f>
        <x:v>Planned</x:v>
      </x:c>
      <x:c r="C29" s="11" t="str">
        <x:f>'Phase Roadmap'!D11</x:f>
        <x:v>Not Started</x:v>
      </x:c>
      <x:c r="D29" s="25" t="n">
        <x:f>'Phase Roadmap'!F11</x:f>
        <x:v>30</x:v>
      </x:c>
      <x:c r="E29" s="11" t="str">
        <x:f>'Phase Roadmap'!M11</x:f>
        <x:v>Target 20/07</x:v>
      </x:c>
      <x:c r="F29" s="11" t="str">
        <x:v>Execute notifications, RBAC and settings/audit by 18/07; keep Team Board in Future Backlog.</x:v>
      </x:c>
    </x:row>
    <x:row r="30">
      <x:c r="A30" s="11" t="str">
        <x:v>Phase 5</x:v>
      </x:c>
      <x:c r="B30" s="11" t="str">
        <x:f>'Phase Roadmap'!C12</x:f>
        <x:v>Planned</x:v>
      </x:c>
      <x:c r="C30" s="11" t="str">
        <x:f>'Phase Roadmap'!D12</x:f>
        <x:v>Not Started</x:v>
      </x:c>
      <x:c r="D30" s="25" t="n">
        <x:f>'Phase Roadmap'!F12</x:f>
        <x:v>24</x:v>
      </x:c>
      <x:c r="E30" s="11" t="str">
        <x:f>'Phase Roadmap'!M12</x:f>
        <x:v>Target 20/07</x:v>
      </x:c>
      <x:c r="F30" s="11" t="str">
        <x:v>Execute reporting dashboard, operational reports and QA handoff by 20/07.</x:v>
      </x:c>
    </x:row>
    <x:row r="31">
      <x:c r="A31" s="11" t="str">
        <x:v>Post-MVP</x:v>
      </x:c>
      <x:c r="B31" s="11" t="str">
        <x:f>'Phase Roadmap'!C13</x:f>
        <x:v>Future</x:v>
      </x:c>
      <x:c r="C31" s="11" t="str">
        <x:f>'Phase Roadmap'!D13</x:f>
        <x:v>Not Started</x:v>
      </x:c>
      <x:c r="D31" s="25" t="n">
        <x:f>'Phase Roadmap'!F13</x:f>
        <x:v>32</x:v>
      </x:c>
      <x:c r="E31" s="11" t="str">
        <x:f>'Phase Roadmap'!M13</x:f>
        <x:v>Post-MVP</x:v>
      </x:c>
      <x:c r="F31" s="11" t="str">
        <x:v>Portfolio optional after MVP.</x:v>
      </x:c>
    </x:row>
  </x:sheetData>
  <x:mergeCells>
    <x:mergeCell ref="A1:J1"/>
    <x:mergeCell ref="A2:J2"/>
    <x:mergeCell ref="A4:J4"/>
    <x:mergeCell ref="A6:B7"/>
    <x:mergeCell ref="A8:B9"/>
    <x:mergeCell ref="D6:E7"/>
    <x:mergeCell ref="D8:E9"/>
    <x:mergeCell ref="G6:H7"/>
    <x:mergeCell ref="G8:H9"/>
    <x:mergeCell ref="I6:J7"/>
    <x:mergeCell ref="I8:J9"/>
    <x:mergeCell ref="A12:J12"/>
    <x:mergeCell ref="A21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70" hidden="0" customWidth="1"/>
  </x:cols>
  <x:sheetData>
    <x:row r="1" ht="24" customHeight="1">
      <x:c r="A1" s="3" t="str">
        <x:v>Assumptions</x:v>
      </x:c>
    </x:row>
    <x:row r="2" ht="24" customHeight="1">
      <x:c r="A2" s="6" t="str">
        <x:v>Editable planning inputs for the Mini Rally completion workbook.</x:v>
      </x:c>
    </x:row>
    <x:row r="4">
      <x:c r="A4" s="10" t="str">
        <x:v>Input</x:v>
      </x:c>
      <x:c r="B4" s="10" t="str">
        <x:v>Value</x:v>
      </x:c>
      <x:c r="C4" s="10" t="str">
        <x:v>Notes</x:v>
      </x:c>
    </x:row>
    <x:row r="5">
      <x:c r="A5" s="11" t="str">
        <x:v>Workbook Updated</x:v>
      </x:c>
      <x:c r="B5" s="12" t="n">
        <x:v>46215</x:v>
      </x:c>
      <x:c r="C5" s="11" t="str">
        <x:v>Latest BA/doc status baseline after Part 1-5 confirmation and final audit.</x:v>
      </x:c>
    </x:row>
    <x:row r="6">
      <x:c r="A6" s="11" t="str">
        <x:v>Target Phase 5 Finish</x:v>
      </x:c>
      <x:c r="B6" s="12" t="n">
        <x:v>46223</x:v>
      </x:c>
      <x:c r="C6" s="11" t="str">
        <x:v>Compressed target: finish execution through Phase 5 by 2026-07-20.</x:v>
      </x:c>
    </x:row>
    <x:row r="7">
      <x:c r="A7" s="11" t="str">
        <x:v>Dev Count</x:v>
      </x:c>
      <x:c r="B7" s="11" t="n">
        <x:v>2</x:v>
      </x:c>
      <x:c r="C7" s="11" t="str">
        <x:v>Current project has 2 developers.</x:v>
      </x:c>
    </x:row>
    <x:row r="8">
      <x:c r="A8" s="11" t="str">
        <x:v>BA Count</x:v>
      </x:c>
      <x:c r="B8" s="11" t="n">
        <x:v>1</x:v>
      </x:c>
      <x:c r="C8" s="11" t="str">
        <x:v>Current project has 1 BA.</x:v>
      </x:c>
    </x:row>
    <x:row r="9">
      <x:c r="A9" s="11" t="str">
        <x:v>Conservative Dev Hours / Dev / Day</x:v>
      </x:c>
      <x:c r="B9" s="11" t="n">
        <x:v>4</x:v>
      </x:c>
      <x:c r="C9" s="11" t="str">
        <x:v>Evening work lower bound.</x:v>
      </x:c>
    </x:row>
    <x:row r="10">
      <x:c r="A10" s="11" t="str">
        <x:v>Target Dev Hours / Dev / Day</x:v>
      </x:c>
      <x:c r="B10" s="11" t="n">
        <x:v>6.7</x:v>
      </x:c>
      <x:c r="C10" s="11" t="str">
        <x:v>Required compressed target basis to finish Phase 5 by 2026-07-20.</x:v>
      </x:c>
    </x:row>
    <x:row r="11">
      <x:c r="A11" s="11" t="str">
        <x:v>Optimistic Dev Hours / Dev / Day</x:v>
      </x:c>
      <x:c r="B11" s="11" t="n">
        <x:v>9</x:v>
      </x:c>
      <x:c r="C11" s="11" t="str">
        <x:v>Upper compressed target; assumes parallel work and weekend support.</x:v>
      </x:c>
    </x:row>
    <x:row r="12">
      <x:c r="A12" s="11" t="str">
        <x:v>Base BA Hours / Day</x:v>
      </x:c>
      <x:c r="B12" s="11" t="n">
        <x:v>3</x:v>
      </x:c>
      <x:c r="C12" s="11" t="str">
        <x:v>Editable default for BA follow-up/spec review.</x:v>
      </x:c>
    </x:row>
    <x:row r="13">
      <x:c r="A13" s="11" t="str">
        <x:v>Buffer %</x:v>
      </x:c>
      <x:c r="B13" s="13" t="n">
        <x:v>0.2</x:v>
      </x:c>
      <x:c r="C13" s="11" t="str">
        <x:v>Applied to forecast estimates.</x:v>
      </x:c>
    </x:row>
    <x:row r="14">
      <x:c r="A14" s="11" t="str">
        <x:v>Calendar Days / Week</x:v>
      </x:c>
      <x:c r="B14" s="11" t="n">
        <x:v>7</x:v>
      </x:c>
      <x:c r="C14" s="11" t="str">
        <x:v>Compressed plan uses calendar days, including weekend support.</x:v>
      </x:c>
    </x:row>
    <x:row r="15">
      <x:c r="A15" s="11" t="str">
        <x:v>Forecast Scenario</x:v>
      </x:c>
      <x:c r="B15" s="11" t="str">
        <x:v>Target 20/07</x:v>
      </x:c>
      <x:c r="C15" s="11" t="str">
        <x:v>Valid values: Target 20/07, Normal Base, Fallback.</x:v>
      </x:c>
    </x:row>
  </x:sheetData>
  <x:mergeCells>
    <x:mergeCell ref="A1:F1"/>
    <x:mergeCell ref="A2:F2"/>
  </x:mergeCells>
  <x:dataValidations count="1">
    <x:dataValidation type="list" sqref="B15">
      <x:formula1>"Target 20/07,Normal Base,Fallback"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12" hidden="0" customWidth="1"/>
    <x:col min="10" max="10" width="55" hidden="0" customWidth="1"/>
    <x:col min="11" max="11" width="22" hidden="0" customWidth="1"/>
    <x:col min="12" max="12" width="48" hidden="0" customWidth="1"/>
    <x:col min="13" max="13" width="16" hidden="0" customWidth="1"/>
    <x:col min="14" max="14" width="14" hidden="0" customWidth="1"/>
    <x:col min="15" max="15" width="16" hidden="0" customWidth="1"/>
  </x:cols>
  <x:sheetData>
    <x:row r="1" ht="24" customHeight="1">
      <x:c r="A1" s="3" t="str">
        <x:v>Phase Roadmap</x:v>
      </x:c>
    </x:row>
    <x:row r="2" ht="24" customHeight="1">
      <x:c r="A2" s="6" t="str">
        <x:v>Compressed phase-level plan: finish execution through Phase 5 by 2026-07-20. Portfolio remains Post-MVP.</x:v>
      </x:c>
    </x:row>
    <x:row r="4">
      <x:c r="A4" s="16" t="str">
        <x:v>Phase</x:v>
      </x:c>
      <x:c r="B4" s="16" t="str">
        <x:v>Theme</x:v>
      </x:c>
      <x:c r="C4" s="16" t="str">
        <x:v>BA Status</x:v>
      </x:c>
      <x:c r="D4" s="16" t="str">
        <x:v>Dev Status</x:v>
      </x:c>
      <x:c r="E4" s="16" t="str">
        <x:v>Primary Owner</x:v>
      </x:c>
      <x:c r="F4" s="16" t="str">
        <x:v>Dev Estimate h</x:v>
      </x:c>
      <x:c r="G4" s="16" t="str">
        <x:v>BA Estimate h</x:v>
      </x:c>
      <x:c r="H4" s="16" t="str">
        <x:v>Priority</x:v>
      </x:c>
      <x:c r="I4" s="16" t="str">
        <x:v>Confidence</x:v>
      </x:c>
      <x:c r="J4" s="16" t="str">
        <x:v>Build Scope</x:v>
      </x:c>
      <x:c r="K4" s="16" t="str">
        <x:v>Dependency</x:v>
      </x:c>
      <x:c r="L4" s="16" t="str">
        <x:v>Notes</x:v>
      </x:c>
      <x:c r="M4" s="16" t="str">
        <x:v>Tracker Status</x:v>
      </x:c>
      <x:c r="N4" s="16" t="str">
        <x:v>Dev Days Base</x:v>
      </x:c>
      <x:c r="O4" s="16" t="str">
        <x:v>Target End</x:v>
      </x:c>
    </x:row>
    <x:row r="5">
      <x:c r="A5" s="11" t="str">
        <x:v>Phase 0</x:v>
      </x:c>
      <x:c r="B5" s="11" t="str">
        <x:v>Foundation</x:v>
      </x:c>
      <x:c r="C5" s="11" t="str">
        <x:v>BA Accepted</x:v>
      </x:c>
      <x:c r="D5" s="11" t="str">
        <x:v>Done</x:v>
      </x:c>
      <x:c r="E5" s="11" t="str">
        <x:v>Dev</x:v>
      </x:c>
      <x:c r="F5" s="25" t="n">
        <x:v>12</x:v>
      </x:c>
      <x:c r="G5" s="25" t="n">
        <x:v>4</x:v>
      </x:c>
      <x:c r="H5" s="11" t="str">
        <x:v>High</x:v>
      </x:c>
      <x:c r="I5" s="11" t="str">
        <x:v>High</x:v>
      </x:c>
      <x:c r="J5" s="11" t="str">
        <x:v>Foundation scope is accepted as baseline for the Mini Rally BA pack.</x:v>
      </x:c>
      <x:c r="K5" s="11" t="str">
        <x:v>None</x:v>
      </x:c>
      <x:c r="L5" s="11" t="str">
        <x:v>Testing document exists and Phase 0 is not in the current change scope.</x:v>
      </x:c>
      <x:c r="M5" s="18" t="str">
        <x:v>Completed</x:v>
      </x:c>
      <x:c r="N5" s="25" t="n">
        <x:f>SUMIF('Build Tasks'!$B$5:$B$33,A5,'Build Tasks'!$P$5:$P$33)/('Assumptions'!$B$7*'Assumptions'!$B$10)</x:f>
        <x:v>0</x:v>
      </x:c>
      <x:c r="O5" s="12" t="n">
        <x:v>46215</x:v>
      </x:c>
    </x:row>
    <x:row r="6">
      <x:c r="A6" s="11" t="str">
        <x:v>Phase 1</x:v>
      </x:c>
      <x:c r="B6" s="11" t="str">
        <x:v>Core Work Management</x:v>
      </x:c>
      <x:c r="C6" s="11" t="str">
        <x:v>BA/SRS Ready</x:v>
      </x:c>
      <x:c r="D6" s="11" t="str">
        <x:v>In Review</x:v>
      </x:c>
      <x:c r="E6" s="11" t="str">
        <x:v>Dev + BA</x:v>
      </x:c>
      <x:c r="F6" s="25" t="n">
        <x:v>16</x:v>
      </x:c>
      <x:c r="G6" s="25" t="n">
        <x:v>8</x:v>
      </x:c>
      <x:c r="H6" s="11" t="str">
        <x:v>High</x:v>
      </x:c>
      <x:c r="I6" s="11" t="str">
        <x:v>High</x:v>
      </x:c>
      <x:c r="J6" s="11" t="str">
        <x:v>Projects, Teams, Users, Backlog, Work Item detail, Task, Time, Content and Activity are covered as the core work-management baseline.</x:v>
      </x:c>
      <x:c r="K6" s="11" t="str">
        <x:v>Phase 0</x:v>
      </x:c>
      <x:c r="L6" s="11" t="str">
        <x:v>Testing document exists; keep remaining implementation defects as prod follow-up rather than BA scope change.</x:v>
      </x:c>
      <x:c r="M6" s="20" t="str">
        <x:v>Dev In Review</x:v>
      </x:c>
      <x:c r="N6" s="25" t="n">
        <x:f>SUMIF('Build Tasks'!$B$5:$B$33,A6,'Build Tasks'!$P$5:$P$33)/('Assumptions'!$B$7*'Assumptions'!$B$10)</x:f>
        <x:v>0.208955223880597</x:v>
      </x:c>
      <x:c r="O6" s="12" t="n">
        <x:v>46216</x:v>
      </x:c>
    </x:row>
    <x:row r="7">
      <x:c r="A7" s="11" t="str">
        <x:v>Phase 2.1</x:v>
      </x:c>
      <x:c r="B7" s="11" t="str">
        <x:v>Backlog Enhancement</x:v>
      </x:c>
      <x:c r="C7" s="11" t="str">
        <x:v>BA/SRS Ready</x:v>
      </x:c>
      <x:c r="D7" s="11" t="str">
        <x:v>In Review</x:v>
      </x:c>
      <x:c r="E7" s="11" t="str">
        <x:v>Dev</x:v>
      </x:c>
      <x:c r="F7" s="25" t="n">
        <x:v>9</x:v>
      </x:c>
      <x:c r="G7" s="25" t="n">
        <x:v>2</x:v>
      </x:c>
      <x:c r="H7" s="11" t="str">
        <x:v>High</x:v>
      </x:c>
      <x:c r="I7" s="11" t="str">
        <x:v>High</x:v>
      </x:c>
      <x:c r="J7" s="11" t="str">
        <x:v>Backlog filters, sorting, rank/order behavior, bulk assignment and Iteration/Release assignment are confirmed.</x:v>
      </x:c>
      <x:c r="K7" s="11" t="str">
        <x:v>Phase 1 Backlog</x:v>
      </x:c>
      <x:c r="L7" s="11" t="str">
        <x:v>No schema/infra changes in this BA pass.</x:v>
      </x:c>
      <x:c r="M7" s="20" t="str">
        <x:v>Dev In Review</x:v>
      </x:c>
      <x:c r="N7" s="25" t="n">
        <x:f>SUMIF('Build Tasks'!$B$5:$B$33,A7,'Build Tasks'!$P$5:$P$33)/('Assumptions'!$B$7*'Assumptions'!$B$10)</x:f>
        <x:v>0</x:v>
      </x:c>
      <x:c r="O7" s="12" t="n">
        <x:v>46217</x:v>
      </x:c>
    </x:row>
    <x:row r="8">
      <x:c r="A8" s="11" t="str">
        <x:v>Phase 2.2</x:v>
      </x:c>
      <x:c r="B8" s="11" t="str">
        <x:v>Timeboxes / Iterations</x:v>
      </x:c>
      <x:c r="C8" s="11" t="str">
        <x:v>BA/SRS Ready</x:v>
      </x:c>
      <x:c r="D8" s="11" t="str">
        <x:v>In Review</x:v>
      </x:c>
      <x:c r="E8" s="11" t="str">
        <x:v>Dev</x:v>
      </x:c>
      <x:c r="F8" s="25" t="n">
        <x:v>14</x:v>
      </x:c>
      <x:c r="G8" s="25" t="n">
        <x:v>2</x:v>
      </x:c>
      <x:c r="H8" s="11" t="str">
        <x:v>High</x:v>
      </x:c>
      <x:c r="I8" s="11" t="str">
        <x:v>High</x:v>
      </x:c>
      <x:c r="J8" s="11" t="str">
        <x:v>Iterations default to Planning; assigning backlog into an Iteration means the team has committed scope.</x:v>
      </x:c>
      <x:c r="K8" s="11" t="str">
        <x:v>Phase 1 + P2.1</x:v>
      </x:c>
      <x:c r="L8" s="11" t="str">
        <x:v>Status remains manual-first; system auto-status is convenience only.</x:v>
      </x:c>
      <x:c r="M8" s="20" t="str">
        <x:v>Dev In Review</x:v>
      </x:c>
      <x:c r="N8" s="25" t="n">
        <x:f>SUMIF('Build Tasks'!$B$5:$B$33,A8,'Build Tasks'!$P$5:$P$33)/('Assumptions'!$B$7*'Assumptions'!$B$10)</x:f>
        <x:v>0</x:v>
      </x:c>
      <x:c r="O8" s="12" t="n">
        <x:v>46217</x:v>
      </x:c>
    </x:row>
    <x:row r="9">
      <x:c r="A9" s="11" t="str">
        <x:v>Phase 2.3</x:v>
      </x:c>
      <x:c r="B9" s="11" t="str">
        <x:v>Iteration Status</x:v>
      </x:c>
      <x:c r="C9" s="11" t="str">
        <x:v>BA/SRS Ready</x:v>
      </x:c>
      <x:c r="D9" s="11" t="str">
        <x:v>In Review</x:v>
      </x:c>
      <x:c r="E9" s="11" t="str">
        <x:v>Dev</x:v>
      </x:c>
      <x:c r="F9" s="25" t="n">
        <x:v>14</x:v>
      </x:c>
      <x:c r="G9" s="25" t="n">
        <x:v>2</x:v>
      </x:c>
      <x:c r="H9" s="11" t="str">
        <x:v>High</x:v>
      </x:c>
      <x:c r="I9" s="11" t="str">
        <x:v>High</x:v>
      </x:c>
      <x:c r="J9" s="11" t="str">
        <x:v>Iteration Status supports manual team execution; when all US/DE are Accepted the system may auto-mark Iteration Accepted, but user can override manually.</x:v>
      </x:c>
      <x:c r="K9" s="11" t="str">
        <x:v>P2.1 + P2.2</x:v>
      </x:c>
      <x:c r="L9" s="11" t="str">
        <x:v>No lock: teams can still add US/DE while sprint is running.</x:v>
      </x:c>
      <x:c r="M9" s="20" t="str">
        <x:v>Dev In Review</x:v>
      </x:c>
      <x:c r="N9" s="25" t="n">
        <x:f>SUMIF('Build Tasks'!$B$5:$B$33,A9,'Build Tasks'!$P$5:$P$33)/('Assumptions'!$B$7*'Assumptions'!$B$10)</x:f>
        <x:v>0.3656716417910448</x:v>
      </x:c>
      <x:c r="O9" s="12" t="n">
        <x:v>46218</x:v>
      </x:c>
    </x:row>
    <x:row r="10">
      <x:c r="A10" s="11" t="str">
        <x:v>Phase 3</x:v>
      </x:c>
      <x:c r="B10" s="11" t="str">
        <x:v>Agile Delivery Extensions</x:v>
      </x:c>
      <x:c r="C10" s="11" t="str">
        <x:v>BA/SRS Ready</x:v>
      </x:c>
      <x:c r="D10" s="11" t="str">
        <x:v>In Progress</x:v>
      </x:c>
      <x:c r="E10" s="11" t="str">
        <x:v>BA + Dev</x:v>
      </x:c>
      <x:c r="F10" s="25" t="n">
        <x:v>44</x:v>
      </x:c>
      <x:c r="G10" s="25" t="n">
        <x:v>10</x:v>
      </x:c>
      <x:c r="H10" s="11" t="str">
        <x:v>High</x:v>
      </x:c>
      <x:c r="I10" s="11" t="str">
        <x:v>High</x:v>
      </x:c>
      <x:c r="J10" s="11" t="str">
        <x:v>Team Status, Release Management, Milestones and Quality &gt; Defect are confirmed for dev execution. Team Board is out of current Agile MVP.</x:v>
      </x:c>
      <x:c r="K10" s="11" t="str">
        <x:v>Phase 2</x:v>
      </x:c>
      <x:c r="L10" s="11" t="str">
        <x:v>Task roll-up, manual status override, release/milestone assignment and quality dashboard rules are confirmed.</x:v>
      </x:c>
      <x:c r="M10" s="20" t="str">
        <x:v>Dev In Progress</x:v>
      </x:c>
      <x:c r="N10" s="25" t="n">
        <x:f>SUMIF('Build Tasks'!$B$5:$B$33,A10,'Build Tasks'!$P$5:$P$33)/('Assumptions'!$B$7*'Assumptions'!$B$10)</x:f>
        <x:v>3.3582089552238803</x:v>
      </x:c>
      <x:c r="O10" s="12" t="n">
        <x:v>46219</x:v>
      </x:c>
    </x:row>
    <x:row r="11">
      <x:c r="A11" s="11" t="str">
        <x:v>Phase 4</x:v>
      </x:c>
      <x:c r="B11" s="11" t="str">
        <x:v>Collaboration &amp; Governance</x:v>
      </x:c>
      <x:c r="C11" s="11" t="str">
        <x:v>Planned</x:v>
      </x:c>
      <x:c r="D11" s="11" t="str">
        <x:v>Not Started</x:v>
      </x:c>
      <x:c r="E11" s="11" t="str">
        <x:v>BA + Dev</x:v>
      </x:c>
      <x:c r="F11" s="25" t="n">
        <x:v>30</x:v>
      </x:c>
      <x:c r="G11" s="25" t="n">
        <x:v>8</x:v>
      </x:c>
      <x:c r="H11" s="11" t="str">
        <x:v>High</x:v>
      </x:c>
      <x:c r="I11" s="11" t="str">
        <x:v>Medium</x:v>
      </x:c>
      <x:c r="J11" s="11" t="str">
        <x:v>Notifications, RBAC/permissions, settings, audit and workflow governance. Team Board is excluded from this target and stays Future Backlog.</x:v>
      </x:c>
      <x:c r="K11" s="11" t="str">
        <x:v>Phase 1-3</x:v>
      </x:c>
      <x:c r="L11" s="11" t="str">
        <x:v>Compressed execution window: finish Phase 4 by 2026-07-18.</x:v>
      </x:c>
      <x:c r="M11" s="22" t="str">
        <x:v>Target 20/07</x:v>
      </x:c>
      <x:c r="N11" s="25" t="n">
        <x:f>SUMIF('Build Tasks'!$B$5:$B$33,A11,'Build Tasks'!$P$5:$P$33)/('Assumptions'!$B$7*'Assumptions'!$B$10)</x:f>
        <x:v>2.2388059701492535</x:v>
      </x:c>
      <x:c r="O11" s="12" t="n">
        <x:v>46221</x:v>
      </x:c>
    </x:row>
    <x:row r="12">
      <x:c r="A12" s="11" t="str">
        <x:v>Phase 5</x:v>
      </x:c>
      <x:c r="B12" s="11" t="str">
        <x:v>Reporting</x:v>
      </x:c>
      <x:c r="C12" s="11" t="str">
        <x:v>Planned</x:v>
      </x:c>
      <x:c r="D12" s="11" t="str">
        <x:v>Not Started</x:v>
      </x:c>
      <x:c r="E12" s="11" t="str">
        <x:v>BA + Dev</x:v>
      </x:c>
      <x:c r="F12" s="25" t="n">
        <x:v>24</x:v>
      </x:c>
      <x:c r="G12" s="25" t="n">
        <x:v>6</x:v>
      </x:c>
      <x:c r="H12" s="11" t="str">
        <x:v>High</x:v>
      </x:c>
      <x:c r="I12" s="11" t="str">
        <x:v>Medium</x:v>
      </x:c>
      <x:c r="J12" s="11" t="str">
        <x:v>Dashboard, Burndown, Velocity, Workload, Release Progress and Exports.</x:v>
      </x:c>
      <x:c r="K12" s="11" t="str">
        <x:v>Phase 1-4 data</x:v>
      </x:c>
      <x:c r="L12" s="11" t="str">
        <x:v>Compressed execution window: finish Phase 5 by 2026-07-20.</x:v>
      </x:c>
      <x:c r="M12" s="22" t="str">
        <x:v>Target 20/07</x:v>
      </x:c>
      <x:c r="N12" s="25" t="n">
        <x:f>SUMIF('Build Tasks'!$B$5:$B$33,A12,'Build Tasks'!$P$5:$P$33)/('Assumptions'!$B$7*'Assumptions'!$B$10)</x:f>
        <x:v>1.791044776119403</x:v>
      </x:c>
      <x:c r="O12" s="12" t="n">
        <x:v>46223</x:v>
      </x:c>
    </x:row>
    <x:row r="13">
      <x:c r="A13" s="11" t="str">
        <x:v>Post-MVP</x:v>
      </x:c>
      <x:c r="B13" s="11" t="str">
        <x:v>Portfolio</x:v>
      </x:c>
      <x:c r="C13" s="11" t="str">
        <x:v>Future</x:v>
      </x:c>
      <x:c r="D13" s="11" t="str">
        <x:v>Not Started</x:v>
      </x:c>
      <x:c r="E13" s="11" t="str">
        <x:v>BA + Dev</x:v>
      </x:c>
      <x:c r="F13" s="25" t="n">
        <x:v>32</x:v>
      </x:c>
      <x:c r="G13" s="25" t="n">
        <x:v>8</x:v>
      </x:c>
      <x:c r="H13" s="11" t="str">
        <x:v>Low</x:v>
      </x:c>
      <x:c r="I13" s="11" t="str">
        <x:v>Low</x:v>
      </x:c>
      <x:c r="J13" s="11" t="str">
        <x:v>Initiative, roadmap, cross-project tracking.</x:v>
      </x:c>
      <x:c r="K13" s="11" t="str">
        <x:v>MVP decision</x:v>
      </x:c>
      <x:c r="L13" s="11" t="str">
        <x:v>Optional; not included in MVP release forecast.</x:v>
      </x:c>
      <x:c r="M13" s="24" t="str">
        <x:v>Post-MVP</x:v>
      </x:c>
      <x:c r="N13" s="25" t="n">
        <x:f>SUMIF('Build Tasks'!$B$5:$B$33,A13,'Build Tasks'!$P$5:$P$33)/('Assumptions'!$B$7*'Assumptions'!$B$10)</x:f>
        <x:v>0</x:v>
      </x:c>
      <x:c r="O13" s="12" t="str">
        <x:v>Post-MVP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5079889b2eb940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4" hidden="0" customWidth="1"/>
    <x:col min="5" max="5" width="72" hidden="0" customWidth="1"/>
    <x:col min="6" max="6" width="14" hidden="0" customWidth="1"/>
    <x:col min="7" max="7" width="14" hidden="0" customWidth="1"/>
    <x:col min="8" max="8" width="12" hidden="0" customWidth="1"/>
    <x:col min="9" max="9" width="10" hidden="0" customWidth="1"/>
    <x:col min="10" max="10" width="11" hidden="0" customWidth="1"/>
    <x:col min="11" max="11" width="11" hidden="0" customWidth="1"/>
    <x:col min="12" max="12" width="11" hidden="0" customWidth="1"/>
    <x:col min="13" max="13" width="24" hidden="0" customWidth="1"/>
    <x:col min="14" max="14" width="14" hidden="0" customWidth="1"/>
    <x:col min="15" max="15" width="13" hidden="0" customWidth="1"/>
    <x:col min="16" max="16" width="12" hidden="0" customWidth="1"/>
    <x:col min="17" max="17" width="10" hidden="0" customWidth="1"/>
  </x:cols>
  <x:sheetData>
    <x:row r="1" ht="24" customHeight="1">
      <x:c r="A1" s="3" t="str">
        <x:v>Build Tasks</x:v>
      </x:c>
    </x:row>
    <x:row r="2" ht="24" customHeight="1">
      <x:c r="A2" s="6" t="str">
        <x:v>Detailed build checklist: what each phase needs to build, who owns it, estimate and release target.</x:v>
      </x:c>
    </x:row>
    <x:row r="4">
      <x:c r="A4" s="16" t="str">
        <x:v>ID</x:v>
      </x:c>
      <x:c r="B4" s="16" t="str">
        <x:v>Phase</x:v>
      </x:c>
      <x:c r="C4" s="16" t="str">
        <x:v>Workstream</x:v>
      </x:c>
      <x:c r="D4" s="16" t="str">
        <x:v>Capability</x:v>
      </x:c>
      <x:c r="E4" s="16" t="str">
        <x:v>Build Detail</x:v>
      </x:c>
      <x:c r="F4" s="16" t="str">
        <x:v>BA Status</x:v>
      </x:c>
      <x:c r="G4" s="16" t="str">
        <x:v>Dev Status</x:v>
      </x:c>
      <x:c r="H4" s="16" t="str">
        <x:v>Dev Owner</x:v>
      </x:c>
      <x:c r="I4" s="16" t="str">
        <x:v>BA Owner</x:v>
      </x:c>
      <x:c r="J4" s="16" t="str">
        <x:v>Priority</x:v>
      </x:c>
      <x:c r="K4" s="16" t="str">
        <x:v>Estimate h</x:v>
      </x:c>
      <x:c r="L4" s="16" t="str">
        <x:v>Confidence</x:v>
      </x:c>
      <x:c r="M4" s="16" t="str">
        <x:v>Dependency</x:v>
      </x:c>
      <x:c r="N4" s="16" t="str">
        <x:v>Release Target</x:v>
      </x:c>
      <x:c r="O4" s="16" t="str">
        <x:v>Target Date</x:v>
      </x:c>
      <x:c r="P4" s="16" t="str">
        <x:v>Remaining h</x:v>
      </x:c>
      <x:c r="Q4" s="16" t="str">
        <x:v>Progress</x:v>
      </x:c>
    </x:row>
    <x:row r="5">
      <x:c r="A5" s="11" t="str">
        <x:v>P0-01</x:v>
      </x:c>
      <x:c r="B5" s="11" t="str">
        <x:v>Phase 0</x:v>
      </x:c>
      <x:c r="C5" s="11" t="str">
        <x:v>Foundation</x:v>
      </x:c>
      <x:c r="D5" s="11" t="str">
        <x:v>DB/Auth baseline</x:v>
      </x:c>
      <x:c r="E5" s="11" t="str">
        <x:v>Verify migrations, fixed company, admin seed, auth/session and project/team context API are production-ready.</x:v>
      </x:c>
      <x:c r="F5" s="11" t="str">
        <x:v>BA Accepted</x:v>
      </x:c>
      <x:c r="G5" s="18" t="str">
        <x:v>Done</x:v>
      </x:c>
      <x:c r="H5" s="11" t="str">
        <x:v>Dev 1</x:v>
      </x:c>
      <x:c r="I5" s="11" t="str">
        <x:v>BA</x:v>
      </x:c>
      <x:c r="J5" s="11" t="str">
        <x:v>High</x:v>
      </x:c>
      <x:c r="K5" s="25" t="n">
        <x:v>5</x:v>
      </x:c>
      <x:c r="L5" s="11" t="str">
        <x:v>High</x:v>
      </x:c>
      <x:c r="M5" s="11" t="str">
        <x:v>None</x:v>
      </x:c>
      <x:c r="N5" s="11" t="str">
        <x:v>MVP</x:v>
      </x:c>
      <x:c r="O5" s="12" t="str">
        <x:v>2026-07-08</x:v>
      </x:c>
      <x:c r="P5" s="25" t="n">
        <x:f>IF(G5="Done",0,IF(G5="In Review",K5*0.35,IF(G5="In Progress",K5*0.5,K5)))</x:f>
        <x:v>0</x:v>
      </x:c>
      <x:c r="Q5" s="13" t="n">
        <x:f>IF(G5="Done",1,IF(G5="In Review",0.65,IF(G5="In Progress",0.5,0)))</x:f>
        <x:v>1</x:v>
      </x:c>
    </x:row>
    <x:row r="6">
      <x:c r="A6" s="11" t="str">
        <x:v>P0-02</x:v>
      </x:c>
      <x:c r="B6" s="11" t="str">
        <x:v>Phase 0</x:v>
      </x:c>
      <x:c r="C6" s="11" t="str">
        <x:v>Foundation</x:v>
      </x:c>
      <x:c r="D6" s="11" t="str">
        <x:v>App shell and context</x:v>
      </x:c>
      <x:c r="E6" s="11" t="str">
        <x:v>Wire protected routes, navigation, breadcrumb, context selector and access/error states.</x:v>
      </x:c>
      <x:c r="F6" s="11" t="str">
        <x:v>BA Accepted</x:v>
      </x:c>
      <x:c r="G6" s="18" t="str">
        <x:v>Done</x:v>
      </x:c>
      <x:c r="H6" s="11" t="str">
        <x:v>Dev 2</x:v>
      </x:c>
      <x:c r="I6" s="11" t="str">
        <x:v>BA</x:v>
      </x:c>
      <x:c r="J6" s="11" t="str">
        <x:v>High</x:v>
      </x:c>
      <x:c r="K6" s="25" t="n">
        <x:v>4</x:v>
      </x:c>
      <x:c r="L6" s="11" t="str">
        <x:v>Medium</x:v>
      </x:c>
      <x:c r="M6" s="11" t="str">
        <x:v>P0-01</x:v>
      </x:c>
      <x:c r="N6" s="11" t="str">
        <x:v>MVP</x:v>
      </x:c>
      <x:c r="O6" s="12" t="str">
        <x:v>2026-07-08</x:v>
      </x:c>
      <x:c r="P6" s="25" t="n">
        <x:f>IF(G6="Done",0,IF(G6="In Review",K6*0.35,IF(G6="In Progress",K6*0.5,K6)))</x:f>
        <x:v>0</x:v>
      </x:c>
      <x:c r="Q6" s="13" t="n">
        <x:f>IF(G6="Done",1,IF(G6="In Review",0.65,IF(G6="In Progress",0.5,0)))</x:f>
        <x:v>1</x:v>
      </x:c>
    </x:row>
    <x:row r="7">
      <x:c r="A7" s="11" t="str">
        <x:v>P0-03</x:v>
      </x:c>
      <x:c r="B7" s="11" t="str">
        <x:v>Phase 0</x:v>
      </x:c>
      <x:c r="C7" s="11" t="str">
        <x:v>Foundation</x:v>
      </x:c>
      <x:c r="D7" s="11" t="str">
        <x:v>Project CRUD verification</x:v>
      </x:c>
      <x:c r="E7" s="11" t="str">
        <x:v>Verify create/edit/archive/restore project, fixed workspace, permission enforcement and smoke tests.</x:v>
      </x:c>
      <x:c r="F7" s="11" t="str">
        <x:v>BA Accepted</x:v>
      </x:c>
      <x:c r="G7" s="18" t="str">
        <x:v>Done</x:v>
      </x:c>
      <x:c r="H7" s="11" t="str">
        <x:v>Dev 1</x:v>
      </x:c>
      <x:c r="I7" s="11" t="str">
        <x:v>BA</x:v>
      </x:c>
      <x:c r="J7" s="11" t="str">
        <x:v>High</x:v>
      </x:c>
      <x:c r="K7" s="25" t="n">
        <x:v>3</x:v>
      </x:c>
      <x:c r="L7" s="11" t="str">
        <x:v>Medium</x:v>
      </x:c>
      <x:c r="M7" s="11" t="str">
        <x:v>P0-01</x:v>
      </x:c>
      <x:c r="N7" s="11" t="str">
        <x:v>Jul 10</x:v>
      </x:c>
      <x:c r="O7" s="12" t="str">
        <x:v>2026-07-10</x:v>
      </x:c>
      <x:c r="P7" s="25" t="n">
        <x:f>IF(G7="Done",0,IF(G7="In Review",K7*0.35,IF(G7="In Progress",K7*0.5,K7)))</x:f>
        <x:v>0</x:v>
      </x:c>
      <x:c r="Q7" s="13" t="n">
        <x:f>IF(G7="Done",1,IF(G7="In Review",0.65,IF(G7="In Progress",0.5,0)))</x:f>
        <x:v>1</x:v>
      </x:c>
    </x:row>
    <x:row r="8">
      <x:c r="A8" s="11" t="str">
        <x:v>P1-01</x:v>
      </x:c>
      <x:c r="B8" s="11" t="str">
        <x:v>Phase 1</x:v>
      </x:c>
      <x:c r="C8" s="11" t="str">
        <x:v>Manage</x:v>
      </x:c>
      <x:c r="D8" s="11" t="str">
        <x:v>Create Project</x:v>
      </x:c>
      <x:c r="E8" s="11" t="str">
        <x:v>Build Manage &gt; Projects create/edit/deactive flow and project selector compatibility.</x:v>
      </x:c>
      <x:c r="F8" s="11" t="str">
        <x:v>Ready for Dev</x:v>
      </x:c>
      <x:c r="G8" s="18" t="str">
        <x:v>Done</x:v>
      </x:c>
      <x:c r="H8" s="11" t="str">
        <x:v>Dev 1</x:v>
      </x:c>
      <x:c r="I8" s="11" t="str">
        <x:v>BA</x:v>
      </x:c>
      <x:c r="J8" s="11" t="str">
        <x:v>Critical</x:v>
      </x:c>
      <x:c r="K8" s="25" t="n">
        <x:v>3</x:v>
      </x:c>
      <x:c r="L8" s="11" t="str">
        <x:v>High</x:v>
      </x:c>
      <x:c r="M8" s="11" t="str">
        <x:v>P0-01</x:v>
      </x:c>
      <x:c r="N8" s="11" t="str">
        <x:v>Jul 10</x:v>
      </x:c>
      <x:c r="O8" s="12" t="str">
        <x:v>2026-07-10</x:v>
      </x:c>
      <x:c r="P8" s="25" t="n">
        <x:f>IF(G8="Done",0,IF(G8="In Review",K8*0.35,IF(G8="In Progress",K8*0.5,K8)))</x:f>
        <x:v>0</x:v>
      </x:c>
      <x:c r="Q8" s="13" t="n">
        <x:f>IF(G8="Done",1,IF(G8="In Review",0.65,IF(G8="In Progress",0.5,0)))</x:f>
        <x:v>1</x:v>
      </x:c>
    </x:row>
    <x:row r="9">
      <x:c r="A9" s="11" t="str">
        <x:v>P1-02</x:v>
      </x:c>
      <x:c r="B9" s="11" t="str">
        <x:v>Phase 1</x:v>
      </x:c>
      <x:c r="C9" s="11" t="str">
        <x:v>Manage</x:v>
      </x:c>
      <x:c r="D9" s="11" t="str">
        <x:v>Create Team</x:v>
      </x:c>
      <x:c r="E9" s="11" t="str">
        <x:v>Build Teams list and Team Info/Members modal; status Active/Deactive; members selectable with search.</x:v>
      </x:c>
      <x:c r="F9" s="11" t="str">
        <x:v>Ready for Dev</x:v>
      </x:c>
      <x:c r="G9" s="18" t="str">
        <x:v>Done</x:v>
      </x:c>
      <x:c r="H9" s="11" t="str">
        <x:v>Dev 1</x:v>
      </x:c>
      <x:c r="I9" s="11" t="str">
        <x:v>BA</x:v>
      </x:c>
      <x:c r="J9" s="11" t="str">
        <x:v>Critical</x:v>
      </x:c>
      <x:c r="K9" s="25" t="n">
        <x:v>3</x:v>
      </x:c>
      <x:c r="L9" s="11" t="str">
        <x:v>High</x:v>
      </x:c>
      <x:c r="M9" s="11" t="str">
        <x:v>P1-01</x:v>
      </x:c>
      <x:c r="N9" s="11" t="str">
        <x:v>Jul 10</x:v>
      </x:c>
      <x:c r="O9" s="12" t="str">
        <x:v>2026-07-10</x:v>
      </x:c>
      <x:c r="P9" s="25" t="n">
        <x:f>IF(G9="Done",0,IF(G9="In Review",K9*0.35,IF(G9="In Progress",K9*0.5,K9)))</x:f>
        <x:v>0</x:v>
      </x:c>
      <x:c r="Q9" s="13" t="n">
        <x:f>IF(G9="Done",1,IF(G9="In Review",0.65,IF(G9="In Progress",0.5,0)))</x:f>
        <x:v>1</x:v>
      </x:c>
    </x:row>
    <x:row r="10">
      <x:c r="A10" s="11" t="str">
        <x:v>P1-03</x:v>
      </x:c>
      <x:c r="B10" s="11" t="str">
        <x:v>Phase 1</x:v>
      </x:c>
      <x:c r="C10" s="11" t="str">
        <x:v>Manage</x:v>
      </x:c>
      <x:c r="D10" s="11" t="str">
        <x:v>Invite/Edit User</x:v>
      </x:c>
      <x:c r="E10" s="11" t="str">
        <x:v>Build Users list and Invite/Edit User modal; assign user to teams only; user project access derives from Team -&gt; Project.</x:v>
      </x:c>
      <x:c r="F10" s="11" t="str">
        <x:v>Ready for Dev</x:v>
      </x:c>
      <x:c r="G10" s="18" t="str">
        <x:v>Done</x:v>
      </x:c>
      <x:c r="H10" s="11" t="str">
        <x:v>Dev 2</x:v>
      </x:c>
      <x:c r="I10" s="11" t="str">
        <x:v>BA</x:v>
      </x:c>
      <x:c r="J10" s="11" t="str">
        <x:v>High</x:v>
      </x:c>
      <x:c r="K10" s="25" t="n">
        <x:v>2.5</x:v>
      </x:c>
      <x:c r="L10" s="11" t="str">
        <x:v>High</x:v>
      </x:c>
      <x:c r="M10" s="11" t="str">
        <x:v>P1-02</x:v>
      </x:c>
      <x:c r="N10" s="11" t="str">
        <x:v>MVP</x:v>
      </x:c>
      <x:c r="O10" s="12" t="str">
        <x:v>2026-07-12</x:v>
      </x:c>
      <x:c r="P10" s="25" t="n">
        <x:f>IF(G10="Done",0,IF(G10="In Review",K10*0.35,IF(G10="In Progress",K10*0.5,K10)))</x:f>
        <x:v>0</x:v>
      </x:c>
      <x:c r="Q10" s="13" t="n">
        <x:f>IF(G10="Done",1,IF(G10="In Review",0.65,IF(G10="In Progress",0.5,0)))</x:f>
        <x:v>1</x:v>
      </x:c>
    </x:row>
    <x:row r="11">
      <x:c r="A11" s="11" t="str">
        <x:v>P1-04</x:v>
      </x:c>
      <x:c r="B11" s="11" t="str">
        <x:v>Phase 1</x:v>
      </x:c>
      <x:c r="C11" s="11" t="str">
        <x:v>Backlog</x:v>
      </x:c>
      <x:c r="D11" s="11" t="str">
        <x:v>Backlog base list</x:v>
      </x:c>
      <x:c r="E11" s="11" t="str">
        <x:v>Build Story/Defect backlog list with selected Project/Team context, server search/filter/sort/pagination.</x:v>
      </x:c>
      <x:c r="F11" s="11" t="str">
        <x:v>Ready for Dev</x:v>
      </x:c>
      <x:c r="G11" s="18" t="str">
        <x:v>Done</x:v>
      </x:c>
      <x:c r="H11" s="11" t="str">
        <x:v>Dev 2</x:v>
      </x:c>
      <x:c r="I11" s="11" t="str">
        <x:v>BA</x:v>
      </x:c>
      <x:c r="J11" s="11" t="str">
        <x:v>Critical</x:v>
      </x:c>
      <x:c r="K11" s="25" t="n">
        <x:v>3</x:v>
      </x:c>
      <x:c r="L11" s="11" t="str">
        <x:v>High</x:v>
      </x:c>
      <x:c r="M11" s="11" t="str">
        <x:v>P1-01,P1-02</x:v>
      </x:c>
      <x:c r="N11" s="11" t="str">
        <x:v>Jul 10</x:v>
      </x:c>
      <x:c r="O11" s="12" t="str">
        <x:v>2026-07-10</x:v>
      </x:c>
      <x:c r="P11" s="25" t="n">
        <x:f>IF(G11="Done",0,IF(G11="In Review",K11*0.35,IF(G11="In Progress",K11*0.5,K11)))</x:f>
        <x:v>0</x:v>
      </x:c>
      <x:c r="Q11" s="13" t="n">
        <x:f>IF(G11="Done",1,IF(G11="In Review",0.65,IF(G11="In Progress",0.5,0)))</x:f>
        <x:v>1</x:v>
      </x:c>
    </x:row>
    <x:row r="12">
      <x:c r="A12" s="11" t="str">
        <x:v>P1-05</x:v>
      </x:c>
      <x:c r="B12" s="11" t="str">
        <x:v>Phase 1</x:v>
      </x:c>
      <x:c r="C12" s="11" t="str">
        <x:v>Work Item</x:v>
      </x:c>
      <x:c r="D12" s="11" t="str">
        <x:v>Create Work Item</x:v>
      </x:c>
      <x:c r="E12" s="11" t="str">
        <x:v>Build Story/Defect quick create and create-with-details; Project/Team required and validated.</x:v>
      </x:c>
      <x:c r="F12" s="11" t="str">
        <x:v>Ready for Dev</x:v>
      </x:c>
      <x:c r="G12" s="18" t="str">
        <x:v>Done</x:v>
      </x:c>
      <x:c r="H12" s="11" t="str">
        <x:v>Dev 2</x:v>
      </x:c>
      <x:c r="I12" s="11" t="str">
        <x:v>BA</x:v>
      </x:c>
      <x:c r="J12" s="11" t="str">
        <x:v>Critical</x:v>
      </x:c>
      <x:c r="K12" s="25" t="n">
        <x:v>3</x:v>
      </x:c>
      <x:c r="L12" s="11" t="str">
        <x:v>High</x:v>
      </x:c>
      <x:c r="M12" s="11" t="str">
        <x:v>P1-04</x:v>
      </x:c>
      <x:c r="N12" s="11" t="str">
        <x:v>Jul 10</x:v>
      </x:c>
      <x:c r="O12" s="12" t="str">
        <x:v>2026-07-10</x:v>
      </x:c>
      <x:c r="P12" s="25" t="n">
        <x:f>IF(G12="Done",0,IF(G12="In Review",K12*0.35,IF(G12="In Progress",K12*0.5,K12)))</x:f>
        <x:v>0</x:v>
      </x:c>
      <x:c r="Q12" s="13" t="n">
        <x:f>IF(G12="Done",1,IF(G12="In Review",0.65,IF(G12="In Progress",0.5,0)))</x:f>
        <x:v>1</x:v>
      </x:c>
    </x:row>
    <x:row r="13">
      <x:c r="A13" s="11" t="str">
        <x:v>P1-06</x:v>
      </x:c>
      <x:c r="B13" s="11" t="str">
        <x:v>Phase 1</x:v>
      </x:c>
      <x:c r="C13" s="11" t="str">
        <x:v>Work Item</x:v>
      </x:c>
      <x:c r="D13" s="11" t="str">
        <x:v>Work Item Detail</x:v>
      </x:c>
      <x:c r="E13" s="11" t="str">
        <x:v>Build full detail page with Details, Tasks, Revision History and right-panel fields.</x:v>
      </x:c>
      <x:c r="F13" s="11" t="str">
        <x:v>Ready for Dev</x:v>
      </x:c>
      <x:c r="G13" s="18" t="str">
        <x:v>Done</x:v>
      </x:c>
      <x:c r="H13" s="11" t="str">
        <x:v>Dev 1</x:v>
      </x:c>
      <x:c r="I13" s="11" t="str">
        <x:v>BA</x:v>
      </x:c>
      <x:c r="J13" s="11" t="str">
        <x:v>High</x:v>
      </x:c>
      <x:c r="K13" s="25" t="n">
        <x:v>4</x:v>
      </x:c>
      <x:c r="L13" s="11" t="str">
        <x:v>Medium</x:v>
      </x:c>
      <x:c r="M13" s="11" t="str">
        <x:v>P1-05</x:v>
      </x:c>
      <x:c r="N13" s="11" t="str">
        <x:v>MVP</x:v>
      </x:c>
      <x:c r="O13" s="12" t="str">
        <x:v>2026-07-15</x:v>
      </x:c>
      <x:c r="P13" s="25" t="n">
        <x:f>IF(G13="Done",0,IF(G13="In Review",K13*0.35,IF(G13="In Progress",K13*0.5,K13)))</x:f>
        <x:v>0</x:v>
      </x:c>
      <x:c r="Q13" s="13" t="n">
        <x:f>IF(G13="Done",1,IF(G13="In Review",0.65,IF(G13="In Progress",0.5,0)))</x:f>
        <x:v>1</x:v>
      </x:c>
    </x:row>
    <x:row r="14">
      <x:c r="A14" s="11" t="str">
        <x:v>P1-07</x:v>
      </x:c>
      <x:c r="B14" s="11" t="str">
        <x:v>Phase 1</x:v>
      </x:c>
      <x:c r="C14" s="11" t="str">
        <x:v>Task</x:v>
      </x:c>
      <x:c r="D14" s="11" t="str">
        <x:v>Child Task flow</x:v>
      </x:c>
      <x:c r="E14" s="11" t="str">
        <x:v>Build task list, add task modal, task detail, task estimates and parent validation.</x:v>
      </x:c>
      <x:c r="F14" s="11" t="str">
        <x:v>Ready for Dev</x:v>
      </x:c>
      <x:c r="G14" s="20" t="str">
        <x:v>In Review</x:v>
      </x:c>
      <x:c r="H14" s="11" t="str">
        <x:v>Dev 2</x:v>
      </x:c>
      <x:c r="I14" s="11" t="str">
        <x:v>BA</x:v>
      </x:c>
      <x:c r="J14" s="11" t="str">
        <x:v>High</x:v>
      </x:c>
      <x:c r="K14" s="25" t="n">
        <x:v>4</x:v>
      </x:c>
      <x:c r="L14" s="11" t="str">
        <x:v>Medium</x:v>
      </x:c>
      <x:c r="M14" s="11" t="str">
        <x:v>P1-06</x:v>
      </x:c>
      <x:c r="N14" s="11" t="str">
        <x:v>MVP</x:v>
      </x:c>
      <x:c r="O14" s="12" t="str">
        <x:v>2026-07-16</x:v>
      </x:c>
      <x:c r="P14" s="25" t="n">
        <x:f>IF(G14="Done",0,IF(G14="In Review",K14*0.35,IF(G14="In Progress",K14*0.5,K14)))</x:f>
        <x:v>1.4</x:v>
      </x:c>
      <x:c r="Q14" s="13" t="n">
        <x:f>IF(G14="Done",1,IF(G14="In Review",0.65,IF(G14="In Progress",0.5,0)))</x:f>
        <x:v>0.65</x:v>
      </x:c>
    </x:row>
    <x:row r="15">
      <x:c r="A15" s="11" t="str">
        <x:v>P1-08</x:v>
      </x:c>
      <x:c r="B15" s="11" t="str">
        <x:v>Phase 1</x:v>
      </x:c>
      <x:c r="C15" s="11" t="str">
        <x:v>Content</x:v>
      </x:c>
      <x:c r="D15" s="11" t="str">
        <x:v>Time/content/activity</x:v>
      </x:c>
      <x:c r="E15" s="11" t="str">
        <x:v>Persist Plan Estimate, To Do, Actual, Description, Notes, Attachments and Revision History.</x:v>
      </x:c>
      <x:c r="F15" s="11" t="str">
        <x:v>Ready for Dev</x:v>
      </x:c>
      <x:c r="G15" s="20" t="str">
        <x:v>In Review</x:v>
      </x:c>
      <x:c r="H15" s="11" t="str">
        <x:v>Dev 1</x:v>
      </x:c>
      <x:c r="I15" s="11" t="str">
        <x:v>BA</x:v>
      </x:c>
      <x:c r="J15" s="11" t="str">
        <x:v>Medium</x:v>
      </x:c>
      <x:c r="K15" s="25" t="n">
        <x:v>4</x:v>
      </x:c>
      <x:c r="L15" s="11" t="str">
        <x:v>Medium</x:v>
      </x:c>
      <x:c r="M15" s="11" t="str">
        <x:v>P1-06</x:v>
      </x:c>
      <x:c r="N15" s="11" t="str">
        <x:v>MVP</x:v>
      </x:c>
      <x:c r="O15" s="12" t="str">
        <x:v>2026-07-17</x:v>
      </x:c>
      <x:c r="P15" s="25" t="n">
        <x:f>IF(G15="Done",0,IF(G15="In Review",K15*0.35,IF(G15="In Progress",K15*0.5,K15)))</x:f>
        <x:v>1.4</x:v>
      </x:c>
      <x:c r="Q15" s="13" t="n">
        <x:f>IF(G15="Done",1,IF(G15="In Review",0.65,IF(G15="In Progress",0.5,0)))</x:f>
        <x:v>0.65</x:v>
      </x:c>
    </x:row>
    <x:row r="16">
      <x:c r="A16" s="11" t="str">
        <x:v>P2-01</x:v>
      </x:c>
      <x:c r="B16" s="11" t="str">
        <x:v>Phase 2.1</x:v>
      </x:c>
      <x:c r="C16" s="11" t="str">
        <x:v>Backlog Enhancement</x:v>
      </x:c>
      <x:c r="D16" s="11" t="str">
        <x:v>Advanced list behavior</x:v>
      </x:c>
      <x:c r="E16" s="11" t="str">
        <x:v>Add Manage Filters, column sorting, resizable columns, inline edit, rank reorder and bulk release/iteration assignment.</x:v>
      </x:c>
      <x:c r="F16" s="11" t="str">
        <x:v>Done</x:v>
      </x:c>
      <x:c r="G16" s="18" t="str">
        <x:v>Done</x:v>
      </x:c>
      <x:c r="H16" s="11" t="str">
        <x:v>Dev 1</x:v>
      </x:c>
      <x:c r="I16" s="11" t="str">
        <x:v>BA</x:v>
      </x:c>
      <x:c r="J16" s="11" t="str">
        <x:v>Critical</x:v>
      </x:c>
      <x:c r="K16" s="25" t="n">
        <x:v>9</x:v>
      </x:c>
      <x:c r="L16" s="11" t="str">
        <x:v>High</x:v>
      </x:c>
      <x:c r="M16" s="11" t="str">
        <x:v>P1-04,P1-05</x:v>
      </x:c>
      <x:c r="N16" s="11" t="str">
        <x:v>MVP</x:v>
      </x:c>
      <x:c r="O16" s="12" t="str">
        <x:v>2026-07-18</x:v>
      </x:c>
      <x:c r="P16" s="25" t="n">
        <x:f>IF(G16="Done",0,IF(G16="In Review",K16*0.35,IF(G16="In Progress",K16*0.5,K16)))</x:f>
        <x:v>0</x:v>
      </x:c>
      <x:c r="Q16" s="13" t="n">
        <x:f>IF(G16="Done",1,IF(G16="In Review",0.65,IF(G16="In Progress",0.5,0)))</x:f>
        <x:v>1</x:v>
      </x:c>
    </x:row>
    <x:row r="17">
      <x:c r="A17" s="11" t="str">
        <x:v>P2-02</x:v>
      </x:c>
      <x:c r="B17" s="11" t="str">
        <x:v>Phase 2.2</x:v>
      </x:c>
      <x:c r="C17" s="11" t="str">
        <x:v>Timeboxes</x:v>
      </x:c>
      <x:c r="D17" s="11" t="str">
        <x:v>Create Timebox / Iteration</x:v>
      </x:c>
      <x:c r="E17" s="11" t="str">
        <x:v>Build Plan &gt; Timeboxes Iterations list, quick create, create-with-details and full Iteration detail.</x:v>
      </x:c>
      <x:c r="F17" s="11" t="str">
        <x:v>Done</x:v>
      </x:c>
      <x:c r="G17" s="18" t="str">
        <x:v>Done</x:v>
      </x:c>
      <x:c r="H17" s="11" t="str">
        <x:v>Dev 2</x:v>
      </x:c>
      <x:c r="I17" s="11" t="str">
        <x:v>BA</x:v>
      </x:c>
      <x:c r="J17" s="11" t="str">
        <x:v>Critical</x:v>
      </x:c>
      <x:c r="K17" s="25" t="n">
        <x:v>8</x:v>
      </x:c>
      <x:c r="L17" s="11" t="str">
        <x:v>High</x:v>
      </x:c>
      <x:c r="M17" s="11" t="str">
        <x:v>P1-02,P2-01</x:v>
      </x:c>
      <x:c r="N17" s="11" t="str">
        <x:v>Jul 10</x:v>
      </x:c>
      <x:c r="O17" s="12" t="str">
        <x:v>2026-07-10</x:v>
      </x:c>
      <x:c r="P17" s="25" t="n">
        <x:f>IF(G17="Done",0,IF(G17="In Review",K17*0.35,IF(G17="In Progress",K17*0.5,K17)))</x:f>
        <x:v>0</x:v>
      </x:c>
      <x:c r="Q17" s="13" t="n">
        <x:f>IF(G17="Done",1,IF(G17="In Review",0.65,IF(G17="In Progress",0.5,0)))</x:f>
        <x:v>1</x:v>
      </x:c>
    </x:row>
    <x:row r="18">
      <x:c r="A18" s="11" t="str">
        <x:v>P2-03</x:v>
      </x:c>
      <x:c r="B18" s="11" t="str">
        <x:v>Phase 2.2</x:v>
      </x:c>
      <x:c r="C18" s="11" t="str">
        <x:v>Timeboxes</x:v>
      </x:c>
      <x:c r="D18" s="11" t="str">
        <x:v>Assign backlog to Iteration</x:v>
      </x:c>
      <x:c r="E18" s="11" t="str">
        <x:v>Expose Work Item Iteration field in Backlog list/detail and validate Project/Team match.</x:v>
      </x:c>
      <x:c r="F18" s="11" t="str">
        <x:v>Done</x:v>
      </x:c>
      <x:c r="G18" s="18" t="str">
        <x:v>Done</x:v>
      </x:c>
      <x:c r="H18" s="11" t="str">
        <x:v>Dev 1</x:v>
      </x:c>
      <x:c r="I18" s="11" t="str">
        <x:v>BA</x:v>
      </x:c>
      <x:c r="J18" s="11" t="str">
        <x:v>Critical</x:v>
      </x:c>
      <x:c r="K18" s="25" t="n">
        <x:v>6</x:v>
      </x:c>
      <x:c r="L18" s="11" t="str">
        <x:v>High</x:v>
      </x:c>
      <x:c r="M18" s="11" t="str">
        <x:v>P2-02</x:v>
      </x:c>
      <x:c r="N18" s="11" t="str">
        <x:v>MVP</x:v>
      </x:c>
      <x:c r="O18" s="12" t="str">
        <x:v>2026-07-19</x:v>
      </x:c>
      <x:c r="P18" s="25" t="n">
        <x:f>IF(G18="Done",0,IF(G18="In Review",K18*0.35,IF(G18="In Progress",K18*0.5,K18)))</x:f>
        <x:v>0</x:v>
      </x:c>
      <x:c r="Q18" s="13" t="n">
        <x:f>IF(G18="Done",1,IF(G18="In Review",0.65,IF(G18="In Progress",0.5,0)))</x:f>
        <x:v>1</x:v>
      </x:c>
    </x:row>
    <x:row r="19">
      <x:c r="A19" s="11" t="str">
        <x:v>P2-04</x:v>
      </x:c>
      <x:c r="B19" s="11" t="str">
        <x:v>Phase 2.3</x:v>
      </x:c>
      <x:c r="C19" s="11" t="str">
        <x:v>Iteration Status</x:v>
      </x:c>
      <x:c r="D19" s="11" t="str">
        <x:v>Iteration Status page</x:v>
      </x:c>
      <x:c r="E19" s="11" t="str">
        <x:v>Build Track &gt; Iteration Status selector, metrics strip, list, filters, inline edit and detail integration.</x:v>
      </x:c>
      <x:c r="F19" s="11" t="str">
        <x:v>Done</x:v>
      </x:c>
      <x:c r="G19" s="20" t="str">
        <x:v>In Review</x:v>
      </x:c>
      <x:c r="H19" s="11" t="str">
        <x:v>Dev 2</x:v>
      </x:c>
      <x:c r="I19" s="11" t="str">
        <x:v>BA</x:v>
      </x:c>
      <x:c r="J19" s="11" t="str">
        <x:v>Critical</x:v>
      </x:c>
      <x:c r="K19" s="25" t="n">
        <x:v>10</x:v>
      </x:c>
      <x:c r="L19" s="11" t="str">
        <x:v>High</x:v>
      </x:c>
      <x:c r="M19" s="11" t="str">
        <x:v>P2-02,P2-03</x:v>
      </x:c>
      <x:c r="N19" s="11" t="str">
        <x:v>Jul 10</x:v>
      </x:c>
      <x:c r="O19" s="12" t="str">
        <x:v>2026-07-10</x:v>
      </x:c>
      <x:c r="P19" s="25" t="n">
        <x:f>IF(G19="Done",0,IF(G19="In Review",K19*0.35,IF(G19="In Progress",K19*0.5,K19)))</x:f>
        <x:v>3.5</x:v>
      </x:c>
      <x:c r="Q19" s="13" t="n">
        <x:f>IF(G19="Done",1,IF(G19="In Review",0.65,IF(G19="In Progress",0.5,0)))</x:f>
        <x:v>0.65</x:v>
      </x:c>
    </x:row>
    <x:row r="20">
      <x:c r="A20" s="11" t="str">
        <x:v>P2-05</x:v>
      </x:c>
      <x:c r="B20" s="11" t="str">
        <x:v>Phase 2.3</x:v>
      </x:c>
      <x:c r="C20" s="11" t="str">
        <x:v>Iteration Status</x:v>
      </x:c>
      <x:c r="D20" s="11" t="str">
        <x:v>Add item to Iteration</x:v>
      </x:c>
      <x:c r="E20" s="11" t="str">
        <x:v>Create Story/Defect directly into selected Iteration and also show it in Backlog; reuse Backlog create-with-details flow.</x:v>
      </x:c>
      <x:c r="F20" s="11" t="str">
        <x:v>Done</x:v>
      </x:c>
      <x:c r="G20" s="20" t="str">
        <x:v>In Review</x:v>
      </x:c>
      <x:c r="H20" s="11" t="str">
        <x:v>Dev 1</x:v>
      </x:c>
      <x:c r="I20" s="11" t="str">
        <x:v>BA</x:v>
      </x:c>
      <x:c r="J20" s="11" t="str">
        <x:v>High</x:v>
      </x:c>
      <x:c r="K20" s="25" t="n">
        <x:v>4</x:v>
      </x:c>
      <x:c r="L20" s="11" t="str">
        <x:v>High</x:v>
      </x:c>
      <x:c r="M20" s="11" t="str">
        <x:v>P2-04</x:v>
      </x:c>
      <x:c r="N20" s="11" t="str">
        <x:v>MVP</x:v>
      </x:c>
      <x:c r="O20" s="12" t="str">
        <x:v>2026-07-19</x:v>
      </x:c>
      <x:c r="P20" s="25" t="n">
        <x:f>IF(G20="Done",0,IF(G20="In Review",K20*0.35,IF(G20="In Progress",K20*0.5,K20)))</x:f>
        <x:v>1.4</x:v>
      </x:c>
      <x:c r="Q20" s="13" t="n">
        <x:f>IF(G20="Done",1,IF(G20="In Review",0.65,IF(G20="In Progress",0.5,0)))</x:f>
        <x:v>0.65</x:v>
      </x:c>
    </x:row>
    <x:row r="21">
      <x:c r="A21" s="11" t="str">
        <x:v>P3-01</x:v>
      </x:c>
      <x:c r="B21" s="11" t="str">
        <x:v>Phase 3</x:v>
      </x:c>
      <x:c r="C21" s="11" t="str">
        <x:v>Team Status</x:v>
      </x:c>
      <x:c r="D21" s="11" t="str">
        <x:v>Team Status + Task roll-up</x:v>
      </x:c>
      <x:c r="E21" s="11" t="str">
        <x:v>Build Team Status from Iteration Status template. Tasks are optional child records; when all child Tasks are Completed, parent US/DE can auto-complete, while user can still change status manually.</x:v>
      </x:c>
      <x:c r="F21" s="11" t="str">
        <x:v>BA/SRS Ready</x:v>
      </x:c>
      <x:c r="G21" s="20" t="str">
        <x:v>In Progress</x:v>
      </x:c>
      <x:c r="H21" s="11" t="str">
        <x:v>Dev 2</x:v>
      </x:c>
      <x:c r="I21" s="11" t="str">
        <x:v>BA</x:v>
      </x:c>
      <x:c r="J21" s="11" t="str">
        <x:v>Critical</x:v>
      </x:c>
      <x:c r="K21" s="25" t="n">
        <x:v>10</x:v>
      </x:c>
      <x:c r="L21" s="11" t="str">
        <x:v>High</x:v>
      </x:c>
      <x:c r="M21" s="11" t="str">
        <x:v>P2-04</x:v>
      </x:c>
      <x:c r="N21" s="11" t="str">
        <x:v>20/07 Target</x:v>
      </x:c>
      <x:c r="O21" s="12" t="str">
        <x:v>2026-07-13</x:v>
      </x:c>
      <x:c r="P21" s="25" t="n">
        <x:f>IF(G21="Done",0,IF(G21="In Review",K21*0.35,IF(G21="In Progress",K21*0.5,K21)))</x:f>
        <x:v>5</x:v>
      </x:c>
      <x:c r="Q21" s="13" t="n">
        <x:f>IF(G21="Done",1,IF(G21="In Review",0.65,IF(G21="In Progress",0.5,0)))</x:f>
        <x:v>0.5</x:v>
      </x:c>
    </x:row>
    <x:row r="22">
      <x:c r="A22" s="11" t="str">
        <x:v>P3-02</x:v>
      </x:c>
      <x:c r="B22" s="11" t="str">
        <x:v>Phase 3</x:v>
      </x:c>
      <x:c r="C22" s="11" t="str">
        <x:v>Release</x:v>
      </x:c>
      <x:c r="D22" s="11" t="str">
        <x:v>Release Management</x:v>
      </x:c>
      <x:c r="E22" s="11" t="str">
        <x:v>Build Release list/create/detail with Planning/Active/Accepted status. A Story/Defect has one active Release assignment; readiness is interpreted by users from US/DE notes, not a locked checklist.</x:v>
      </x:c>
      <x:c r="F22" s="11" t="str">
        <x:v>BA/SRS Ready</x:v>
      </x:c>
      <x:c r="G22" s="27" t="str">
        <x:v>Not Started</x:v>
      </x:c>
      <x:c r="H22" s="11" t="str">
        <x:v>Dev 1</x:v>
      </x:c>
      <x:c r="I22" s="11" t="str">
        <x:v>BA</x:v>
      </x:c>
      <x:c r="J22" s="11" t="str">
        <x:v>Critical</x:v>
      </x:c>
      <x:c r="K22" s="25" t="n">
        <x:v>10</x:v>
      </x:c>
      <x:c r="L22" s="11" t="str">
        <x:v>High</x:v>
      </x:c>
      <x:c r="M22" s="11" t="str">
        <x:v>P1-05,P2-01</x:v>
      </x:c>
      <x:c r="N22" s="11" t="str">
        <x:v>20/07 Target</x:v>
      </x:c>
      <x:c r="O22" s="12" t="str">
        <x:v>2026-07-14</x:v>
      </x:c>
      <x:c r="P22" s="25" t="n">
        <x:f>IF(G22="Done",0,IF(G22="In Review",K22*0.35,IF(G22="In Progress",K22*0.5,K22)))</x:f>
        <x:v>10</x:v>
      </x:c>
      <x:c r="Q22" s="13" t="n">
        <x:f>IF(G22="Done",1,IF(G22="In Review",0.65,IF(G22="In Progress",0.5,0)))</x:f>
        <x:v>0</x:v>
      </x:c>
    </x:row>
    <x:row r="23">
      <x:c r="A23" s="11" t="str">
        <x:v>P3-03</x:v>
      </x:c>
      <x:c r="B23" s="11" t="str">
        <x:v>Phase 3</x:v>
      </x:c>
      <x:c r="C23" s="11" t="str">
        <x:v>Milestone</x:v>
      </x:c>
      <x:c r="D23" s="11" t="str">
        <x:v>Milestone core</x:v>
      </x:c>
      <x:c r="E23" s="11" t="str">
        <x:v>Build project-level Milestone list/create/detail: multi project/team/release selection, target dates, owner/status and direct assignment of US/DE artifacts to the milestone.</x:v>
      </x:c>
      <x:c r="F23" s="11" t="str">
        <x:v>BA/SRS Ready</x:v>
      </x:c>
      <x:c r="G23" s="27" t="str">
        <x:v>Not Started</x:v>
      </x:c>
      <x:c r="H23" s="11" t="str">
        <x:v>Dev 2</x:v>
      </x:c>
      <x:c r="I23" s="11" t="str">
        <x:v>BA</x:v>
      </x:c>
      <x:c r="J23" s="11" t="str">
        <x:v>High</x:v>
      </x:c>
      <x:c r="K23" s="25" t="n">
        <x:v>10</x:v>
      </x:c>
      <x:c r="L23" s="11" t="str">
        <x:v>Medium</x:v>
      </x:c>
      <x:c r="M23" s="11" t="str">
        <x:v>P3-02</x:v>
      </x:c>
      <x:c r="N23" s="11" t="str">
        <x:v>20/07 Target</x:v>
      </x:c>
      <x:c r="O23" s="12" t="str">
        <x:v>2026-07-15</x:v>
      </x:c>
      <x:c r="P23" s="25" t="n">
        <x:f>IF(G23="Done",0,IF(G23="In Review",K23*0.35,IF(G23="In Progress",K23*0.5,K23)))</x:f>
        <x:v>10</x:v>
      </x:c>
      <x:c r="Q23" s="13" t="n">
        <x:f>IF(G23="Done",1,IF(G23="In Review",0.65,IF(G23="In Progress",0.5,0)))</x:f>
        <x:v>0</x:v>
      </x:c>
    </x:row>
    <x:row r="24">
      <x:c r="A24" s="11" t="str">
        <x:v>P3-04</x:v>
      </x:c>
      <x:c r="B24" s="11" t="str">
        <x:v>Phase 3</x:v>
      </x:c>
      <x:c r="C24" s="11" t="str">
        <x:v>Quality</x:v>
      </x:c>
      <x:c r="D24" s="11" t="str">
        <x:v>Quality &gt; Defect dashboard</x:v>
      </x:c>
      <x:c r="E24" s="11" t="str">
        <x:v>Build dedicated Quality &gt; Defect dashboard using Backlog Defect data and columns: Rank, ID, Name, User Story, Severity, Priority, State, Flow State, Fixed In Build, Iteration, Submitted By, Owner.</x:v>
      </x:c>
      <x:c r="F24" s="11" t="str">
        <x:v>BA/SRS Ready</x:v>
      </x:c>
      <x:c r="G24" s="27" t="str">
        <x:v>Not Started</x:v>
      </x:c>
      <x:c r="H24" s="11" t="str">
        <x:v>Dev 1</x:v>
      </x:c>
      <x:c r="I24" s="11" t="str">
        <x:v>BA</x:v>
      </x:c>
      <x:c r="J24" s="11" t="str">
        <x:v>High</x:v>
      </x:c>
      <x:c r="K24" s="25" t="n">
        <x:v>14</x:v>
      </x:c>
      <x:c r="L24" s="11" t="str">
        <x:v>Medium</x:v>
      </x:c>
      <x:c r="M24" s="11" t="str">
        <x:v>P1-06</x:v>
      </x:c>
      <x:c r="N24" s="11" t="str">
        <x:v>20/07 Target</x:v>
      </x:c>
      <x:c r="O24" s="12" t="str">
        <x:v>2026-07-16</x:v>
      </x:c>
      <x:c r="P24" s="25" t="n">
        <x:f>IF(G24="Done",0,IF(G24="In Review",K24*0.35,IF(G24="In Progress",K24*0.5,K24)))</x:f>
        <x:v>14</x:v>
      </x:c>
      <x:c r="Q24" s="13" t="n">
        <x:f>IF(G24="Done",1,IF(G24="In Review",0.65,IF(G24="In Progress",0.5,0)))</x:f>
        <x:v>0</x:v>
      </x:c>
    </x:row>
    <x:row r="25">
      <x:c r="A25" s="11" t="str">
        <x:v>P3-05</x:v>
      </x:c>
      <x:c r="B25" s="11" t="str">
        <x:v>Phase 3</x:v>
      </x:c>
      <x:c r="C25" s="11" t="str">
        <x:v>Task Dashboard</x:v>
      </x:c>
      <x:c r="D25" s="11" t="str">
        <x:v>Inline edit in Task Dashboard</x:v>
      </x:c>
      <x:c r="E25" s="11" t="str">
        <x:v>Task Dashboard supports inline edit for Task status and key fields. The auto-complete behavior is convenience only and does not lock manual US/DE status changes.</x:v>
      </x:c>
      <x:c r="F25" s="11" t="str">
        <x:v>BA/SRS Ready</x:v>
      </x:c>
      <x:c r="G25" s="27" t="str">
        <x:v>Not Started</x:v>
      </x:c>
      <x:c r="H25" s="11" t="str">
        <x:v>Dev 2</x:v>
      </x:c>
      <x:c r="I25" s="11" t="str">
        <x:v>BA</x:v>
      </x:c>
      <x:c r="J25" s="11" t="str">
        <x:v>Medium</x:v>
      </x:c>
      <x:c r="K25" s="25" t="n">
        <x:v>4</x:v>
      </x:c>
      <x:c r="L25" s="11" t="str">
        <x:v>Medium</x:v>
      </x:c>
      <x:c r="M25" s="11" t="str">
        <x:v>P3-01</x:v>
      </x:c>
      <x:c r="N25" s="11" t="str">
        <x:v>20/07 Target</x:v>
      </x:c>
      <x:c r="O25" s="12" t="str">
        <x:v>2026-07-16</x:v>
      </x:c>
      <x:c r="P25" s="25" t="n">
        <x:f>IF(G25="Done",0,IF(G25="In Review",K25*0.35,IF(G25="In Progress",K25*0.5,K25)))</x:f>
        <x:v>4</x:v>
      </x:c>
      <x:c r="Q25" s="13" t="n">
        <x:f>IF(G25="Done",1,IF(G25="In Review",0.65,IF(G25="In Progress",0.5,0)))</x:f>
        <x:v>0</x:v>
      </x:c>
    </x:row>
    <x:row r="26">
      <x:c r="A26" s="11" t="str">
        <x:v>P3-06</x:v>
      </x:c>
      <x:c r="B26" s="11" t="str">
        <x:v>Phase 3</x:v>
      </x:c>
      <x:c r="C26" s="11" t="str">
        <x:v>Release</x:v>
      </x:c>
      <x:c r="D26" s="11" t="str">
        <x:v>Release readiness note</x:v>
      </x:c>
      <x:c r="E26" s="11" t="str">
        <x:v>No readiness checklist in app; users gather readiness from US/DE release notes. Keep release summary and notes editable.</x:v>
      </x:c>
      <x:c r="F26" s="11" t="str">
        <x:v>BA/SRS Ready</x:v>
      </x:c>
      <x:c r="G26" s="27" t="str">
        <x:v>Not Started</x:v>
      </x:c>
      <x:c r="H26" s="11" t="str">
        <x:v>Dev 1</x:v>
      </x:c>
      <x:c r="I26" s="11" t="str">
        <x:v>BA</x:v>
      </x:c>
      <x:c r="J26" s="11" t="str">
        <x:v>Medium</x:v>
      </x:c>
      <x:c r="K26" s="25" t="n">
        <x:v>2</x:v>
      </x:c>
      <x:c r="L26" s="11" t="str">
        <x:v>Medium</x:v>
      </x:c>
      <x:c r="M26" s="11" t="str">
        <x:v>P3-02,P3-04</x:v>
      </x:c>
      <x:c r="N26" s="11" t="str">
        <x:v>20/07 Target</x:v>
      </x:c>
      <x:c r="O26" s="12" t="str">
        <x:v>2026-07-16</x:v>
      </x:c>
      <x:c r="P26" s="25" t="n">
        <x:f>IF(G26="Done",0,IF(G26="In Review",K26*0.35,IF(G26="In Progress",K26*0.5,K26)))</x:f>
        <x:v>2</x:v>
      </x:c>
      <x:c r="Q26" s="13" t="n">
        <x:f>IF(G26="Done",1,IF(G26="In Review",0.65,IF(G26="In Progress",0.5,0)))</x:f>
        <x:v>0</x:v>
      </x:c>
    </x:row>
    <x:row r="27">
      <x:c r="A27" s="11" t="str">
        <x:v>P4-01</x:v>
      </x:c>
      <x:c r="B27" s="11" t="str">
        <x:v>Phase 4</x:v>
      </x:c>
      <x:c r="C27" s="11" t="str">
        <x:v>Future Backlog</x:v>
      </x:c>
      <x:c r="D27" s="11" t="str">
        <x:v>Team Board</x:v>
      </x:c>
      <x:c r="E27" s="11" t="str">
        <x:v>Keep Team Board in Backlog for the future. Current Agile flow continues with Backlog, Iteration Status, Team Status, Release, Milestone and Quality views.</x:v>
      </x:c>
      <x:c r="F27" s="11" t="str">
        <x:v>Future Backlog</x:v>
      </x:c>
      <x:c r="G27" s="27" t="str">
        <x:v>Not Started</x:v>
      </x:c>
      <x:c r="H27" s="11" t="str">
        <x:v>Dev 1</x:v>
      </x:c>
      <x:c r="I27" s="11" t="str">
        <x:v>BA</x:v>
      </x:c>
      <x:c r="J27" s="11" t="str">
        <x:v>High</x:v>
      </x:c>
      <x:c r="K27" s="25" t="n">
        <x:v>0</x:v>
      </x:c>
      <x:c r="L27" s="11" t="str">
        <x:v>Medium</x:v>
      </x:c>
      <x:c r="M27" s="11" t="str">
        <x:v>P2-04,P3-04</x:v>
      </x:c>
      <x:c r="N27" s="11" t="str">
        <x:v>Future</x:v>
      </x:c>
      <x:c r="O27" s="12" t="str">
        <x:v>Future</x:v>
      </x:c>
      <x:c r="P27" s="25" t="n">
        <x:f>IF(G27="Done",0,IF(G27="In Review",K27*0.35,IF(G27="In Progress",K27*0.5,K27)))</x:f>
        <x:v>0</x:v>
      </x:c>
      <x:c r="Q27" s="13" t="n">
        <x:f>IF(G27="Done",1,IF(G27="In Review",0.65,IF(G27="In Progress",0.5,0)))</x:f>
        <x:v>0</x:v>
      </x:c>
    </x:row>
    <x:row r="28">
      <x:c r="A28" s="11" t="str">
        <x:v>P4-02</x:v>
      </x:c>
      <x:c r="B28" s="11" t="str">
        <x:v>Phase 4</x:v>
      </x:c>
      <x:c r="C28" s="11" t="str">
        <x:v>Governance</x:v>
      </x:c>
      <x:c r="D28" s="11" t="str">
        <x:v>Notifications</x:v>
      </x:c>
      <x:c r="E28" s="11" t="str">
        <x:v>Build in-app notifications for assigned, mentioned, comments, status, iteration/release dates and read/unread.</x:v>
      </x:c>
      <x:c r="F28" s="11" t="str">
        <x:v>Planned</x:v>
      </x:c>
      <x:c r="G28" s="27" t="str">
        <x:v>Not Started</x:v>
      </x:c>
      <x:c r="H28" s="11" t="str">
        <x:v>Dev 1</x:v>
      </x:c>
      <x:c r="I28" s="11" t="str">
        <x:v>BA</x:v>
      </x:c>
      <x:c r="J28" s="11" t="str">
        <x:v>Medium</x:v>
      </x:c>
      <x:c r="K28" s="25" t="n">
        <x:v>8</x:v>
      </x:c>
      <x:c r="L28" s="11" t="str">
        <x:v>Medium</x:v>
      </x:c>
      <x:c r="M28" s="11" t="str">
        <x:v>Phase 1-3</x:v>
      </x:c>
      <x:c r="N28" s="11" t="str">
        <x:v>20/07 Target</x:v>
      </x:c>
      <x:c r="O28" s="12" t="str">
        <x:v>2026-07-17</x:v>
      </x:c>
      <x:c r="P28" s="25" t="n">
        <x:f>IF(G28="Done",0,IF(G28="In Review",K28*0.35,IF(G28="In Progress",K28*0.5,K28)))</x:f>
        <x:v>8</x:v>
      </x:c>
      <x:c r="Q28" s="13" t="n">
        <x:f>IF(G28="Done",1,IF(G28="In Review",0.65,IF(G28="In Progress",0.5,0)))</x:f>
        <x:v>0</x:v>
      </x:c>
    </x:row>
    <x:row r="29">
      <x:c r="A29" s="11" t="str">
        <x:v>P4-03</x:v>
      </x:c>
      <x:c r="B29" s="11" t="str">
        <x:v>Phase 4</x:v>
      </x:c>
      <x:c r="C29" s="11" t="str">
        <x:v>Governance</x:v>
      </x:c>
      <x:c r="D29" s="11" t="str">
        <x:v>RBAC and permission hardening</x:v>
      </x:c>
      <x:c r="E29" s="11" t="str">
        <x:v>Define and enforce workspace/project roles, action-level gating, backend permission codes and access denied states.</x:v>
      </x:c>
      <x:c r="F29" s="11" t="str">
        <x:v>Planned</x:v>
      </x:c>
      <x:c r="G29" s="27" t="str">
        <x:v>Not Started</x:v>
      </x:c>
      <x:c r="H29" s="11" t="str">
        <x:v>Dev 2</x:v>
      </x:c>
      <x:c r="I29" s="11" t="str">
        <x:v>BA</x:v>
      </x:c>
      <x:c r="J29" s="11" t="str">
        <x:v>High</x:v>
      </x:c>
      <x:c r="K29" s="25" t="n">
        <x:v>14</x:v>
      </x:c>
      <x:c r="L29" s="11" t="str">
        <x:v>Medium</x:v>
      </x:c>
      <x:c r="M29" s="11" t="str">
        <x:v>Phase 1-3</x:v>
      </x:c>
      <x:c r="N29" s="11" t="str">
        <x:v>20/07 Target</x:v>
      </x:c>
      <x:c r="O29" s="12" t="str">
        <x:v>2026-07-18</x:v>
      </x:c>
      <x:c r="P29" s="25" t="n">
        <x:f>IF(G29="Done",0,IF(G29="In Review",K29*0.35,IF(G29="In Progress",K29*0.5,K29)))</x:f>
        <x:v>14</x:v>
      </x:c>
      <x:c r="Q29" s="13" t="n">
        <x:f>IF(G29="Done",1,IF(G29="In Review",0.65,IF(G29="In Progress",0.5,0)))</x:f>
        <x:v>0</x:v>
      </x:c>
    </x:row>
    <x:row r="30">
      <x:c r="A30" s="11" t="str">
        <x:v>P4-04</x:v>
      </x:c>
      <x:c r="B30" s="11" t="str">
        <x:v>Phase 4</x:v>
      </x:c>
      <x:c r="C30" s="11" t="str">
        <x:v>Governance</x:v>
      </x:c>
      <x:c r="D30" s="11" t="str">
        <x:v>Settings and audit</x:v>
      </x:c>
      <x:c r="E30" s="11" t="str">
        <x:v>Project/workflow settings, labels, user admin rules, audit log and destructive confirmation patterns.</x:v>
      </x:c>
      <x:c r="F30" s="11" t="str">
        <x:v>Planned</x:v>
      </x:c>
      <x:c r="G30" s="27" t="str">
        <x:v>Not Started</x:v>
      </x:c>
      <x:c r="H30" s="11" t="str">
        <x:v>Dev 1</x:v>
      </x:c>
      <x:c r="I30" s="11" t="str">
        <x:v>BA</x:v>
      </x:c>
      <x:c r="J30" s="11" t="str">
        <x:v>Medium</x:v>
      </x:c>
      <x:c r="K30" s="25" t="n">
        <x:v>8</x:v>
      </x:c>
      <x:c r="L30" s="11" t="str">
        <x:v>Medium</x:v>
      </x:c>
      <x:c r="M30" s="11" t="str">
        <x:v>P4-03</x:v>
      </x:c>
      <x:c r="N30" s="11" t="str">
        <x:v>20/07 Target</x:v>
      </x:c>
      <x:c r="O30" s="12" t="str">
        <x:v>2026-07-18</x:v>
      </x:c>
      <x:c r="P30" s="25" t="n">
        <x:f>IF(G30="Done",0,IF(G30="In Review",K30*0.35,IF(G30="In Progress",K30*0.5,K30)))</x:f>
        <x:v>8</x:v>
      </x:c>
      <x:c r="Q30" s="13" t="n">
        <x:f>IF(G30="Done",1,IF(G30="In Review",0.65,IF(G30="In Progress",0.5,0)))</x:f>
        <x:v>0</x:v>
      </x:c>
    </x:row>
    <x:row r="31">
      <x:c r="A31" s="11" t="str">
        <x:v>P5-01</x:v>
      </x:c>
      <x:c r="B31" s="11" t="str">
        <x:v>Phase 5</x:v>
      </x:c>
      <x:c r="C31" s="11" t="str">
        <x:v>Reporting</x:v>
      </x:c>
      <x:c r="D31" s="11" t="str">
        <x:v>Dashboard and burndown</x:v>
      </x:c>
      <x:c r="E31" s="11" t="str">
        <x:v>Build project/iteration dashboard, burndown, velocity, planned vs completed and blocked item rollups.</x:v>
      </x:c>
      <x:c r="F31" s="11" t="str">
        <x:v>Planned</x:v>
      </x:c>
      <x:c r="G31" s="27" t="str">
        <x:v>Not Started</x:v>
      </x:c>
      <x:c r="H31" s="11" t="str">
        <x:v>Dev 2</x:v>
      </x:c>
      <x:c r="I31" s="11" t="str">
        <x:v>BA</x:v>
      </x:c>
      <x:c r="J31" s="11" t="str">
        <x:v>Medium</x:v>
      </x:c>
      <x:c r="K31" s="25" t="n">
        <x:v>10</x:v>
      </x:c>
      <x:c r="L31" s="11" t="str">
        <x:v>Medium</x:v>
      </x:c>
      <x:c r="M31" s="11" t="str">
        <x:v>Phase 1-4 data</x:v>
      </x:c>
      <x:c r="N31" s="11" t="str">
        <x:v>20/07 Target</x:v>
      </x:c>
      <x:c r="O31" s="12" t="str">
        <x:v>2026-07-19</x:v>
      </x:c>
      <x:c r="P31" s="25" t="n">
        <x:f>IF(G31="Done",0,IF(G31="In Review",K31*0.35,IF(G31="In Progress",K31*0.5,K31)))</x:f>
        <x:v>10</x:v>
      </x:c>
      <x:c r="Q31" s="13" t="n">
        <x:f>IF(G31="Done",1,IF(G31="In Review",0.65,IF(G31="In Progress",0.5,0)))</x:f>
        <x:v>0</x:v>
      </x:c>
    </x:row>
    <x:row r="32">
      <x:c r="A32" s="11" t="str">
        <x:v>P5-02</x:v>
      </x:c>
      <x:c r="B32" s="11" t="str">
        <x:v>Phase 5</x:v>
      </x:c>
      <x:c r="C32" s="11" t="str">
        <x:v>Reporting</x:v>
      </x:c>
      <x:c r="D32" s="11" t="str">
        <x:v>Operational reports</x:v>
      </x:c>
      <x:c r="E32" s="11" t="str">
        <x:v>Build workload, defect summary, release progress, filters and export report capability.</x:v>
      </x:c>
      <x:c r="F32" s="11" t="str">
        <x:v>Planned</x:v>
      </x:c>
      <x:c r="G32" s="27" t="str">
        <x:v>Not Started</x:v>
      </x:c>
      <x:c r="H32" s="11" t="str">
        <x:v>Dev 1</x:v>
      </x:c>
      <x:c r="I32" s="11" t="str">
        <x:v>BA</x:v>
      </x:c>
      <x:c r="J32" s="11" t="str">
        <x:v>Medium</x:v>
      </x:c>
      <x:c r="K32" s="25" t="n">
        <x:v>10</x:v>
      </x:c>
      <x:c r="L32" s="11" t="str">
        <x:v>Medium</x:v>
      </x:c>
      <x:c r="M32" s="11" t="str">
        <x:v>P5-01</x:v>
      </x:c>
      <x:c r="N32" s="11" t="str">
        <x:v>20/07 Target</x:v>
      </x:c>
      <x:c r="O32" s="12" t="str">
        <x:v>2026-07-20</x:v>
      </x:c>
      <x:c r="P32" s="25" t="n">
        <x:f>IF(G32="Done",0,IF(G32="In Review",K32*0.35,IF(G32="In Progress",K32*0.5,K32)))</x:f>
        <x:v>10</x:v>
      </x:c>
      <x:c r="Q32" s="13" t="n">
        <x:f>IF(G32="Done",1,IF(G32="In Review",0.65,IF(G32="In Progress",0.5,0)))</x:f>
        <x:v>0</x:v>
      </x:c>
    </x:row>
    <x:row r="33">
      <x:c r="A33" s="11" t="str">
        <x:v>P5-03</x:v>
      </x:c>
      <x:c r="B33" s="11" t="str">
        <x:v>Phase 5</x:v>
      </x:c>
      <x:c r="C33" s="11" t="str">
        <x:v>Reporting</x:v>
      </x:c>
      <x:c r="D33" s="11" t="str">
        <x:v>Report QA and handoff</x:v>
      </x:c>
      <x:c r="E33" s="11" t="str">
        <x:v>Verify report numbers against source records, permissions and export output.</x:v>
      </x:c>
      <x:c r="F33" s="11" t="str">
        <x:v>Planned</x:v>
      </x:c>
      <x:c r="G33" s="27" t="str">
        <x:v>Not Started</x:v>
      </x:c>
      <x:c r="H33" s="11" t="str">
        <x:v>Dev 2</x:v>
      </x:c>
      <x:c r="I33" s="11" t="str">
        <x:v>BA</x:v>
      </x:c>
      <x:c r="J33" s="11" t="str">
        <x:v>Medium</x:v>
      </x:c>
      <x:c r="K33" s="25" t="n">
        <x:v>4</x:v>
      </x:c>
      <x:c r="L33" s="11" t="str">
        <x:v>Medium</x:v>
      </x:c>
      <x:c r="M33" s="11" t="str">
        <x:v>P5-02</x:v>
      </x:c>
      <x:c r="N33" s="11" t="str">
        <x:v>20/07 Target</x:v>
      </x:c>
      <x:c r="O33" s="12" t="str">
        <x:v>2026-07-20</x:v>
      </x:c>
      <x:c r="P33" s="25" t="n">
        <x:f>IF(G33="Done",0,IF(G33="In Review",K33*0.35,IF(G33="In Progress",K33*0.5,K33)))</x:f>
        <x:v>4</x:v>
      </x:c>
      <x:c r="Q33" s="13" t="n">
        <x:f>IF(G33="Done",1,IF(G33="In Review",0.65,IF(G33="In Progress",0.5,0)))</x:f>
        <x:v>0</x:v>
      </x:c>
    </x:row>
  </x:sheetData>
  <x:mergeCells>
    <x:mergeCell ref="A1:Q1"/>
    <x:mergeCell ref="A2:Q2"/>
  </x:mergeCells>
  <x:dataValidations count="2">
    <x:dataValidation type="list" sqref="G5:G33">
      <x:formula1>"Not Started,In Progress,In Review,Done,Blocked"</x:formula1>
    </x:dataValidation>
    <x:dataValidation type="list" sqref="J5:J3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6dedd2715e40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70" hidden="0" customWidth="1"/>
    <x:col min="4" max="4" width="14" hidden="0" customWidth="1"/>
    <x:col min="5" max="5" width="20" hidden="0" customWidth="1"/>
    <x:col min="6" max="6" width="12" hidden="0" customWidth="1"/>
    <x:col min="7" max="7" width="11" hidden="0" customWidth="1"/>
    <x:col min="8" max="8" width="14" hidden="0" customWidth="1"/>
    <x:col min="9" max="9" width="11" hidden="0" customWidth="1"/>
    <x:col min="10" max="10" width="12" hidden="0" customWidth="1"/>
    <x:col min="11" max="11" width="10" hidden="0" customWidth="1"/>
  </x:cols>
  <x:sheetData>
    <x:row r="1" ht="24" customHeight="1">
      <x:c r="A1" s="3" t="str">
        <x:v>Phase 3 Handoff</x:v>
      </x:c>
    </x:row>
    <x:row r="2" ht="24" customHeight="1">
      <x:c r="A2" s="6" t="str">
        <x:v>Confirmed BA rules for Phase 3 development after Part 1-5 confirmation and final audit.</x:v>
      </x:c>
    </x:row>
    <x:row r="4">
      <x:c r="A4" s="16" t="str">
        <x:v>ID</x:v>
      </x:c>
      <x:c r="B4" s="16" t="str">
        <x:v>Confirmed Point</x:v>
      </x:c>
      <x:c r="C4" s="16" t="str">
        <x:v>Acceptance Meaning</x:v>
      </x:c>
      <x:c r="D4" s="16" t="str">
        <x:v>Phase</x:v>
      </x:c>
      <x:c r="E4" s="16" t="str">
        <x:v>Linked Task</x:v>
      </x:c>
      <x:c r="F4" s="16" t="str">
        <x:v>Owner</x:v>
      </x:c>
      <x:c r="G4" s="16" t="str">
        <x:v>Priority</x:v>
      </x:c>
      <x:c r="H4" s="16" t="str">
        <x:v>Status</x:v>
      </x:c>
      <x:c r="I4" s="16" t="str">
        <x:v>Estimate h</x:v>
      </x:c>
      <x:c r="J4" s="16" t="str">
        <x:v>Confidence</x:v>
      </x:c>
      <x:c r="K4" s="16" t="str">
        <x:v>Confirmed?</x:v>
      </x:c>
    </x:row>
    <x:row r="5">
      <x:c r="A5" s="11" t="str">
        <x:v>P3H-01</x:v>
      </x:c>
      <x:c r="B5" s="11" t="str">
        <x:v>Task roll-up</x:v>
      </x:c>
      <x:c r="C5" s="11" t="str">
        <x:v>Child Tasks are optional. When all Tasks under a US/DE are Completed, that US/DE can auto-complete; user may still manually change status.</x:v>
      </x:c>
      <x:c r="D5" s="11" t="str">
        <x:v>Phase 3</x:v>
      </x:c>
      <x:c r="E5" s="11" t="str">
        <x:v>P3-01,P3-05</x:v>
      </x:c>
      <x:c r="F5" s="11" t="str">
        <x:v>Dev 2</x:v>
      </x:c>
      <x:c r="G5" s="11" t="str">
        <x:v>Critical</x:v>
      </x:c>
      <x:c r="H5" s="18" t="str">
        <x:v>Done</x:v>
      </x:c>
      <x:c r="I5" s="25" t="n">
        <x:v>10</x:v>
      </x:c>
      <x:c r="J5" s="11" t="str">
        <x:v>High</x:v>
      </x:c>
      <x:c r="K5" s="11" t="str">
        <x:f>IF(H5="Done","Yes","No")</x:f>
        <x:v>Yes</x:v>
      </x:c>
    </x:row>
    <x:row r="6">
      <x:c r="A6" s="11" t="str">
        <x:v>P3H-02</x:v>
      </x:c>
      <x:c r="B6" s="11" t="str">
        <x:v>Iteration lifecycle</x:v>
      </x:c>
      <x:c r="C6" s="11" t="str">
        <x:v>Iteration starts Planning; assigning backlog commits sprint scope; all US/DE Accepted can auto-mark Iteration Accepted, but manual status override remains allowed.</x:v>
      </x:c>
      <x:c r="D6" s="11" t="str">
        <x:v>Phase 2.3</x:v>
      </x:c>
      <x:c r="E6" s="11" t="str">
        <x:v>P2-04,P2-05</x:v>
      </x:c>
      <x:c r="F6" s="11" t="str">
        <x:v>Dev 2</x:v>
      </x:c>
      <x:c r="G6" s="11" t="str">
        <x:v>Critical</x:v>
      </x:c>
      <x:c r="H6" s="18" t="str">
        <x:v>Done</x:v>
      </x:c>
      <x:c r="I6" s="25" t="n">
        <x:v>10</x:v>
      </x:c>
      <x:c r="J6" s="11" t="str">
        <x:v>High</x:v>
      </x:c>
      <x:c r="K6" s="11" t="str">
        <x:f>IF(H6="Done","Yes","No")</x:f>
        <x:v>Yes</x:v>
      </x:c>
    </x:row>
    <x:row r="7">
      <x:c r="A7" s="11" t="str">
        <x:v>P3H-03</x:v>
      </x:c>
      <x:c r="B7" s="11" t="str">
        <x:v>Team Status</x:v>
      </x:c>
      <x:c r="C7" s="11" t="str">
        <x:v>Team Status remains a tracking view; no board lock and no restriction on adding US/DE while sprint is running.</x:v>
      </x:c>
      <x:c r="D7" s="11" t="str">
        <x:v>Phase 3</x:v>
      </x:c>
      <x:c r="E7" s="11" t="str">
        <x:v>P3-01</x:v>
      </x:c>
      <x:c r="F7" s="11" t="str">
        <x:v>Dev 2</x:v>
      </x:c>
      <x:c r="G7" s="11" t="str">
        <x:v>Critical</x:v>
      </x:c>
      <x:c r="H7" s="18" t="str">
        <x:v>Done</x:v>
      </x:c>
      <x:c r="I7" s="25" t="n">
        <x:v>10</x:v>
      </x:c>
      <x:c r="J7" s="11" t="str">
        <x:v>High</x:v>
      </x:c>
      <x:c r="K7" s="11" t="str">
        <x:f>IF(H7="Done","Yes","No")</x:f>
        <x:v>Yes</x:v>
      </x:c>
    </x:row>
    <x:row r="8">
      <x:c r="A8" s="11" t="str">
        <x:v>P3H-04</x:v>
      </x:c>
      <x:c r="B8" s="11" t="str">
        <x:v>Release Management</x:v>
      </x:c>
      <x:c r="C8" s="11" t="str">
        <x:v>One active Release assignment per Story/Defect. Release status is user-managed; no readiness checklist lock.</x:v>
      </x:c>
      <x:c r="D8" s="11" t="str">
        <x:v>Phase 3</x:v>
      </x:c>
      <x:c r="E8" s="11" t="str">
        <x:v>P3-02,P3-06</x:v>
      </x:c>
      <x:c r="F8" s="11" t="str">
        <x:v>Dev 1</x:v>
      </x:c>
      <x:c r="G8" s="11" t="str">
        <x:v>Critical</x:v>
      </x:c>
      <x:c r="H8" s="18" t="str">
        <x:v>Done</x:v>
      </x:c>
      <x:c r="I8" s="25" t="n">
        <x:v>10</x:v>
      </x:c>
      <x:c r="J8" s="11" t="str">
        <x:v>High</x:v>
      </x:c>
      <x:c r="K8" s="11" t="str">
        <x:f>IF(H8="Done","Yes","No")</x:f>
        <x:v>Yes</x:v>
      </x:c>
    </x:row>
    <x:row r="9">
      <x:c r="A9" s="11" t="str">
        <x:v>P3H-05</x:v>
      </x:c>
      <x:c r="B9" s="11" t="str">
        <x:v>Milestones</x:v>
      </x:c>
      <x:c r="C9" s="11" t="str">
        <x:v>Milestones can link multiple projects/teams/releases and assign US/DE artifacts directly.</x:v>
      </x:c>
      <x:c r="D9" s="11" t="str">
        <x:v>Phase 3</x:v>
      </x:c>
      <x:c r="E9" s="11" t="str">
        <x:v>P3-03</x:v>
      </x:c>
      <x:c r="F9" s="11" t="str">
        <x:v>Dev 2</x:v>
      </x:c>
      <x:c r="G9" s="11" t="str">
        <x:v>High</x:v>
      </x:c>
      <x:c r="H9" s="18" t="str">
        <x:v>Done</x:v>
      </x:c>
      <x:c r="I9" s="25" t="n">
        <x:v>10</x:v>
      </x:c>
      <x:c r="J9" s="11" t="str">
        <x:v>Medium</x:v>
      </x:c>
      <x:c r="K9" s="11" t="str">
        <x:f>IF(H9="Done","Yes","No")</x:f>
        <x:v>Yes</x:v>
      </x:c>
    </x:row>
    <x:row r="10">
      <x:c r="A10" s="11" t="str">
        <x:v>P3H-06</x:v>
      </x:c>
      <x:c r="B10" s="11" t="str">
        <x:v>Quality &gt; Defect</x:v>
      </x:c>
      <x:c r="C10" s="11" t="str">
        <x:v>Dedicated Quality &gt; Defect dashboard uses Defect work items and keeps advanced actions such as delete/reopen/bulk for later.</x:v>
      </x:c>
      <x:c r="D10" s="11" t="str">
        <x:v>Phase 3</x:v>
      </x:c>
      <x:c r="E10" s="11" t="str">
        <x:v>P3-04</x:v>
      </x:c>
      <x:c r="F10" s="11" t="str">
        <x:v>Dev 1</x:v>
      </x:c>
      <x:c r="G10" s="11" t="str">
        <x:v>High</x:v>
      </x:c>
      <x:c r="H10" s="18" t="str">
        <x:v>Done</x:v>
      </x:c>
      <x:c r="I10" s="25" t="n">
        <x:v>14</x:v>
      </x:c>
      <x:c r="J10" s="11" t="str">
        <x:v>Medium</x:v>
      </x:c>
      <x:c r="K10" s="11" t="str">
        <x:f>IF(H10="Done","Yes","No")</x:f>
        <x:v>Yes</x:v>
      </x:c>
    </x:row>
    <x:row r="11">
      <x:c r="A11" s="11" t="str">
        <x:v>P3H-07</x:v>
      </x:c>
      <x:c r="B11" s="11" t="str">
        <x:v>Team Board</x:v>
      </x:c>
      <x:c r="C11" s="11" t="str">
        <x:v>Team Board is not part of the current Agile MVP flow and is moved to Future Backlog.</x:v>
      </x:c>
      <x:c r="D11" s="11" t="str">
        <x:v>Phase 4</x:v>
      </x:c>
      <x:c r="E11" s="11" t="str">
        <x:v>P4-01</x:v>
      </x:c>
      <x:c r="F11" s="11" t="str">
        <x:v>BA</x:v>
      </x:c>
      <x:c r="G11" s="11" t="str">
        <x:v>Medium</x:v>
      </x:c>
      <x:c r="H11" s="24" t="str">
        <x:v>Deferred</x:v>
      </x:c>
      <x:c r="I11" s="25" t="n">
        <x:v>0</x:v>
      </x:c>
      <x:c r="J11" s="11" t="str">
        <x:v>High</x:v>
      </x:c>
      <x:c r="K11" s="11" t="str">
        <x:f>IF(H11="Done","Yes","No")</x:f>
        <x:v>No</x:v>
      </x:c>
    </x:row>
  </x:sheetData>
  <x:mergeCells>
    <x:mergeCell ref="A1:K1"/>
    <x:mergeCell ref="A2:K2"/>
  </x:mergeCells>
  <x:dataValidations count="1">
    <x:dataValidation type="list" sqref="H5:H11">
      <x:formula1>"Not Started,In Progress,In Review,Done,Deferred,Blocked"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a114a6890047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32" hidden="0" customWidth="1"/>
    <x:col min="9" max="9" width="12" hidden="0" customWidth="1"/>
    <x:col min="10" max="10" width="12" hidden="0" customWidth="1"/>
    <x:col min="11" max="11" width="13" hidden="0" customWidth="1"/>
    <x:col min="12" max="12" width="14" hidden="0" customWidth="1"/>
  </x:cols>
  <x:sheetData>
    <x:row r="1" ht="24" customHeight="1">
      <x:c r="A1" s="3" t="str">
        <x:v>Capacity Plan</x:v>
      </x:c>
    </x:row>
    <x:row r="2" ht="24" customHeight="1">
      <x:c r="A2" s="6" t="str">
        <x:v>Compressed delivery-capacity view for finishing through Phase 5 by 2026-07-20.</x:v>
      </x:c>
    </x:row>
    <x:row r="4">
      <x:c r="A4" s="16" t="str">
        <x:v>Scenario</x:v>
      </x:c>
      <x:c r="B4" s="16" t="str">
        <x:v>Dev Count</x:v>
      </x:c>
      <x:c r="C4" s="16" t="str">
        <x:v>Dev h / Day</x:v>
      </x:c>
      <x:c r="D4" s="16" t="str">
        <x:v>Dev Capacity / Day</x:v>
      </x:c>
      <x:c r="E4" s="16" t="str">
        <x:v>BA Count</x:v>
      </x:c>
      <x:c r="F4" s="16" t="str">
        <x:v>BA h / Day</x:v>
      </x:c>
      <x:c r="G4" s="16" t="str">
        <x:v>Buffer %</x:v>
      </x:c>
      <x:c r="H4" s="16" t="str">
        <x:v>Notes</x:v>
      </x:c>
      <x:c r="I4" s="16" t="str">
        <x:v>Target Remaining h</x:v>
      </x:c>
      <x:c r="J4" s="16" t="str">
        <x:v>Buffered h</x:v>
      </x:c>
      <x:c r="K4" s="16" t="str">
        <x:v>Calendar Days</x:v>
      </x:c>
      <x:c r="L4" s="16" t="str">
        <x:v>Forecast End</x:v>
      </x:c>
    </x:row>
    <x:row r="5">
      <x:c r="A5" s="11" t="str">
        <x:v>Target 20/07</x:v>
      </x:c>
      <x:c r="B5" s="11" t="n">
        <x:v>2</x:v>
      </x:c>
      <x:c r="C5" s="11" t="n">
        <x:v>6.7</x:v>
      </x:c>
      <x:c r="D5" s="11" t="n">
        <x:v>13.4</x:v>
      </x:c>
      <x:c r="E5" s="11" t="n">
        <x:v>1</x:v>
      </x:c>
      <x:c r="F5" s="11" t="n">
        <x:v>4</x:v>
      </x:c>
      <x:c r="G5" s="13" t="n">
        <x:v>0</x:v>
      </x:c>
      <x:c r="H5" s="11" t="str">
        <x:v>Compressed target: calendar-day execution, parallel dev work, weekend support, no Team Board.</x:v>
      </x:c>
      <x:c r="I5" s="25" t="n">
        <x:f>SUMIFS('Build Tasks'!P5:P33,'Build Tasks'!N5:N33,"20/07 Target")+SUMIFS('Build Tasks'!P5:P33,'Build Tasks'!N5:N33,"MVP")+SUMIFS('Build Tasks'!P5:P33,'Build Tasks'!N5:N33,"Jul 10")</x:f>
        <x:v>106.7</x:v>
      </x:c>
      <x:c r="J5" s="25" t="n">
        <x:f>I5*(1+G5)</x:f>
        <x:v>106.7</x:v>
      </x:c>
      <x:c r="K5" s="25" t="n">
        <x:f>CEILING(J5/D5,1)</x:f>
        <x:v>8</x:v>
      </x:c>
      <x:c r="L5" s="12" t="n">
        <x:f>'Assumptions'!$B$5+K5</x:f>
        <x:v>46223</x:v>
      </x:c>
    </x:row>
    <x:row r="6">
      <x:c r="A6" s="11" t="str">
        <x:v>Normal Base</x:v>
      </x:c>
      <x:c r="B6" s="11" t="n">
        <x:v>2</x:v>
      </x:c>
      <x:c r="C6" s="11" t="n">
        <x:v>5</x:v>
      </x:c>
      <x:c r="D6" s="11" t="n">
        <x:v>10</x:v>
      </x:c>
      <x:c r="E6" s="11" t="n">
        <x:v>1</x:v>
      </x:c>
      <x:c r="F6" s="11" t="n">
        <x:v>3</x:v>
      </x:c>
      <x:c r="G6" s="13" t="n">
        <x:v>0.2</x:v>
      </x:c>
      <x:c r="H6" s="11" t="str">
        <x:v>Normal evening capacity; likely misses 2026-07-20 unless scope is reduced.</x:v>
      </x:c>
      <x:c r="I6" s="25" t="n">
        <x:f>SUMIFS('Build Tasks'!P5:P33,'Build Tasks'!N5:N33,"20/07 Target")+SUMIFS('Build Tasks'!P5:P33,'Build Tasks'!N5:N33,"MVP")+SUMIFS('Build Tasks'!P5:P33,'Build Tasks'!N5:N33,"Jul 10")</x:f>
        <x:v>106.7</x:v>
      </x:c>
      <x:c r="J6" s="25" t="n">
        <x:f>I6*(1+G6)</x:f>
        <x:v>128.04</x:v>
      </x:c>
      <x:c r="K6" s="25" t="n">
        <x:f>CEILING(J6/D6,1)</x:f>
        <x:v>13</x:v>
      </x:c>
      <x:c r="L6" s="12" t="n">
        <x:f>'Assumptions'!$B$5+K6</x:f>
        <x:v>46228</x:v>
      </x:c>
    </x:row>
    <x:row r="7">
      <x:c r="A7" s="11" t="str">
        <x:v>Fallback</x:v>
      </x:c>
      <x:c r="B7" s="11" t="n">
        <x:v>2</x:v>
      </x:c>
      <x:c r="C7" s="11" t="n">
        <x:v>4</x:v>
      </x:c>
      <x:c r="D7" s="11" t="n">
        <x:v>8</x:v>
      </x:c>
      <x:c r="E7" s="11" t="n">
        <x:v>1</x:v>
      </x:c>
      <x:c r="F7" s="11" t="n">
        <x:v>2</x:v>
      </x:c>
      <x:c r="G7" s="13" t="n">
        <x:v>0.2</x:v>
      </x:c>
      <x:c r="H7" s="11" t="str">
        <x:v>High-risk path; requires descoping or moving Phase 4/5 items back to backlog.</x:v>
      </x:c>
      <x:c r="I7" s="25" t="n">
        <x:f>SUMIFS('Build Tasks'!P5:P33,'Build Tasks'!N5:N33,"20/07 Target")+SUMIFS('Build Tasks'!P5:P33,'Build Tasks'!N5:N33,"MVP")+SUMIFS('Build Tasks'!P5:P33,'Build Tasks'!N5:N33,"Jul 10")</x:f>
        <x:v>106.7</x:v>
      </x:c>
      <x:c r="J7" s="25" t="n">
        <x:f>I7*(1+G7)</x:f>
        <x:v>128.04</x:v>
      </x:c>
      <x:c r="K7" s="25" t="n">
        <x:f>CEILING(J7/D7,1)</x:f>
        <x:v>17</x:v>
      </x:c>
      <x:c r="L7" s="12" t="n">
        <x:f>'Assumptions'!$B$5+K7</x:f>
        <x:v>46232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8a582943b7940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60" hidden="0" customWidth="1"/>
    <x:col min="3" max="3" width="14" hidden="0" customWidth="1"/>
    <x:col min="4" max="4" width="12" hidden="0" customWidth="1"/>
    <x:col min="5" max="5" width="70" hidden="0" customWidth="1"/>
    <x:col min="6" max="6" width="16" hidden="0" customWidth="1"/>
    <x:col min="7" max="7" width="14" hidden="0" customWidth="1"/>
  </x:cols>
  <x:sheetData>
    <x:row r="1" ht="24" customHeight="1">
      <x:c r="A1" s="3" t="str">
        <x:v>Risks &amp; Decisions</x:v>
      </x:c>
    </x:row>
    <x:row r="2" ht="24" customHeight="1">
      <x:c r="A2" s="6" t="str">
        <x:v>Open risks and decisions that can change timeline, priority or scope.</x:v>
      </x:c>
    </x:row>
    <x:row r="4">
      <x:c r="A4" s="16" t="str">
        <x:v>ID</x:v>
      </x:c>
      <x:c r="B4" s="16" t="str">
        <x:v>Risk / Decision</x:v>
      </x:c>
      <x:c r="C4" s="16" t="str">
        <x:v>Phase</x:v>
      </x:c>
      <x:c r="D4" s="16" t="str">
        <x:v>Impact</x:v>
      </x:c>
      <x:c r="E4" s="16" t="str">
        <x:v>Mitigation / Decision</x:v>
      </x:c>
      <x:c r="F4" s="16" t="str">
        <x:v>Owner</x:v>
      </x:c>
      <x:c r="G4" s="16" t="str">
        <x:v>Status</x:v>
      </x:c>
    </x:row>
    <x:row r="5">
      <x:c r="A5" s="11" t="str">
        <x:v>R01</x:v>
      </x:c>
      <x:c r="B5" s="11" t="str">
        <x:v>Auto-status must not remove user control.</x:v>
      </x:c>
      <x:c r="C5" s="11" t="str">
        <x:v>Phase 2/3</x:v>
      </x:c>
      <x:c r="D5" s="11" t="str">
        <x:v>High</x:v>
      </x:c>
      <x:c r="E5" s="11" t="str">
        <x:v>Treat auto-complete as convenience only. Users can manually change Task, US/DE, Release, Milestone and Iteration status.</x:v>
      </x:c>
      <x:c r="F5" s="11" t="str">
        <x:v>BA/Dev</x:v>
      </x:c>
      <x:c r="G5" s="22" t="str">
        <x:v>Decided</x:v>
      </x:c>
    </x:row>
    <x:row r="6">
      <x:c r="A6" s="11" t="str">
        <x:v>R02</x:v>
      </x:c>
      <x:c r="B6" s="11" t="str">
        <x:v>Phase 3 development can drift if docs and mockups are not frozen.</x:v>
      </x:c>
      <x:c r="C6" s="11" t="str">
        <x:v>Phase 3</x:v>
      </x:c>
      <x:c r="D6" s="11" t="str">
        <x:v>Medium</x:v>
      </x:c>
      <x:c r="E6" s="11" t="str">
        <x:v>Use the confirmed Part 1-5 rules as the dev handoff baseline; schema/DB/infra remain out of scope for this BA pass.</x:v>
      </x:c>
      <x:c r="F6" s="11" t="str">
        <x:v>BA/Dev</x:v>
      </x:c>
      <x:c r="G6" s="29" t="str">
        <x:v>Open Risk</x:v>
      </x:c>
    </x:row>
    <x:row r="7">
      <x:c r="A7" s="11" t="str">
        <x:v>R03</x:v>
      </x:c>
      <x:c r="B7" s="11" t="str">
        <x:v>20/07 finish target is compressed and capacity-sensitive.</x:v>
      </x:c>
      <x:c r="C7" s="11" t="str">
        <x:v>Phase 3-5</x:v>
      </x:c>
      <x:c r="D7" s="11" t="str">
        <x:v>High</x:v>
      </x:c>
      <x:c r="E7" s="11" t="str">
        <x:v>Keep scope frozen, exclude Team Board, run parallel dev tracks and include weekend/calendar-day support.</x:v>
      </x:c>
      <x:c r="F7" s="11" t="str">
        <x:v>BA/Dev</x:v>
      </x:c>
      <x:c r="G7" s="29" t="str">
        <x:v>Open Risk</x:v>
      </x:c>
    </x:row>
    <x:row r="8">
      <x:c r="A8" s="11" t="str">
        <x:v>R04</x:v>
      </x:c>
      <x:c r="B8" s="11" t="str">
        <x:v>Team Board must not be included in the current Agile MVP flow.</x:v>
      </x:c>
      <x:c r="C8" s="11" t="str">
        <x:v>Phase 4/Future</x:v>
      </x:c>
      <x:c r="D8" s="11" t="str">
        <x:v>High</x:v>
      </x:c>
      <x:c r="E8" s="11" t="str">
        <x:v>Workbook places Team Board in Future Backlog and keeps Team Status as the Phase 3 tracking view.</x:v>
      </x:c>
      <x:c r="F8" s="11" t="str">
        <x:v>BA</x:v>
      </x:c>
      <x:c r="G8" s="22" t="str">
        <x:v>Decided</x:v>
      </x:c>
    </x:row>
    <x:row r="9">
      <x:c r="A9" s="11" t="str">
        <x:v>R05</x:v>
      </x:c>
      <x:c r="B9" s="11" t="str">
        <x:v>Milestone artifact behavior is confirmed at BA level.</x:v>
      </x:c>
      <x:c r="C9" s="11" t="str">
        <x:v>Phase 3</x:v>
      </x:c>
      <x:c r="D9" s="11" t="str">
        <x:v>Low</x:v>
      </x:c>
      <x:c r="E9" s="11" t="str">
        <x:v>Milestones may assign US/DE artifacts directly; no readiness checklist is required.</x:v>
      </x:c>
      <x:c r="F9" s="11" t="str">
        <x:v>BA</x:v>
      </x:c>
      <x:c r="G9" s="22" t="str">
        <x:v>Decided</x:v>
      </x:c>
    </x:row>
    <x:row r="10">
      <x:c r="A10" s="11" t="str">
        <x:v>R06</x:v>
      </x:c>
      <x:c r="B10" s="11" t="str">
        <x:v>Permissions matrix is not finalized.</x:v>
      </x:c>
      <x:c r="C10" s="11" t="str">
        <x:v>Phase 4</x:v>
      </x:c>
      <x:c r="D10" s="11" t="str">
        <x:v>Medium</x:v>
      </x:c>
      <x:c r="E10" s="11" t="str">
        <x:v>Define minimum RBAC/settings/audit scope needed for 20/07; move hardening extras to future backlog.</x:v>
      </x:c>
      <x:c r="F10" s="11" t="str">
        <x:v>BA/Tech</x:v>
      </x:c>
      <x:c r="G10" s="29" t="str">
        <x:v>Open Risk</x:v>
      </x:c>
    </x:row>
    <x:row r="11">
      <x:c r="A11" s="11" t="str">
        <x:v>R07</x:v>
      </x:c>
      <x:c r="B11" s="11" t="str">
        <x:v>Phase 0-3 testing and traceability need to stay synchronized as dev continues.</x:v>
      </x:c>
      <x:c r="C11" s="11" t="str">
        <x:v>Phase 0-3</x:v>
      </x:c>
      <x:c r="D11" s="11" t="str">
        <x:v>Medium</x:v>
      </x:c>
      <x:c r="E11" s="11" t="str">
        <x:v>Testing documents exist and should be updated when production behavior changes.</x:v>
      </x:c>
      <x:c r="F11" s="11" t="str">
        <x:v>BA/QA</x:v>
      </x:c>
      <x:c r="G11" s="20" t="str">
        <x:v>In Review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ed8b53e649947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94" hidden="0" customWidth="1"/>
  </x:cols>
  <x:sheetData>
    <x:row r="1" ht="24" customHeight="1">
      <x:c r="A1" s="3" t="str">
        <x:v>Source Notes</x:v>
      </x:c>
    </x:row>
    <x:row r="2" ht="24" customHeight="1">
      <x:c r="A2" s="6" t="str">
        <x:v>Auditable source files used to create this workbook. Paths are plain text so BA/dev can verify them.</x:v>
      </x:c>
    </x:row>
    <x:row r="4">
      <x:c r="A4" s="16" t="str">
        <x:v>Source</x:v>
      </x:c>
      <x:c r="B4" s="16" t="str">
        <x:v>Used For</x:v>
      </x:c>
      <x:c r="C4" s="16" t="str">
        <x:v>Path</x:v>
      </x:c>
    </x:row>
    <x:row r="5">
      <x:c r="A5" s="11" t="str">
        <x:v>Time line.md</x:v>
      </x:c>
      <x:c r="B5" s="11" t="str">
        <x:v>Master timeline, Phase 2 closure, recommended build order and risks.</x:v>
      </x:c>
      <x:c r="C5" s="11" t="str">
        <x:v>D:/Mini_Rally_pj/Time line.md</x:v>
      </x:c>
    </x:row>
    <x:row r="6">
      <x:c r="A6" s="11" t="str">
        <x:v>Project_developement_plan.md</x:v>
      </x:c>
      <x:c r="B6" s="11" t="str">
        <x:v>Roadmap, phase scope and latest baseline decisions.</x:v>
      </x:c>
      <x:c r="C6" s="11" t="str">
        <x:v>D:/Mini_Rally_pj/04_Developement_tracking/Project_developement_plan.md</x:v>
      </x:c>
    </x:row>
    <x:row r="7">
      <x:c r="A7" s="11" t="str">
        <x:v>PHASE0_DEVELOPMENT_TRACKING.md</x:v>
      </x:c>
      <x:c r="B7" s="11" t="str">
        <x:v>Phase 0 historical 12h tracking and acceptance notes.</x:v>
      </x:c>
      <x:c r="C7" s="11" t="str">
        <x:v>D:/Mini_Rally_pj/04_Developement_tracking/Phase 0/PHASE0_DEVELOPMENT_TRACKING.md</x:v>
      </x:c>
    </x:row>
    <x:row r="8">
      <x:c r="A8" s="11" t="str">
        <x:v>PHASE1_DEVELOPMENT_TRACKING.md</x:v>
      </x:c>
      <x:c r="B8" s="11" t="str">
        <x:v>Phase 1 official 16h cap and task plan.</x:v>
      </x:c>
      <x:c r="C8" s="11" t="str">
        <x:v>D:/Mini_Rally_pj/04_Developement_tracking/Phase 1/PHASE1_DEVELOPMENT_TRACKING.md</x:v>
      </x:c>
    </x:row>
    <x:row r="9">
      <x:c r="A9" s="11" t="str">
        <x:v>PHASE2_DEVELOPMENT_TRACKING.md</x:v>
      </x:c>
      <x:c r="B9" s="11" t="str">
        <x:v>Phase 2 37h tracking, P2.1/P2.2/P2.3 tasks and context rules.</x:v>
      </x:c>
      <x:c r="C9" s="11" t="str">
        <x:v>D:/Mini_Rally_pj/04_Developement_tracking/Phase 2/PHASE2_DEVELOPMENT_TRACKING.md</x:v>
      </x:c>
    </x:row>
    <x:row r="10">
      <x:c r="A10" s="11" t="str">
        <x:v>Phase 3 Team Status SRS</x:v>
      </x:c>
      <x:c r="B10" s="11" t="str">
        <x:v>Team Status scope and dashboard behavior ready for development.</x:v>
      </x:c>
      <x:c r="C10" s="11" t="str">
        <x:v>D:/Mini_Rally_pj/04_Developement_tracking/Phase 3/01_Team_Status/SRS.md</x:v>
      </x:c>
    </x:row>
    <x:row r="11">
      <x:c r="A11" s="11" t="str">
        <x:v>Phase 3 Release SRS</x:v>
      </x:c>
      <x:c r="B11" s="11" t="str">
        <x:v>Release Management scope ready for development.</x:v>
      </x:c>
      <x:c r="C11" s="11" t="str">
        <x:v>D:/Mini_Rally_pj/04_Developement_tracking/Phase 3/02_Release_Management/SRS.md</x:v>
      </x:c>
    </x:row>
    <x:row r="12">
      <x:c r="A12" s="11" t="str">
        <x:v>Phase 3 Milestone SRS</x:v>
      </x:c>
      <x:c r="B12" s="11" t="str">
        <x:v>Milestone core scope ready; US/DE artifact assignment confirmed.</x:v>
      </x:c>
      <x:c r="C12" s="11" t="str">
        <x:v>D:/Mini_Rally_pj/04_Developement_tracking/Phase 3/03_Milestones/SRS.md</x:v>
      </x:c>
    </x:row>
    <x:row r="13">
      <x:c r="A13" s="11" t="str">
        <x:v>Phase 3 Quality Defect SRS</x:v>
      </x:c>
      <x:c r="B13" s="11" t="str">
        <x:v>Quality &gt; Defect dashboard scope ready.</x:v>
      </x:c>
      <x:c r="C13" s="11" t="str">
        <x:v>D:/Mini_Rally_pj/04_Developement_tracking/Phase 3/04_Quality_Defect/SRS.md</x:v>
      </x:c>
    </x:row>
    <x:row r="14">
      <x:c r="A14" s="11" t="str">
        <x:v>Mini Rally doc commit</x:v>
      </x:c>
      <x:c r="B14" s="11" t="str">
        <x:v>Latest committed BA/doc baseline after Phase 0-3 final audit.</x:v>
      </x:c>
      <x:c r="C14" s="11" t="str">
        <x:v>D:/Mini_Rally_pj @ 7e68304a</x:v>
      </x:c>
    </x:row>
    <x:row r="15">
      <x:c r="A15" s="11" t="str">
        <x:v>Testing folder</x:v>
      </x:c>
      <x:c r="B15" s="11" t="str">
        <x:v>Phase 0/1/2/3 testing documents, E2E flows and traceability matrix.</x:v>
      </x:c>
      <x:c r="C15" s="11" t="str">
        <x:v>D:/Mini_Rally_pj/testing</x:v>
      </x:c>
    </x:row>
    <x:row r="16">
      <x:c r="A16" s="11" t="str">
        <x:v>RALLY_MINI_RALLY_ALIGNMENT_GAP.md</x:v>
      </x:c>
      <x:c r="B16" s="11" t="str">
        <x:v>BA-facing alignment and remaining gap baseline.</x:v>
      </x:c>
      <x:c r="C16" s="11" t="str">
        <x:v>D:/Mini_Rally_pj/output/RALLY_MINI_RALLY_ALIGNMENT_GAP.md</x:v>
      </x:c>
    </x:row>
    <x:row r="17">
      <x:c r="A17" s="11" t="str">
        <x:v>RALLY_TEST_EXECUTION_2026-07-07.md</x:v>
      </x:c>
      <x:c r="B17" s="11" t="str">
        <x:v>Runtime BA/FE verification result for Rally Phase 0/1/2.</x:v>
      </x:c>
      <x:c r="C17" s="11" t="str">
        <x:v>D:/Mini_Rally_pj/output/RALLY_TEST_EXECUTION_2026-07-07.md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c481224b01642d9"/>
  </x:tableParts>
</x:worksheet>
</file>